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ستلزمات وإسعافات" sheetId="1" r:id="rId1"/>
    <sheet name="عناية بالأم والطفل" sheetId="2" r:id="rId2"/>
    <sheet name="تجميل وعناية بالبشرة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%"/>
    <numFmt numFmtId="61" formatCode="#,##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" fontId="0" fillId="0" borderId="0" xfId="0" applyNumberFormat="1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cols>
    <col min="1" max="1" width="6.83203125" customWidth="1"/>
    <col min="2" max="2" width="44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5.83203125" customWidth="1"/>
  </cols>
  <sheetData>
    <row r="1">
      <c r="A1" t="str">
        <v>رفيق POS - قائمة أصناف قسم: [مستلزمات وإسعافات]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كحول طبي معقم إيثيلي 70% بخاخ 120 مل</v>
      </c>
      <c r="C4" t="str">
        <v>6221100020014</v>
      </c>
      <c r="D4" t="str">
        <v/>
      </c>
      <c r="E4" t="str">
        <v>قطعة</v>
      </c>
      <c r="F4">
        <v>25</v>
      </c>
      <c r="G4">
        <v>16</v>
      </c>
      <c r="H4">
        <v>0</v>
      </c>
      <c r="I4">
        <v>12</v>
      </c>
      <c r="J4" s="1">
        <f>F4-G4</f>
      </c>
      <c r="K4" s="2">
        <f>IF(G4&gt;0, (F4-G4)/G4, 0)</f>
      </c>
      <c r="L4" s="1">
        <f>H4*G4</f>
      </c>
      <c r="M4" s="1">
        <f>H4*F4</f>
      </c>
      <c r="N4" s="1">
        <f>M4-L4</f>
      </c>
      <c r="O4">
        <f>IF(H4&lt;=0, "نفد من المخزن", IF(H4&lt;=I4, "قارب على النفاد", "متوفر بالمخزن"))</f>
      </c>
      <c r="P4">
        <v>0</v>
      </c>
      <c r="Q4" t="str">
        <v>PHR-0013</v>
      </c>
      <c r="R4" t="str">
        <v/>
      </c>
      <c r="S4" t="str">
        <v/>
      </c>
      <c r="T4" t="str">
        <v/>
      </c>
    </row>
    <row r="5">
      <c r="A5">
        <v>2</v>
      </c>
      <c r="B5" t="str">
        <v>بيتادين مطهر جروح سائل 60 مل</v>
      </c>
      <c r="C5" t="str">
        <v>6221100020021</v>
      </c>
      <c r="D5" t="str">
        <v/>
      </c>
      <c r="E5" t="str">
        <v>قطعة</v>
      </c>
      <c r="F5">
        <v>45</v>
      </c>
      <c r="G5">
        <v>36</v>
      </c>
      <c r="H5">
        <v>0</v>
      </c>
      <c r="I5">
        <v>8</v>
      </c>
      <c r="J5" s="1">
        <f>F5-G5</f>
      </c>
      <c r="K5" s="2">
        <f>IF(G5&gt;0, (F5-G5)/G5, 0)</f>
      </c>
      <c r="L5" s="1">
        <f>H5*G5</f>
      </c>
      <c r="M5" s="1">
        <f>H5*F5</f>
      </c>
      <c r="N5" s="1">
        <f>M5-L5</f>
      </c>
      <c r="O5">
        <f>IF(H5&lt;=0, "نفد من المخزن", IF(H5&lt;=I5, "قارب على النفاد", "متوفر بالمخزن"))</f>
      </c>
      <c r="P5">
        <v>0</v>
      </c>
      <c r="Q5" t="str">
        <v>PHR-0014</v>
      </c>
      <c r="R5" t="str">
        <v/>
      </c>
      <c r="S5" t="str">
        <v/>
      </c>
      <c r="T5" t="str">
        <v/>
      </c>
    </row>
    <row r="6">
      <c r="A6">
        <v>3</v>
      </c>
      <c r="B6" t="str">
        <v>قطن طبي ممتص فاخر معقم 100 جم</v>
      </c>
      <c r="C6" t="str">
        <v>6221100020038</v>
      </c>
      <c r="D6" t="str">
        <v/>
      </c>
      <c r="E6" t="str">
        <v>قطعة</v>
      </c>
      <c r="F6">
        <v>22</v>
      </c>
      <c r="G6">
        <v>15</v>
      </c>
      <c r="H6">
        <v>0</v>
      </c>
      <c r="I6">
        <v>10</v>
      </c>
      <c r="J6" s="1">
        <f>F6-G6</f>
      </c>
      <c r="K6" s="2">
        <f>IF(G6&gt;0, (F6-G6)/G6, 0)</f>
      </c>
      <c r="L6" s="1">
        <f>H6*G6</f>
      </c>
      <c r="M6" s="1">
        <f>H6*F6</f>
      </c>
      <c r="N6" s="1">
        <f>M6-L6</f>
      </c>
      <c r="O6">
        <f>IF(H6&lt;=0, "نفد من المخزن", IF(H6&lt;=I6, "قارب على النفاد", "متوفر بالمخزن"))</f>
      </c>
      <c r="P6">
        <v>0</v>
      </c>
      <c r="Q6" t="str">
        <v>PHR-0015</v>
      </c>
      <c r="R6" t="str">
        <v/>
      </c>
      <c r="S6" t="str">
        <v/>
      </c>
      <c r="T6" t="str">
        <v/>
      </c>
    </row>
    <row r="7">
      <c r="A7">
        <v>4</v>
      </c>
      <c r="B7" t="str">
        <v>شاش طبي معقم باكت 5 قطع</v>
      </c>
      <c r="C7" t="str">
        <v>6221100020045</v>
      </c>
      <c r="D7" t="str">
        <v/>
      </c>
      <c r="E7" t="str">
        <v>قطعة</v>
      </c>
      <c r="F7">
        <v>15</v>
      </c>
      <c r="G7">
        <v>9.5</v>
      </c>
      <c r="H7">
        <v>0</v>
      </c>
      <c r="I7">
        <v>15</v>
      </c>
      <c r="J7" s="1">
        <f>F7-G7</f>
      </c>
      <c r="K7" s="2">
        <f>IF(G7&gt;0, (F7-G7)/G7, 0)</f>
      </c>
      <c r="L7" s="1">
        <f>H7*G7</f>
      </c>
      <c r="M7" s="1">
        <f>H7*F7</f>
      </c>
      <c r="N7" s="1">
        <f>M7-L7</f>
      </c>
      <c r="O7">
        <f>IF(H7&lt;=0, "نفد من المخزن", IF(H7&lt;=I7, "قارب على النفاد", "متوفر بالمخزن"))</f>
      </c>
      <c r="P7">
        <v>0</v>
      </c>
      <c r="Q7" t="str">
        <v>PHR-0016</v>
      </c>
      <c r="R7" t="str">
        <v/>
      </c>
      <c r="S7" t="str">
        <v/>
      </c>
      <c r="T7" t="str">
        <v/>
      </c>
    </row>
    <row r="8">
      <c r="A8">
        <v>5</v>
      </c>
      <c r="B8" t="str">
        <v>بلاستر طبي لاصق جروح علبة 50 قطعة</v>
      </c>
      <c r="C8" t="str">
        <v>6221100020052</v>
      </c>
      <c r="D8" t="str">
        <v/>
      </c>
      <c r="E8" t="str">
        <v>قطعة</v>
      </c>
      <c r="F8">
        <v>30</v>
      </c>
      <c r="G8">
        <v>18</v>
      </c>
      <c r="H8">
        <v>0</v>
      </c>
      <c r="I8">
        <v>8</v>
      </c>
      <c r="J8" s="1">
        <f>F8-G8</f>
      </c>
      <c r="K8" s="2">
        <f>IF(G8&gt;0, (F8-G8)/G8, 0)</f>
      </c>
      <c r="L8" s="1">
        <f>H8*G8</f>
      </c>
      <c r="M8" s="1">
        <f>H8*F8</f>
      </c>
      <c r="N8" s="1">
        <f>M8-L8</f>
      </c>
      <c r="O8">
        <f>IF(H8&lt;=0, "نفد من المخزن", IF(H8&lt;=I8, "قارب على النفاد", "متوفر بالمخزن"))</f>
      </c>
      <c r="P8">
        <v>0</v>
      </c>
      <c r="Q8" t="str">
        <v>PHR-0017</v>
      </c>
      <c r="R8" t="str">
        <v/>
      </c>
      <c r="S8" t="str">
        <v/>
      </c>
      <c r="T8" t="str">
        <v/>
      </c>
    </row>
    <row r="9">
      <c r="A9">
        <v>6</v>
      </c>
      <c r="B9" t="str">
        <v>رباط ضاغط طبي مرن مقاس 10 سم</v>
      </c>
      <c r="C9" t="str">
        <v>6221100020069</v>
      </c>
      <c r="D9" t="str">
        <v/>
      </c>
      <c r="E9" t="str">
        <v>قطعة</v>
      </c>
      <c r="F9">
        <v>20</v>
      </c>
      <c r="G9">
        <v>12</v>
      </c>
      <c r="H9">
        <v>0</v>
      </c>
      <c r="I9">
        <v>7</v>
      </c>
      <c r="J9" s="1">
        <f>F9-G9</f>
      </c>
      <c r="K9" s="2">
        <f>IF(G9&gt;0, (F9-G9)/G9, 0)</f>
      </c>
      <c r="L9" s="1">
        <f>H9*G9</f>
      </c>
      <c r="M9" s="1">
        <f>H9*F9</f>
      </c>
      <c r="N9" s="1">
        <f>M9-L9</f>
      </c>
      <c r="O9">
        <f>IF(H9&lt;=0, "نفد من المخزن", IF(H9&lt;=I9, "قارب على النفاد", "متوفر بالمخزن"))</f>
      </c>
      <c r="P9">
        <v>0</v>
      </c>
      <c r="Q9" t="str">
        <v>PHR-0018</v>
      </c>
      <c r="R9" t="str">
        <v/>
      </c>
      <c r="S9" t="str">
        <v>10 سم</v>
      </c>
      <c r="T9" t="str">
        <v/>
      </c>
    </row>
    <row r="10">
      <c r="A10">
        <v>7</v>
      </c>
      <c r="B10" t="str">
        <v>ترمومتر رقمي ديجيتال لقياس الحرارة شاشة LCD</v>
      </c>
      <c r="C10" t="str">
        <v>6221100020076</v>
      </c>
      <c r="D10" t="str">
        <v/>
      </c>
      <c r="E10" t="str">
        <v>قطعة</v>
      </c>
      <c r="F10">
        <v>75</v>
      </c>
      <c r="G10">
        <v>48</v>
      </c>
      <c r="H10">
        <v>0</v>
      </c>
      <c r="I10">
        <v>4</v>
      </c>
      <c r="J10" s="1">
        <f>F10-G10</f>
      </c>
      <c r="K10" s="2">
        <f>IF(G10&gt;0, (F10-G10)/G10, 0)</f>
      </c>
      <c r="L10" s="1">
        <f>H10*G10</f>
      </c>
      <c r="M10" s="1">
        <f>H10*F10</f>
      </c>
      <c r="N10" s="1">
        <f>M10-L10</f>
      </c>
      <c r="O10">
        <f>IF(H10&lt;=0, "نفد من المخزن", IF(H10&lt;=I10, "قارب على النفاد", "متوفر بالمخزن"))</f>
      </c>
      <c r="P10">
        <v>0</v>
      </c>
      <c r="Q10" t="str">
        <v>PHR-0019</v>
      </c>
      <c r="R10" t="str">
        <v/>
      </c>
      <c r="S10" t="str">
        <v/>
      </c>
      <c r="T10" t="str">
        <v/>
      </c>
    </row>
    <row r="11">
      <c r="A11">
        <v>8</v>
      </c>
      <c r="B11" t="str">
        <v>سرنجة طبية معقمة 3 سم سن دقيق كرتونة 100</v>
      </c>
      <c r="C11" t="str">
        <v>6221100020083</v>
      </c>
      <c r="D11" t="str">
        <v/>
      </c>
      <c r="E11" t="str">
        <v>قطعة</v>
      </c>
      <c r="F11">
        <v>2.5</v>
      </c>
      <c r="G11">
        <v>1.6</v>
      </c>
      <c r="H11">
        <v>0</v>
      </c>
      <c r="I11">
        <v>40</v>
      </c>
      <c r="J11" s="1">
        <f>F11-G11</f>
      </c>
      <c r="K11" s="2">
        <f>IF(G11&gt;0, (F11-G11)/G11, 0)</f>
      </c>
      <c r="L11" s="1">
        <f>H11*G11</f>
      </c>
      <c r="M11" s="1">
        <f>H11*F11</f>
      </c>
      <c r="N11" s="1">
        <f>M11-L11</f>
      </c>
      <c r="O11">
        <f>IF(H11&lt;=0, "نفد من المخزن", IF(H11&lt;=I11, "قارب على النفاد", "متوفر بالمخزن"))</f>
      </c>
      <c r="P11">
        <v>0</v>
      </c>
      <c r="Q11" t="str">
        <v>PHR-0020</v>
      </c>
      <c r="R11" t="str">
        <v/>
      </c>
      <c r="S11" t="str">
        <v>3 سم</v>
      </c>
      <c r="T11" t="str">
        <v/>
      </c>
    </row>
    <row r="12">
      <c r="A12">
        <v>9</v>
      </c>
      <c r="B12" t="str">
        <v>سرنجة طبية معقمة 5 سم كرتونة 100</v>
      </c>
      <c r="C12" t="str">
        <v>6221100020090</v>
      </c>
      <c r="D12" t="str">
        <v/>
      </c>
      <c r="E12" t="str">
        <v>قطعة</v>
      </c>
      <c r="F12">
        <v>3</v>
      </c>
      <c r="G12">
        <v>1.9</v>
      </c>
      <c r="H12">
        <v>0</v>
      </c>
      <c r="I12">
        <v>40</v>
      </c>
      <c r="J12" s="1">
        <f>F12-G12</f>
      </c>
      <c r="K12" s="2">
        <f>IF(G12&gt;0, (F12-G12)/G12, 0)</f>
      </c>
      <c r="L12" s="1">
        <f>H12*G12</f>
      </c>
      <c r="M12" s="1">
        <f>H12*F12</f>
      </c>
      <c r="N12" s="1">
        <f>M12-L12</f>
      </c>
      <c r="O12">
        <f>IF(H12&lt;=0, "نفد من المخزن", IF(H12&lt;=I12, "قارب على النفاد", "متوفر بالمخزن"))</f>
      </c>
      <c r="P12">
        <v>0</v>
      </c>
      <c r="Q12" t="str">
        <v>PHR-0021</v>
      </c>
      <c r="R12" t="str">
        <v/>
      </c>
      <c r="S12" t="str">
        <v>5 سم</v>
      </c>
      <c r="T12" t="str">
        <v/>
      </c>
    </row>
    <row r="13">
      <c r="A13">
        <v>10</v>
      </c>
      <c r="B13" t="str">
        <v>كمامة طبية 3 طبقات دعامة أنف باكت 50 قطعة</v>
      </c>
      <c r="C13" t="str">
        <v>6221100020106</v>
      </c>
      <c r="D13" t="str">
        <v/>
      </c>
      <c r="E13" t="str">
        <v>قطعة</v>
      </c>
      <c r="F13">
        <v>40</v>
      </c>
      <c r="G13">
        <v>24</v>
      </c>
      <c r="H13">
        <v>0</v>
      </c>
      <c r="I13">
        <v>10</v>
      </c>
      <c r="J13" s="1">
        <f>F13-G13</f>
      </c>
      <c r="K13" s="2">
        <f>IF(G13&gt;0, (F13-G13)/G13, 0)</f>
      </c>
      <c r="L13" s="1">
        <f>H13*G13</f>
      </c>
      <c r="M13" s="1">
        <f>H13*F13</f>
      </c>
      <c r="N13" s="1">
        <f>M13-L13</f>
      </c>
      <c r="O13">
        <f>IF(H13&lt;=0, "نفد من المخزن", IF(H13&lt;=I13, "قارب على النفاد", "متوفر بالمخزن"))</f>
      </c>
      <c r="P13">
        <v>0</v>
      </c>
      <c r="Q13" t="str">
        <v>PHR-0022</v>
      </c>
      <c r="R13" t="str">
        <v>أزرق</v>
      </c>
      <c r="S13" t="str">
        <v/>
      </c>
      <c r="T13" t="str">
        <v/>
      </c>
    </row>
    <row r="14">
      <c r="A14">
        <v>11</v>
      </c>
      <c r="B14" t="str">
        <v>جهاز قياس السكر في الدم أكوا شيك إنستانت + 10 شرائط</v>
      </c>
      <c r="C14" t="str">
        <v>4015630012345</v>
      </c>
      <c r="D14" t="str">
        <v/>
      </c>
      <c r="E14" t="str">
        <v>قطعة</v>
      </c>
      <c r="F14">
        <v>550</v>
      </c>
      <c r="G14">
        <v>440</v>
      </c>
      <c r="H14">
        <v>10</v>
      </c>
      <c r="I14">
        <v>2</v>
      </c>
      <c r="J14" s="1">
        <f>F14-G14</f>
      </c>
      <c r="K14" s="2">
        <f>IF(G14&gt;0, (F14-G14)/G14, 0)</f>
      </c>
      <c r="L14" s="1">
        <f>H14*G14</f>
      </c>
      <c r="M14" s="1">
        <f>H14*F14</f>
      </c>
      <c r="N14" s="1">
        <f>M14-L14</f>
      </c>
      <c r="O14">
        <f>IF(H14&lt;=0, "نفد من المخزن", IF(H14&lt;=I14, "قارب على النفاد", "متوفر بالمخزن"))</f>
      </c>
      <c r="P14">
        <v>0</v>
      </c>
      <c r="Q14" t="str">
        <v>SUP-0001</v>
      </c>
      <c r="R14" t="str">
        <v/>
      </c>
      <c r="S14" t="str">
        <v/>
      </c>
      <c r="T14" t="str">
        <v/>
      </c>
    </row>
    <row r="15">
      <c r="A15">
        <v>12</v>
      </c>
      <c r="B15" t="str">
        <v>شرائط قياس سكر أكوا شيك إنستانت علبة 50 شريط</v>
      </c>
      <c r="C15" t="str">
        <v>4015630012352</v>
      </c>
      <c r="D15" t="str">
        <v/>
      </c>
      <c r="E15" t="str">
        <v>قطعة</v>
      </c>
      <c r="F15">
        <v>380</v>
      </c>
      <c r="G15">
        <v>310</v>
      </c>
      <c r="H15">
        <v>25</v>
      </c>
      <c r="I15">
        <v>5</v>
      </c>
      <c r="J15" s="1">
        <f>F15-G15</f>
      </c>
      <c r="K15" s="2">
        <f>IF(G15&gt;0, (F15-G15)/G15, 0)</f>
      </c>
      <c r="L15" s="1">
        <f>H15*G15</f>
      </c>
      <c r="M15" s="1">
        <f>H15*F15</f>
      </c>
      <c r="N15" s="1">
        <f>M15-L15</f>
      </c>
      <c r="O15">
        <f>IF(H15&lt;=0, "نفد من المخزن", IF(H15&lt;=I15, "قارب على النفاد", "متوفر بالمخزن"))</f>
      </c>
      <c r="P15">
        <v>0</v>
      </c>
      <c r="Q15" t="str">
        <v>SUP-0002</v>
      </c>
      <c r="R15" t="str">
        <v/>
      </c>
      <c r="S15" t="str">
        <v/>
      </c>
      <c r="T15" t="str">
        <v/>
      </c>
    </row>
    <row r="16">
      <c r="A16">
        <v>13</v>
      </c>
      <c r="B16" t="str">
        <v>جهاز قياس ضغط الدم ديجيتال أومرون M2 للذراع</v>
      </c>
      <c r="C16" t="str">
        <v>4015672101234</v>
      </c>
      <c r="D16" t="str">
        <v/>
      </c>
      <c r="E16" t="str">
        <v>قطعة</v>
      </c>
      <c r="F16">
        <v>1650</v>
      </c>
      <c r="G16">
        <v>1350</v>
      </c>
      <c r="H16">
        <v>5</v>
      </c>
      <c r="I16">
        <v>1</v>
      </c>
      <c r="J16" s="1">
        <f>F16-G16</f>
      </c>
      <c r="K16" s="2">
        <f>IF(G16&gt;0, (F16-G16)/G16, 0)</f>
      </c>
      <c r="L16" s="1">
        <f>H16*G16</f>
      </c>
      <c r="M16" s="1">
        <f>H16*F16</f>
      </c>
      <c r="N16" s="1">
        <f>M16-L16</f>
      </c>
      <c r="O16">
        <f>IF(H16&lt;=0, "نفد من المخزن", IF(H16&lt;=I16, "قارب على النفاد", "متوفر بالمخزن"))</f>
      </c>
      <c r="P16">
        <v>0</v>
      </c>
      <c r="Q16" t="str">
        <v>SUP-0003</v>
      </c>
      <c r="R16" t="str">
        <v/>
      </c>
      <c r="S16" t="str">
        <v/>
      </c>
      <c r="T16" t="str">
        <v/>
      </c>
    </row>
    <row r="17">
      <c r="A17">
        <v>14</v>
      </c>
      <c r="B17" t="str">
        <v>جهاز استنشاق بخار ونيبولايزر للأطفال والكبار بروسوفت</v>
      </c>
      <c r="C17" t="str">
        <v>6221100020113</v>
      </c>
      <c r="D17" t="str">
        <v/>
      </c>
      <c r="E17" t="str">
        <v>قطعة</v>
      </c>
      <c r="F17">
        <v>850</v>
      </c>
      <c r="G17">
        <v>680</v>
      </c>
      <c r="H17">
        <v>8</v>
      </c>
      <c r="I17">
        <v>2</v>
      </c>
      <c r="J17" s="1">
        <f>F17-G17</f>
      </c>
      <c r="K17" s="2">
        <f>IF(G17&gt;0, (F17-G17)/G17, 0)</f>
      </c>
      <c r="L17" s="1">
        <f>H17*G17</f>
      </c>
      <c r="M17" s="1">
        <f>H17*F17</f>
      </c>
      <c r="N17" s="1">
        <f>M17-L17</f>
      </c>
      <c r="O17">
        <f>IF(H17&lt;=0, "نفد من المخزن", IF(H17&lt;=I17, "قارب على النفاد", "متوفر بالمخزن"))</f>
      </c>
      <c r="P17">
        <v>0</v>
      </c>
      <c r="Q17" t="str">
        <v>SUP-0004</v>
      </c>
      <c r="R17" t="str">
        <v/>
      </c>
      <c r="S17" t="str">
        <v/>
      </c>
      <c r="T17" t="str">
        <v/>
      </c>
    </row>
    <row r="18">
      <c r="A18">
        <v>15</v>
      </c>
      <c r="B18" t="str">
        <v>محلول ملح فسيولوجي معقم للوريد 0.9% 500 مل</v>
      </c>
      <c r="C18" t="str">
        <v>6221100020120</v>
      </c>
      <c r="D18" t="str">
        <v/>
      </c>
      <c r="E18" t="str">
        <v>قطعة</v>
      </c>
      <c r="F18">
        <v>20</v>
      </c>
      <c r="G18">
        <v>14</v>
      </c>
      <c r="H18">
        <v>50</v>
      </c>
      <c r="I18">
        <v>10</v>
      </c>
      <c r="J18" s="1">
        <f>F18-G18</f>
      </c>
      <c r="K18" s="2">
        <f>IF(G18&gt;0, (F18-G18)/G18, 0)</f>
      </c>
      <c r="L18" s="1">
        <f>H18*G18</f>
      </c>
      <c r="M18" s="1">
        <f>H18*F18</f>
      </c>
      <c r="N18" s="1">
        <f>M18-L18</f>
      </c>
      <c r="O18">
        <f>IF(H18&lt;=0, "نفد من المخزن", IF(H18&lt;=I18, "قارب على النفاد", "متوفر بالمخزن"))</f>
      </c>
      <c r="P18">
        <v>0</v>
      </c>
      <c r="Q18" t="str">
        <v>SUP-0005</v>
      </c>
      <c r="R18" t="str">
        <v/>
      </c>
      <c r="S18" t="str">
        <v>500 مل</v>
      </c>
      <c r="T18" t="str">
        <v/>
      </c>
    </row>
    <row r="19">
      <c r="A19">
        <v>16</v>
      </c>
      <c r="B19" t="str">
        <v>محلول جلوكوز 5% للوريد معقم 500 مل</v>
      </c>
      <c r="C19" t="str">
        <v>6221100020137</v>
      </c>
      <c r="D19" t="str">
        <v/>
      </c>
      <c r="E19" t="str">
        <v>قطعة</v>
      </c>
      <c r="F19">
        <v>22</v>
      </c>
      <c r="G19">
        <v>15</v>
      </c>
      <c r="H19">
        <v>40</v>
      </c>
      <c r="I19">
        <v>10</v>
      </c>
      <c r="J19" s="1">
        <f>F19-G19</f>
      </c>
      <c r="K19" s="2">
        <f>IF(G19&gt;0, (F19-G19)/G19, 0)</f>
      </c>
      <c r="L19" s="1">
        <f>H19*G19</f>
      </c>
      <c r="M19" s="1">
        <f>H19*F19</f>
      </c>
      <c r="N19" s="1">
        <f>M19-L19</f>
      </c>
      <c r="O19">
        <f>IF(H19&lt;=0, "نفد من المخزن", IF(H19&lt;=I19, "قارب على النفاد", "متوفر بالمخزن"))</f>
      </c>
      <c r="P19">
        <v>0</v>
      </c>
      <c r="Q19" t="str">
        <v>SUP-0006</v>
      </c>
      <c r="R19" t="str">
        <v/>
      </c>
      <c r="S19" t="str">
        <v>500 مل</v>
      </c>
      <c r="T19" t="str">
        <v/>
      </c>
    </row>
    <row r="20">
      <c r="A20">
        <v>17</v>
      </c>
      <c r="B20" t="str">
        <v>كانيولا وريدية مقاس 22 زرقاء كرتونة 50 قطعة</v>
      </c>
      <c r="C20" t="str">
        <v>6221100020144</v>
      </c>
      <c r="D20" t="str">
        <v/>
      </c>
      <c r="E20" t="str">
        <v>قطعة</v>
      </c>
      <c r="F20">
        <v>8</v>
      </c>
      <c r="G20">
        <v>5</v>
      </c>
      <c r="H20">
        <v>100</v>
      </c>
      <c r="I20">
        <v>20</v>
      </c>
      <c r="J20" s="1">
        <f>F20-G20</f>
      </c>
      <c r="K20" s="2">
        <f>IF(G20&gt;0, (F20-G20)/G20, 0)</f>
      </c>
      <c r="L20" s="1">
        <f>H20*G20</f>
      </c>
      <c r="M20" s="1">
        <f>H20*F20</f>
      </c>
      <c r="N20" s="1">
        <f>M20-L20</f>
      </c>
      <c r="O20">
        <f>IF(H20&lt;=0, "نفد من المخزن", IF(H20&lt;=I20, "قارب على النفاد", "متوفر بالمخزن"))</f>
      </c>
      <c r="P20">
        <v>0</v>
      </c>
      <c r="Q20" t="str">
        <v>SUP-0007</v>
      </c>
      <c r="R20" t="str">
        <v/>
      </c>
      <c r="S20" t="str">
        <v>مقاس 22</v>
      </c>
      <c r="T20" t="str">
        <v/>
      </c>
    </row>
    <row r="21">
      <c r="A21">
        <v>18</v>
      </c>
      <c r="B21" t="str">
        <v>جهاز نقل محاليل وريدي معقم</v>
      </c>
      <c r="C21" t="str">
        <v>6221100020151</v>
      </c>
      <c r="D21" t="str">
        <v/>
      </c>
      <c r="E21" t="str">
        <v>قطعة</v>
      </c>
      <c r="F21">
        <v>7</v>
      </c>
      <c r="G21">
        <v>4.5</v>
      </c>
      <c r="H21">
        <v>100</v>
      </c>
      <c r="I21">
        <v>20</v>
      </c>
      <c r="J21" s="1">
        <f>F21-G21</f>
      </c>
      <c r="K21" s="2">
        <f>IF(G21&gt;0, (F21-G21)/G21, 0)</f>
      </c>
      <c r="L21" s="1">
        <f>H21*G21</f>
      </c>
      <c r="M21" s="1">
        <f>H21*F21</f>
      </c>
      <c r="N21" s="1">
        <f>M21-L21</f>
      </c>
      <c r="O21">
        <f>IF(H21&lt;=0, "نفد من المخزن", IF(H21&lt;=I21, "قارب على النفاد", "متوفر بالمخزن"))</f>
      </c>
      <c r="P21">
        <v>0</v>
      </c>
      <c r="Q21" t="str">
        <v>SUP-0008</v>
      </c>
      <c r="R21" t="str">
        <v/>
      </c>
      <c r="S21" t="str">
        <v/>
      </c>
      <c r="T21" t="str">
        <v/>
      </c>
    </row>
    <row r="22">
      <c r="A22">
        <v>19</v>
      </c>
      <c r="B22" t="str">
        <v>قفازات طبية لاتكس معقمة علبة 100 قفاز مقاس وسط M</v>
      </c>
      <c r="C22" t="str">
        <v>6221100020168</v>
      </c>
      <c r="D22" t="str">
        <v/>
      </c>
      <c r="E22" t="str">
        <v>قطعة</v>
      </c>
      <c r="F22">
        <v>160</v>
      </c>
      <c r="G22">
        <v>120</v>
      </c>
      <c r="H22">
        <v>30</v>
      </c>
      <c r="I22">
        <v>6</v>
      </c>
      <c r="J22" s="1">
        <f>F22-G22</f>
      </c>
      <c r="K22" s="2">
        <f>IF(G22&gt;0, (F22-G22)/G22, 0)</f>
      </c>
      <c r="L22" s="1">
        <f>H22*G22</f>
      </c>
      <c r="M22" s="1">
        <f>H22*F22</f>
      </c>
      <c r="N22" s="1">
        <f>M22-L22</f>
      </c>
      <c r="O22">
        <f>IF(H22&lt;=0, "نفد من المخزن", IF(H22&lt;=I22, "قارب على النفاد", "متوفر بالمخزن"))</f>
      </c>
      <c r="P22">
        <v>0</v>
      </c>
      <c r="Q22" t="str">
        <v>SUP-0009</v>
      </c>
      <c r="R22" t="str">
        <v/>
      </c>
      <c r="S22" t="str">
        <v>M</v>
      </c>
      <c r="T22" t="str">
        <v/>
      </c>
    </row>
    <row r="23">
      <c r="A23">
        <v>20</v>
      </c>
      <c r="B23" t="str">
        <v>اختبار حمل منزلي سريع شريط كاشف دقيق بيبي تشيك</v>
      </c>
      <c r="C23" t="str">
        <v>6221100020175</v>
      </c>
      <c r="D23" t="str">
        <v/>
      </c>
      <c r="E23" t="str">
        <v>قطعة</v>
      </c>
      <c r="F23">
        <v>25</v>
      </c>
      <c r="G23">
        <v>14</v>
      </c>
      <c r="H23">
        <v>60</v>
      </c>
      <c r="I23">
        <v>15</v>
      </c>
      <c r="J23" s="1">
        <f>F23-G23</f>
      </c>
      <c r="K23" s="2">
        <f>IF(G23&gt;0, (F23-G23)/G23, 0)</f>
      </c>
      <c r="L23" s="1">
        <f>H23*G23</f>
      </c>
      <c r="M23" s="1">
        <f>H23*F23</f>
      </c>
      <c r="N23" s="1">
        <f>M23-L23</f>
      </c>
      <c r="O23">
        <f>IF(H23&lt;=0, "نفد من المخزن", IF(H23&lt;=I23, "قارب على النفاد", "متوفر بالمخزن"))</f>
      </c>
      <c r="P23">
        <v>0</v>
      </c>
      <c r="Q23" t="str">
        <v>SUP-0010</v>
      </c>
      <c r="R23" t="str">
        <v/>
      </c>
      <c r="S23" t="str">
        <v/>
      </c>
      <c r="T23" t="str">
        <v/>
      </c>
    </row>
    <row r="24">
      <c r="A24" t="str">
        <v>الإجمالي</v>
      </c>
      <c r="B24" t="str">
        <v>عدد الأصناف: 20</v>
      </c>
      <c r="C24" t="str">
        <v/>
      </c>
      <c r="D24" t="str">
        <v/>
      </c>
      <c r="E24" t="str">
        <v/>
      </c>
      <c r="F24" s="1">
        <f>AVERAGE(F4:F23)</f>
      </c>
      <c r="G24" s="1">
        <f>AVERAGE(G4:G23)</f>
      </c>
      <c r="H24" s="3">
        <f>SUM(H4:H23)</f>
      </c>
      <c r="I24" s="3">
        <f>SUM(I4:I23)</f>
      </c>
      <c r="J24" s="1">
        <f>AVERAGE(J4:J23)</f>
      </c>
      <c r="K24" s="2">
        <f>AVERAGE(K4:K23)</f>
      </c>
      <c r="L24" s="1">
        <f>SUM(L4:L23)</f>
      </c>
      <c r="M24" s="1">
        <f>SUM(M4:M23)</f>
      </c>
      <c r="N24" s="1">
        <f>SUM(N4:N23)</f>
      </c>
      <c r="O24" t="str">
        <v>محسوب بمعادلات إكسل</v>
      </c>
      <c r="P24" t="str">
        <v/>
      </c>
      <c r="Q24" t="str">
        <v/>
      </c>
      <c r="R24" t="str">
        <v/>
      </c>
      <c r="S24" t="str">
        <v/>
      </c>
      <c r="T24" t="str">
        <v/>
      </c>
    </row>
  </sheetData>
  <mergeCells count="2">
    <mergeCell ref="A1:T1"/>
    <mergeCell ref="A2:T2"/>
  </mergeCells>
  <ignoredErrors>
    <ignoredError numberStoredAsText="1" sqref="A1:T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cols>
    <col min="1" max="1" width="6.83203125" customWidth="1"/>
    <col min="2" max="2" width="44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5.83203125" customWidth="1"/>
  </cols>
  <sheetData>
    <row r="1">
      <c r="A1" t="str">
        <v>رفيق POS - قائمة أصناف قسم: [عناية بالأم والطفل]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حفاضات بامبرز مقاس 3 عبوة التوفير 58 حفاضة</v>
      </c>
      <c r="C4" t="str">
        <v>6221100030013</v>
      </c>
      <c r="D4" t="str">
        <v/>
      </c>
      <c r="E4" t="str">
        <v>قطعة</v>
      </c>
      <c r="F4">
        <v>290</v>
      </c>
      <c r="G4">
        <v>255</v>
      </c>
      <c r="H4">
        <v>0</v>
      </c>
      <c r="I4">
        <v>5</v>
      </c>
      <c r="J4" s="1">
        <f>F4-G4</f>
      </c>
      <c r="K4" s="2">
        <f>IF(G4&gt;0, (F4-G4)/G4, 0)</f>
      </c>
      <c r="L4" s="1">
        <f>H4*G4</f>
      </c>
      <c r="M4" s="1">
        <f>H4*F4</f>
      </c>
      <c r="N4" s="1">
        <f>M4-L4</f>
      </c>
      <c r="O4">
        <f>IF(H4&lt;=0, "نفد من المخزن", IF(H4&lt;=I4, "قارب على النفاد", "متوفر بالمخزن"))</f>
      </c>
      <c r="P4">
        <v>0</v>
      </c>
      <c r="Q4" t="str">
        <v>PHR-0023</v>
      </c>
      <c r="R4" t="str">
        <v/>
      </c>
      <c r="S4" t="str">
        <v>مقاس 3</v>
      </c>
      <c r="T4" t="str">
        <v/>
      </c>
    </row>
    <row r="5">
      <c r="A5">
        <v>2</v>
      </c>
      <c r="B5" t="str">
        <v>حفاضات بامبرز مقاس 4 عبوة جامبو 64 حفاضة</v>
      </c>
      <c r="C5" t="str">
        <v>6221100030020</v>
      </c>
      <c r="D5" t="str">
        <v/>
      </c>
      <c r="E5" t="str">
        <v>قطعة</v>
      </c>
      <c r="F5">
        <v>320</v>
      </c>
      <c r="G5">
        <v>280</v>
      </c>
      <c r="H5">
        <v>0</v>
      </c>
      <c r="I5">
        <v>5</v>
      </c>
      <c r="J5" s="1">
        <f>F5-G5</f>
      </c>
      <c r="K5" s="2">
        <f>IF(G5&gt;0, (F5-G5)/G5, 0)</f>
      </c>
      <c r="L5" s="1">
        <f>H5*G5</f>
      </c>
      <c r="M5" s="1">
        <f>H5*F5</f>
      </c>
      <c r="N5" s="1">
        <f>M5-L5</f>
      </c>
      <c r="O5">
        <f>IF(H5&lt;=0, "نفد من المخزن", IF(H5&lt;=I5, "قارب على النفاد", "متوفر بالمخزن"))</f>
      </c>
      <c r="P5">
        <v>0</v>
      </c>
      <c r="Q5" t="str">
        <v>PHR-0024</v>
      </c>
      <c r="R5" t="str">
        <v/>
      </c>
      <c r="S5" t="str">
        <v>مقاس 4</v>
      </c>
      <c r="T5" t="str">
        <v/>
      </c>
    </row>
    <row r="6">
      <c r="A6">
        <v>3</v>
      </c>
      <c r="B6" t="str">
        <v>حفاضات مولفيكس مقاس 3 عبوة 58 حفاضة</v>
      </c>
      <c r="C6" t="str">
        <v>6221100030037</v>
      </c>
      <c r="D6" t="str">
        <v/>
      </c>
      <c r="E6" t="str">
        <v>قطعة</v>
      </c>
      <c r="F6">
        <v>260</v>
      </c>
      <c r="G6">
        <v>228</v>
      </c>
      <c r="H6">
        <v>0</v>
      </c>
      <c r="I6">
        <v>5</v>
      </c>
      <c r="J6" s="1">
        <f>F6-G6</f>
      </c>
      <c r="K6" s="2">
        <f>IF(G6&gt;0, (F6-G6)/G6, 0)</f>
      </c>
      <c r="L6" s="1">
        <f>H6*G6</f>
      </c>
      <c r="M6" s="1">
        <f>H6*F6</f>
      </c>
      <c r="N6" s="1">
        <f>M6-L6</f>
      </c>
      <c r="O6">
        <f>IF(H6&lt;=0, "نفد من المخزن", IF(H6&lt;=I6, "قارب على النفاد", "متوفر بالمخزن"))</f>
      </c>
      <c r="P6">
        <v>0</v>
      </c>
      <c r="Q6" t="str">
        <v>PHR-0025</v>
      </c>
      <c r="R6" t="str">
        <v/>
      </c>
      <c r="S6" t="str">
        <v>مقاس 3</v>
      </c>
      <c r="T6" t="str">
        <v/>
      </c>
    </row>
    <row r="7">
      <c r="A7">
        <v>4</v>
      </c>
      <c r="B7" t="str">
        <v>مناديل مبللة جونسون للأطفال بدون كحول 72 منديل</v>
      </c>
      <c r="C7" t="str">
        <v>6221100030044</v>
      </c>
      <c r="D7" t="str">
        <v/>
      </c>
      <c r="E7" t="str">
        <v>قطعة</v>
      </c>
      <c r="F7">
        <v>45</v>
      </c>
      <c r="G7">
        <v>35</v>
      </c>
      <c r="H7">
        <v>0</v>
      </c>
      <c r="I7">
        <v>8</v>
      </c>
      <c r="J7" s="1">
        <f>F7-G7</f>
      </c>
      <c r="K7" s="2">
        <f>IF(G7&gt;0, (F7-G7)/G7, 0)</f>
      </c>
      <c r="L7" s="1">
        <f>H7*G7</f>
      </c>
      <c r="M7" s="1">
        <f>H7*F7</f>
      </c>
      <c r="N7" s="1">
        <f>M7-L7</f>
      </c>
      <c r="O7">
        <f>IF(H7&lt;=0, "نفد من المخزن", IF(H7&lt;=I7, "قارب على النفاد", "متوفر بالمخزن"))</f>
      </c>
      <c r="P7">
        <v>0</v>
      </c>
      <c r="Q7" t="str">
        <v>PHR-0026</v>
      </c>
      <c r="R7" t="str">
        <v/>
      </c>
      <c r="S7" t="str">
        <v/>
      </c>
      <c r="T7" t="str">
        <v/>
      </c>
    </row>
    <row r="8">
      <c r="A8">
        <v>5</v>
      </c>
      <c r="B8" t="str">
        <v>شامبو جونسون للأطفال لا دموع بعد اليوم 300 مل</v>
      </c>
      <c r="C8" t="str">
        <v>6221100030051</v>
      </c>
      <c r="D8" t="str">
        <v/>
      </c>
      <c r="E8" t="str">
        <v>قطعة</v>
      </c>
      <c r="F8">
        <v>65</v>
      </c>
      <c r="G8">
        <v>52</v>
      </c>
      <c r="H8">
        <v>0</v>
      </c>
      <c r="I8">
        <v>6</v>
      </c>
      <c r="J8" s="1">
        <f>F8-G8</f>
      </c>
      <c r="K8" s="2">
        <f>IF(G8&gt;0, (F8-G8)/G8, 0)</f>
      </c>
      <c r="L8" s="1">
        <f>H8*G8</f>
      </c>
      <c r="M8" s="1">
        <f>H8*F8</f>
      </c>
      <c r="N8" s="1">
        <f>M8-L8</f>
      </c>
      <c r="O8">
        <f>IF(H8&lt;=0, "نفد من المخزن", IF(H8&lt;=I8, "قارب على النفاد", "متوفر بالمخزن"))</f>
      </c>
      <c r="P8">
        <v>0</v>
      </c>
      <c r="Q8" t="str">
        <v>PHR-0027</v>
      </c>
      <c r="R8" t="str">
        <v/>
      </c>
      <c r="S8" t="str">
        <v>300 مل</v>
      </c>
      <c r="T8" t="str">
        <v/>
      </c>
    </row>
    <row r="9">
      <c r="A9">
        <v>6</v>
      </c>
      <c r="B9" t="str">
        <v>زيت جونسون للأطفال مرطب ناعم 200 مل</v>
      </c>
      <c r="C9" t="str">
        <v>6221100030068</v>
      </c>
      <c r="D9" t="str">
        <v/>
      </c>
      <c r="E9" t="str">
        <v>قطعة</v>
      </c>
      <c r="F9">
        <v>60</v>
      </c>
      <c r="G9">
        <v>48</v>
      </c>
      <c r="H9">
        <v>0</v>
      </c>
      <c r="I9">
        <v>6</v>
      </c>
      <c r="J9" s="1">
        <f>F9-G9</f>
      </c>
      <c r="K9" s="2">
        <f>IF(G9&gt;0, (F9-G9)/G9, 0)</f>
      </c>
      <c r="L9" s="1">
        <f>H9*G9</f>
      </c>
      <c r="M9" s="1">
        <f>H9*F9</f>
      </c>
      <c r="N9" s="1">
        <f>M9-L9</f>
      </c>
      <c r="O9">
        <f>IF(H9&lt;=0, "نفد من المخزن", IF(H9&lt;=I9, "قارب على النفاد", "متوفر بالمخزن"))</f>
      </c>
      <c r="P9">
        <v>0</v>
      </c>
      <c r="Q9" t="str">
        <v>PHR-0028</v>
      </c>
      <c r="R9" t="str">
        <v/>
      </c>
      <c r="S9" t="str">
        <v>200 مل</v>
      </c>
      <c r="T9" t="str">
        <v/>
      </c>
    </row>
    <row r="10">
      <c r="A10">
        <v>7</v>
      </c>
      <c r="B10" t="str">
        <v>بودرة تلك جونسون للأطفال نقية 200 جم</v>
      </c>
      <c r="C10" t="str">
        <v>6221100030075</v>
      </c>
      <c r="D10" t="str">
        <v/>
      </c>
      <c r="E10" t="str">
        <v>قطعة</v>
      </c>
      <c r="F10">
        <v>50</v>
      </c>
      <c r="G10">
        <v>39</v>
      </c>
      <c r="H10">
        <v>0</v>
      </c>
      <c r="I10">
        <v>7</v>
      </c>
      <c r="J10" s="1">
        <f>F10-G10</f>
      </c>
      <c r="K10" s="2">
        <f>IF(G10&gt;0, (F10-G10)/G10, 0)</f>
      </c>
      <c r="L10" s="1">
        <f>H10*G10</f>
      </c>
      <c r="M10" s="1">
        <f>H10*F10</f>
      </c>
      <c r="N10" s="1">
        <f>M10-L10</f>
      </c>
      <c r="O10">
        <f>IF(H10&lt;=0, "نفد من المخزن", IF(H10&lt;=I10, "قارب على النفاد", "متوفر بالمخزن"))</f>
      </c>
      <c r="P10">
        <v>0</v>
      </c>
      <c r="Q10" t="str">
        <v>PHR-0029</v>
      </c>
      <c r="R10" t="str">
        <v/>
      </c>
      <c r="S10" t="str">
        <v>200 جم</v>
      </c>
      <c r="T10" t="str">
        <v/>
      </c>
    </row>
    <row r="11">
      <c r="A11">
        <v>8</v>
      </c>
      <c r="B11" t="str">
        <v>كريم سودوكريم لعلاج تسلخات الحفاضات 125 جم</v>
      </c>
      <c r="C11" t="str">
        <v>6221100030082</v>
      </c>
      <c r="D11" t="str">
        <v/>
      </c>
      <c r="E11" t="str">
        <v>قطعة</v>
      </c>
      <c r="F11">
        <v>185</v>
      </c>
      <c r="G11">
        <v>152</v>
      </c>
      <c r="H11">
        <v>0</v>
      </c>
      <c r="I11">
        <v>4</v>
      </c>
      <c r="J11" s="1">
        <f>F11-G11</f>
      </c>
      <c r="K11" s="2">
        <f>IF(G11&gt;0, (F11-G11)/G11, 0)</f>
      </c>
      <c r="L11" s="1">
        <f>H11*G11</f>
      </c>
      <c r="M11" s="1">
        <f>H11*F11</f>
      </c>
      <c r="N11" s="1">
        <f>M11-L11</f>
      </c>
      <c r="O11">
        <f>IF(H11&lt;=0, "نفد من المخزن", IF(H11&lt;=I11, "قارب على النفاد", "متوفر بالمخزن"))</f>
      </c>
      <c r="P11">
        <v>0</v>
      </c>
      <c r="Q11" t="str">
        <v>PHR-0030</v>
      </c>
      <c r="R11" t="str">
        <v/>
      </c>
      <c r="S11" t="str">
        <v>125 جم</v>
      </c>
      <c r="T11" t="str">
        <v/>
      </c>
    </row>
    <row r="12">
      <c r="A12">
        <v>9</v>
      </c>
      <c r="B12" t="str">
        <v>ببرونة أطفال شيكو زجاجية حلمة سيليكون 150 مل</v>
      </c>
      <c r="C12" t="str">
        <v>6221100030099</v>
      </c>
      <c r="D12" t="str">
        <v/>
      </c>
      <c r="E12" t="str">
        <v>قطعة</v>
      </c>
      <c r="F12">
        <v>95</v>
      </c>
      <c r="G12">
        <v>72</v>
      </c>
      <c r="H12">
        <v>0</v>
      </c>
      <c r="I12">
        <v>4</v>
      </c>
      <c r="J12" s="1">
        <f>F12-G12</f>
      </c>
      <c r="K12" s="2">
        <f>IF(G12&gt;0, (F12-G12)/G12, 0)</f>
      </c>
      <c r="L12" s="1">
        <f>H12*G12</f>
      </c>
      <c r="M12" s="1">
        <f>H12*F12</f>
      </c>
      <c r="N12" s="1">
        <f>M12-L12</f>
      </c>
      <c r="O12">
        <f>IF(H12&lt;=0, "نفد من المخزن", IF(H12&lt;=I12, "قارب على النفاد", "متوفر بالمخزن"))</f>
      </c>
      <c r="P12">
        <v>0</v>
      </c>
      <c r="Q12" t="str">
        <v>PHR-0031</v>
      </c>
      <c r="R12" t="str">
        <v/>
      </c>
      <c r="S12" t="str">
        <v>150 مل</v>
      </c>
      <c r="T12" t="str">
        <v/>
      </c>
    </row>
    <row r="13">
      <c r="A13">
        <v>10</v>
      </c>
      <c r="B13" t="str">
        <v>حليب أطفال نان 1 أوبتي برو من الولادة حتى 6 أشهر 400 جم</v>
      </c>
      <c r="C13" t="str">
        <v>7613035345678</v>
      </c>
      <c r="D13" t="str">
        <v/>
      </c>
      <c r="E13" t="str">
        <v>قطعة</v>
      </c>
      <c r="F13">
        <v>230</v>
      </c>
      <c r="G13">
        <v>195</v>
      </c>
      <c r="H13">
        <v>20</v>
      </c>
      <c r="I13">
        <v>4</v>
      </c>
      <c r="J13" s="1">
        <f>F13-G13</f>
      </c>
      <c r="K13" s="2">
        <f>IF(G13&gt;0, (F13-G13)/G13, 0)</f>
      </c>
      <c r="L13" s="1">
        <f>H13*G13</f>
      </c>
      <c r="M13" s="1">
        <f>H13*F13</f>
      </c>
      <c r="N13" s="1">
        <f>M13-L13</f>
      </c>
      <c r="O13">
        <f>IF(H13&lt;=0, "نفد من المخزن", IF(H13&lt;=I13, "قارب على النفاد", "متوفر بالمخزن"))</f>
      </c>
      <c r="P13">
        <v>0</v>
      </c>
      <c r="Q13" t="str">
        <v>BABY-0001</v>
      </c>
      <c r="R13" t="str">
        <v/>
      </c>
      <c r="S13" t="str">
        <v>400 جم</v>
      </c>
      <c r="T13" t="str">
        <v/>
      </c>
    </row>
    <row r="14">
      <c r="A14">
        <v>11</v>
      </c>
      <c r="B14" t="str">
        <v>حليب أطفال بيبيلاك 1 من الولادة حتى 6 أشهر 400 جم</v>
      </c>
      <c r="C14" t="str">
        <v>8712400123456</v>
      </c>
      <c r="D14" t="str">
        <v/>
      </c>
      <c r="E14" t="str">
        <v>قطعة</v>
      </c>
      <c r="F14">
        <v>195</v>
      </c>
      <c r="G14">
        <v>165</v>
      </c>
      <c r="H14">
        <v>20</v>
      </c>
      <c r="I14">
        <v>4</v>
      </c>
      <c r="J14" s="1">
        <f>F14-G14</f>
      </c>
      <c r="K14" s="2">
        <f>IF(G14&gt;0, (F14-G14)/G14, 0)</f>
      </c>
      <c r="L14" s="1">
        <f>H14*G14</f>
      </c>
      <c r="M14" s="1">
        <f>H14*F14</f>
      </c>
      <c r="N14" s="1">
        <f>M14-L14</f>
      </c>
      <c r="O14">
        <f>IF(H14&lt;=0, "نفد من المخزن", IF(H14&lt;=I14, "قارب على النفاد", "متوفر بالمخزن"))</f>
      </c>
      <c r="P14">
        <v>0</v>
      </c>
      <c r="Q14" t="str">
        <v>BABY-0002</v>
      </c>
      <c r="R14" t="str">
        <v/>
      </c>
      <c r="S14" t="str">
        <v>400 جم</v>
      </c>
      <c r="T14" t="str">
        <v/>
      </c>
    </row>
    <row r="15">
      <c r="A15">
        <v>12</v>
      </c>
      <c r="B15" t="str">
        <v>سيريلاك أطفال قمح وحليب من عمر 6 أشهر 250 جم</v>
      </c>
      <c r="C15" t="str">
        <v>7613031234567</v>
      </c>
      <c r="D15" t="str">
        <v/>
      </c>
      <c r="E15" t="str">
        <v>قطعة</v>
      </c>
      <c r="F15">
        <v>65</v>
      </c>
      <c r="G15">
        <v>52</v>
      </c>
      <c r="H15">
        <v>30</v>
      </c>
      <c r="I15">
        <v>6</v>
      </c>
      <c r="J15" s="1">
        <f>F15-G15</f>
      </c>
      <c r="K15" s="2">
        <f>IF(G15&gt;0, (F15-G15)/G15, 0)</f>
      </c>
      <c r="L15" s="1">
        <f>H15*G15</f>
      </c>
      <c r="M15" s="1">
        <f>H15*F15</f>
      </c>
      <c r="N15" s="1">
        <f>M15-L15</f>
      </c>
      <c r="O15">
        <f>IF(H15&lt;=0, "نفد من المخزن", IF(H15&lt;=I15, "قارب على النفاد", "متوفر بالمخزن"))</f>
      </c>
      <c r="P15">
        <v>0</v>
      </c>
      <c r="Q15" t="str">
        <v>BABY-0003</v>
      </c>
      <c r="R15" t="str">
        <v/>
      </c>
      <c r="S15" t="str">
        <v>250 جم</v>
      </c>
      <c r="T15" t="str">
        <v/>
      </c>
    </row>
    <row r="16">
      <c r="A16">
        <v>13</v>
      </c>
      <c r="B16" t="str">
        <v>لهاية أطفال سيليكون شيكو تقويمية 0-6 أشهر</v>
      </c>
      <c r="C16" t="str">
        <v>8058664012345</v>
      </c>
      <c r="D16" t="str">
        <v/>
      </c>
      <c r="E16" t="str">
        <v>قطعة</v>
      </c>
      <c r="F16">
        <v>85</v>
      </c>
      <c r="G16">
        <v>65</v>
      </c>
      <c r="H16">
        <v>25</v>
      </c>
      <c r="I16">
        <v>5</v>
      </c>
      <c r="J16" s="1">
        <f>F16-G16</f>
      </c>
      <c r="K16" s="2">
        <f>IF(G16&gt;0, (F16-G16)/G16, 0)</f>
      </c>
      <c r="L16" s="1">
        <f>H16*G16</f>
      </c>
      <c r="M16" s="1">
        <f>H16*F16</f>
      </c>
      <c r="N16" s="1">
        <f>M16-L16</f>
      </c>
      <c r="O16">
        <f>IF(H16&lt;=0, "نفد من المخزن", IF(H16&lt;=I16, "قارب على النفاد", "متوفر بالمخزن"))</f>
      </c>
      <c r="P16">
        <v>0</v>
      </c>
      <c r="Q16" t="str">
        <v>BABY-0004</v>
      </c>
      <c r="R16" t="str">
        <v/>
      </c>
      <c r="S16" t="str">
        <v>0-6 شهور</v>
      </c>
      <c r="T16" t="str">
        <v/>
      </c>
    </row>
    <row r="17">
      <c r="A17">
        <v>14</v>
      </c>
      <c r="B17" t="str">
        <v>كريم سانوسان لمنطقة الحفاض للأطفال بزيت الزيتون 150 مل</v>
      </c>
      <c r="C17" t="str">
        <v>4006083012345</v>
      </c>
      <c r="D17" t="str">
        <v/>
      </c>
      <c r="E17" t="str">
        <v>قطعة</v>
      </c>
      <c r="F17">
        <v>160</v>
      </c>
      <c r="G17">
        <v>125</v>
      </c>
      <c r="H17">
        <v>20</v>
      </c>
      <c r="I17">
        <v>4</v>
      </c>
      <c r="J17" s="1">
        <f>F17-G17</f>
      </c>
      <c r="K17" s="2">
        <f>IF(G17&gt;0, (F17-G17)/G17, 0)</f>
      </c>
      <c r="L17" s="1">
        <f>H17*G17</f>
      </c>
      <c r="M17" s="1">
        <f>H17*F17</f>
      </c>
      <c r="N17" s="1">
        <f>M17-L17</f>
      </c>
      <c r="O17">
        <f>IF(H17&lt;=0, "نفد من المخزن", IF(H17&lt;=I17, "قارب على النفاد", "متوفر بالمخزن"))</f>
      </c>
      <c r="P17">
        <v>0</v>
      </c>
      <c r="Q17" t="str">
        <v>BABY-0005</v>
      </c>
      <c r="R17" t="str">
        <v/>
      </c>
      <c r="S17" t="str">
        <v>150 مل</v>
      </c>
      <c r="T17" t="str">
        <v/>
      </c>
    </row>
    <row r="18">
      <c r="A18" t="str">
        <v>الإجمالي</v>
      </c>
      <c r="B18" t="str">
        <v>عدد الأصناف: 14</v>
      </c>
      <c r="C18" t="str">
        <v/>
      </c>
      <c r="D18" t="str">
        <v/>
      </c>
      <c r="E18" t="str">
        <v/>
      </c>
      <c r="F18" s="1">
        <f>AVERAGE(F4:F17)</f>
      </c>
      <c r="G18" s="1">
        <f>AVERAGE(G4:G17)</f>
      </c>
      <c r="H18" s="3">
        <f>SUM(H4:H17)</f>
      </c>
      <c r="I18" s="3">
        <f>SUM(I4:I17)</f>
      </c>
      <c r="J18" s="1">
        <f>AVERAGE(J4:J17)</f>
      </c>
      <c r="K18" s="2">
        <f>AVERAGE(K4:K17)</f>
      </c>
      <c r="L18" s="1">
        <f>SUM(L4:L17)</f>
      </c>
      <c r="M18" s="1">
        <f>SUM(M4:M17)</f>
      </c>
      <c r="N18" s="1">
        <f>SUM(N4:N17)</f>
      </c>
      <c r="O18" t="str">
        <v>محسوب بمعادلات إكسل</v>
      </c>
      <c r="P18" t="str">
        <v/>
      </c>
      <c r="Q18" t="str">
        <v/>
      </c>
      <c r="R18" t="str">
        <v/>
      </c>
      <c r="S18" t="str">
        <v/>
      </c>
      <c r="T18" t="str">
        <v/>
      </c>
    </row>
  </sheetData>
  <mergeCells count="2">
    <mergeCell ref="A1:T1"/>
    <mergeCell ref="A2:T2"/>
  </mergeCells>
  <ignoredErrors>
    <ignoredError numberStoredAsText="1" sqref="A1:T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31"/>
  <sheetViews>
    <sheetView workbookViewId="0"/>
  </sheetViews>
  <cols>
    <col min="1" max="1" width="6.83203125" customWidth="1"/>
    <col min="2" max="2" width="44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5.83203125" customWidth="1"/>
  </cols>
  <sheetData>
    <row r="1">
      <c r="A1" t="str">
        <v>رفيق POS - قائمة أصناف قسم: [تجميل وعناية بالبشرة]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غسول وجه غارنييه سكين أكتيف فيتامين سي 100 مل</v>
      </c>
      <c r="C4" t="str">
        <v>6221100040012</v>
      </c>
      <c r="D4" t="str">
        <v/>
      </c>
      <c r="E4" t="str">
        <v>قطعة</v>
      </c>
      <c r="F4">
        <v>85</v>
      </c>
      <c r="G4">
        <v>68</v>
      </c>
      <c r="H4">
        <v>0</v>
      </c>
      <c r="I4">
        <v>6</v>
      </c>
      <c r="J4" s="1">
        <f>F4-G4</f>
      </c>
      <c r="K4" s="2">
        <f>IF(G4&gt;0, (F4-G4)/G4, 0)</f>
      </c>
      <c r="L4" s="1">
        <f>H4*G4</f>
      </c>
      <c r="M4" s="1">
        <f>H4*F4</f>
      </c>
      <c r="N4" s="1">
        <f>M4-L4</f>
      </c>
      <c r="O4">
        <f>IF(H4&lt;=0, "نفد من المخزن", IF(H4&lt;=I4, "قارب على النفاد", "متوفر بالمخزن"))</f>
      </c>
      <c r="P4">
        <v>0</v>
      </c>
      <c r="Q4" t="str">
        <v>PHR-0032</v>
      </c>
      <c r="R4" t="str">
        <v/>
      </c>
      <c r="S4" t="str">
        <v>100 مل</v>
      </c>
      <c r="T4" t="str">
        <v/>
      </c>
    </row>
    <row r="5">
      <c r="A5">
        <v>2</v>
      </c>
      <c r="B5" t="str">
        <v>ماء ميسيلار منظف ومزيل مكياج غارنييه 400 مل</v>
      </c>
      <c r="C5" t="str">
        <v>6221100040029</v>
      </c>
      <c r="D5" t="str">
        <v/>
      </c>
      <c r="E5" t="str">
        <v>قطعة</v>
      </c>
      <c r="F5">
        <v>110</v>
      </c>
      <c r="G5">
        <v>89</v>
      </c>
      <c r="H5">
        <v>0</v>
      </c>
      <c r="I5">
        <v>5</v>
      </c>
      <c r="J5" s="1">
        <f>F5-G5</f>
      </c>
      <c r="K5" s="2">
        <f>IF(G5&gt;0, (F5-G5)/G5, 0)</f>
      </c>
      <c r="L5" s="1">
        <f>H5*G5</f>
      </c>
      <c r="M5" s="1">
        <f>H5*F5</f>
      </c>
      <c r="N5" s="1">
        <f>M5-L5</f>
      </c>
      <c r="O5">
        <f>IF(H5&lt;=0, "نفد من المخزن", IF(H5&lt;=I5, "قارب على النفاد", "متوفر بالمخزن"))</f>
      </c>
      <c r="P5">
        <v>0</v>
      </c>
      <c r="Q5" t="str">
        <v>PHR-0033</v>
      </c>
      <c r="R5" t="str">
        <v/>
      </c>
      <c r="S5" t="str">
        <v>400 مل</v>
      </c>
      <c r="T5" t="str">
        <v/>
      </c>
    </row>
    <row r="6">
      <c r="A6">
        <v>3</v>
      </c>
      <c r="B6" t="str">
        <v>كريم نيفيا سوفت مرطب منعش للجسم والوجه 200 مل</v>
      </c>
      <c r="C6" t="str">
        <v>6221100040036</v>
      </c>
      <c r="D6" t="str">
        <v/>
      </c>
      <c r="E6" t="str">
        <v>قطعة</v>
      </c>
      <c r="F6">
        <v>75</v>
      </c>
      <c r="G6">
        <v>58</v>
      </c>
      <c r="H6">
        <v>0</v>
      </c>
      <c r="I6">
        <v>7</v>
      </c>
      <c r="J6" s="1">
        <f>F6-G6</f>
      </c>
      <c r="K6" s="2">
        <f>IF(G6&gt;0, (F6-G6)/G6, 0)</f>
      </c>
      <c r="L6" s="1">
        <f>H6*G6</f>
      </c>
      <c r="M6" s="1">
        <f>H6*F6</f>
      </c>
      <c r="N6" s="1">
        <f>M6-L6</f>
      </c>
      <c r="O6">
        <f>IF(H6&lt;=0, "نفد من المخزن", IF(H6&lt;=I6, "قارب على النفاد", "متوفر بالمخزن"))</f>
      </c>
      <c r="P6">
        <v>0</v>
      </c>
      <c r="Q6" t="str">
        <v>PHR-0034</v>
      </c>
      <c r="R6" t="str">
        <v/>
      </c>
      <c r="S6" t="str">
        <v>200 مل</v>
      </c>
      <c r="T6" t="str">
        <v/>
      </c>
    </row>
    <row r="7">
      <c r="A7">
        <v>4</v>
      </c>
      <c r="B7" t="str">
        <v>كريم نيفيا أزرق كلاسيك علبة معدنية 150 مل</v>
      </c>
      <c r="C7" t="str">
        <v>6221100040043</v>
      </c>
      <c r="D7" t="str">
        <v/>
      </c>
      <c r="E7" t="str">
        <v>قطعة</v>
      </c>
      <c r="F7">
        <v>65</v>
      </c>
      <c r="G7">
        <v>51</v>
      </c>
      <c r="H7">
        <v>0</v>
      </c>
      <c r="I7">
        <v>8</v>
      </c>
      <c r="J7" s="1">
        <f>F7-G7</f>
      </c>
      <c r="K7" s="2">
        <f>IF(G7&gt;0, (F7-G7)/G7, 0)</f>
      </c>
      <c r="L7" s="1">
        <f>H7*G7</f>
      </c>
      <c r="M7" s="1">
        <f>H7*F7</f>
      </c>
      <c r="N7" s="1">
        <f>M7-L7</f>
      </c>
      <c r="O7">
        <f>IF(H7&lt;=0, "نفد من المخزن", IF(H7&lt;=I7, "قارب على النفاد", "متوفر بالمخزن"))</f>
      </c>
      <c r="P7">
        <v>0</v>
      </c>
      <c r="Q7" t="str">
        <v>PHR-0035</v>
      </c>
      <c r="R7" t="str">
        <v/>
      </c>
      <c r="S7" t="str">
        <v>150 مل</v>
      </c>
      <c r="T7" t="str">
        <v/>
      </c>
    </row>
    <row r="8">
      <c r="A8">
        <v>5</v>
      </c>
      <c r="B8" t="str">
        <v>صن بلوك واقي شمس بوباي جل SPF50+ 50 جم</v>
      </c>
      <c r="C8" t="str">
        <v>6221100040050</v>
      </c>
      <c r="D8" t="str">
        <v/>
      </c>
      <c r="E8" t="str">
        <v>قطعة</v>
      </c>
      <c r="F8">
        <v>160</v>
      </c>
      <c r="G8">
        <v>128</v>
      </c>
      <c r="H8">
        <v>0</v>
      </c>
      <c r="I8">
        <v>4</v>
      </c>
      <c r="J8" s="1">
        <f>F8-G8</f>
      </c>
      <c r="K8" s="2">
        <f>IF(G8&gt;0, (F8-G8)/G8, 0)</f>
      </c>
      <c r="L8" s="1">
        <f>H8*G8</f>
      </c>
      <c r="M8" s="1">
        <f>H8*F8</f>
      </c>
      <c r="N8" s="1">
        <f>M8-L8</f>
      </c>
      <c r="O8">
        <f>IF(H8&lt;=0, "نفد من المخزن", IF(H8&lt;=I8, "قارب على النفاد", "متوفر بالمخزن"))</f>
      </c>
      <c r="P8">
        <v>0</v>
      </c>
      <c r="Q8" t="str">
        <v>PHR-0036</v>
      </c>
      <c r="R8" t="str">
        <v/>
      </c>
      <c r="S8" t="str">
        <v>50 جم</v>
      </c>
      <c r="T8" t="str">
        <v/>
      </c>
    </row>
    <row r="9">
      <c r="A9">
        <v>6</v>
      </c>
      <c r="B9" t="str">
        <v>سيروم شعر سيروبايب كيراتين مضاد للتساقط 100 مل</v>
      </c>
      <c r="C9" t="str">
        <v>6221100040067</v>
      </c>
      <c r="D9" t="str">
        <v/>
      </c>
      <c r="E9" t="str">
        <v>قطعة</v>
      </c>
      <c r="F9">
        <v>195</v>
      </c>
      <c r="G9">
        <v>155</v>
      </c>
      <c r="H9">
        <v>0</v>
      </c>
      <c r="I9">
        <v>3</v>
      </c>
      <c r="J9" s="1">
        <f>F9-G9</f>
      </c>
      <c r="K9" s="2">
        <f>IF(G9&gt;0, (F9-G9)/G9, 0)</f>
      </c>
      <c r="L9" s="1">
        <f>H9*G9</f>
      </c>
      <c r="M9" s="1">
        <f>H9*F9</f>
      </c>
      <c r="N9" s="1">
        <f>M9-L9</f>
      </c>
      <c r="O9">
        <f>IF(H9&lt;=0, "نفد من المخزن", IF(H9&lt;=I9, "قارب على النفاد", "متوفر بالمخزن"))</f>
      </c>
      <c r="P9">
        <v>0</v>
      </c>
      <c r="Q9" t="str">
        <v>PHR-0037</v>
      </c>
      <c r="R9" t="str">
        <v/>
      </c>
      <c r="S9" t="str">
        <v>100 مل</v>
      </c>
      <c r="T9" t="str">
        <v/>
      </c>
    </row>
    <row r="10">
      <c r="A10">
        <v>7</v>
      </c>
      <c r="B10" t="str">
        <v>حمام كريم شعر فاتيكا بالثوم والنخاع 500 جم</v>
      </c>
      <c r="C10" t="str">
        <v>6221100040074</v>
      </c>
      <c r="D10" t="str">
        <v/>
      </c>
      <c r="E10" t="str">
        <v>قطعة</v>
      </c>
      <c r="F10">
        <v>65</v>
      </c>
      <c r="G10">
        <v>50</v>
      </c>
      <c r="H10">
        <v>0</v>
      </c>
      <c r="I10">
        <v>6</v>
      </c>
      <c r="J10" s="1">
        <f>F10-G10</f>
      </c>
      <c r="K10" s="2">
        <f>IF(G10&gt;0, (F10-G10)/G10, 0)</f>
      </c>
      <c r="L10" s="1">
        <f>H10*G10</f>
      </c>
      <c r="M10" s="1">
        <f>H10*F10</f>
      </c>
      <c r="N10" s="1">
        <f>M10-L10</f>
      </c>
      <c r="O10">
        <f>IF(H10&lt;=0, "نفد من المخزن", IF(H10&lt;=I10, "قارب على النفاد", "متوفر بالمخزن"))</f>
      </c>
      <c r="P10">
        <v>0</v>
      </c>
      <c r="Q10" t="str">
        <v>PHR-0038</v>
      </c>
      <c r="R10" t="str">
        <v/>
      </c>
      <c r="S10" t="str">
        <v>500 جم</v>
      </c>
      <c r="T10" t="str">
        <v/>
      </c>
    </row>
    <row r="11">
      <c r="A11">
        <v>8</v>
      </c>
      <c r="B11" t="str">
        <v>مزيل عرق ريكسونا بخاخ رجالي 150 مل حماية 48 ساعة</v>
      </c>
      <c r="C11" t="str">
        <v>6221100040081</v>
      </c>
      <c r="D11" t="str">
        <v/>
      </c>
      <c r="E11" t="str">
        <v>قطعة</v>
      </c>
      <c r="F11">
        <v>75</v>
      </c>
      <c r="G11">
        <v>59</v>
      </c>
      <c r="H11">
        <v>0</v>
      </c>
      <c r="I11">
        <v>7</v>
      </c>
      <c r="J11" s="1">
        <f>F11-G11</f>
      </c>
      <c r="K11" s="2">
        <f>IF(G11&gt;0, (F11-G11)/G11, 0)</f>
      </c>
      <c r="L11" s="1">
        <f>H11*G11</f>
      </c>
      <c r="M11" s="1">
        <f>H11*F11</f>
      </c>
      <c r="N11" s="1">
        <f>M11-L11</f>
      </c>
      <c r="O11">
        <f>IF(H11&lt;=0, "نفد من المخزن", IF(H11&lt;=I11, "قارب على النفاد", "متوفر بالمخزن"))</f>
      </c>
      <c r="P11">
        <v>0</v>
      </c>
      <c r="Q11" t="str">
        <v>PHR-0039</v>
      </c>
      <c r="R11" t="str">
        <v/>
      </c>
      <c r="S11" t="str">
        <v>150 مل</v>
      </c>
      <c r="T11" t="str">
        <v/>
      </c>
    </row>
    <row r="12">
      <c r="A12">
        <v>9</v>
      </c>
      <c r="B12" t="str">
        <v>مزيل عرق نيفيا رول أون حريمي 50 مل حماية جافة</v>
      </c>
      <c r="C12" t="str">
        <v>6221100040098</v>
      </c>
      <c r="D12" t="str">
        <v/>
      </c>
      <c r="E12" t="str">
        <v>قطعة</v>
      </c>
      <c r="F12">
        <v>55</v>
      </c>
      <c r="G12">
        <v>42</v>
      </c>
      <c r="H12">
        <v>0</v>
      </c>
      <c r="I12">
        <v>8</v>
      </c>
      <c r="J12" s="1">
        <f>F12-G12</f>
      </c>
      <c r="K12" s="2">
        <f>IF(G12&gt;0, (F12-G12)/G12, 0)</f>
      </c>
      <c r="L12" s="1">
        <f>H12*G12</f>
      </c>
      <c r="M12" s="1">
        <f>H12*F12</f>
      </c>
      <c r="N12" s="1">
        <f>M12-L12</f>
      </c>
      <c r="O12">
        <f>IF(H12&lt;=0, "نفد من المخزن", IF(H12&lt;=I12, "قارب على النفاد", "متوفر بالمخزن"))</f>
      </c>
      <c r="P12">
        <v>0</v>
      </c>
      <c r="Q12" t="str">
        <v>PHR-0040</v>
      </c>
      <c r="R12" t="str">
        <v/>
      </c>
      <c r="S12" t="str">
        <v>50 مل</v>
      </c>
      <c r="T12" t="str">
        <v/>
      </c>
    </row>
    <row r="13">
      <c r="A13">
        <v>10</v>
      </c>
      <c r="B13" t="str">
        <v>معجون أسنان سنسوداين للأسنان الحساسة 75 مل</v>
      </c>
      <c r="C13" t="str">
        <v>6221100040104</v>
      </c>
      <c r="D13" t="str">
        <v/>
      </c>
      <c r="E13" t="str">
        <v>قطعة</v>
      </c>
      <c r="F13">
        <v>65</v>
      </c>
      <c r="G13">
        <v>52</v>
      </c>
      <c r="H13">
        <v>0</v>
      </c>
      <c r="I13">
        <v>7</v>
      </c>
      <c r="J13" s="1">
        <f>F13-G13</f>
      </c>
      <c r="K13" s="2">
        <f>IF(G13&gt;0, (F13-G13)/G13, 0)</f>
      </c>
      <c r="L13" s="1">
        <f>H13*G13</f>
      </c>
      <c r="M13" s="1">
        <f>H13*F13</f>
      </c>
      <c r="N13" s="1">
        <f>M13-L13</f>
      </c>
      <c r="O13">
        <f>IF(H13&lt;=0, "نفد من المخزن", IF(H13&lt;=I13, "قارب على النفاد", "متوفر بالمخزن"))</f>
      </c>
      <c r="P13">
        <v>0</v>
      </c>
      <c r="Q13" t="str">
        <v>PHR-0041</v>
      </c>
      <c r="R13" t="str">
        <v/>
      </c>
      <c r="S13" t="str">
        <v>75 مل</v>
      </c>
      <c r="T13" t="str">
        <v/>
      </c>
    </row>
    <row r="14">
      <c r="A14">
        <v>11</v>
      </c>
      <c r="B14" t="str">
        <v>موس حلاقة جيليت بلو 3 شفرات متحركة كيس 4 قطع</v>
      </c>
      <c r="C14" t="str">
        <v>6221100040111</v>
      </c>
      <c r="D14" t="str">
        <v/>
      </c>
      <c r="E14" t="str">
        <v>قطعة</v>
      </c>
      <c r="F14">
        <v>55</v>
      </c>
      <c r="G14">
        <v>42</v>
      </c>
      <c r="H14">
        <v>0</v>
      </c>
      <c r="I14">
        <v>8</v>
      </c>
      <c r="J14" s="1">
        <f>F14-G14</f>
      </c>
      <c r="K14" s="2">
        <f>IF(G14&gt;0, (F14-G14)/G14, 0)</f>
      </c>
      <c r="L14" s="1">
        <f>H14*G14</f>
      </c>
      <c r="M14" s="1">
        <f>H14*F14</f>
      </c>
      <c r="N14" s="1">
        <f>M14-L14</f>
      </c>
      <c r="O14">
        <f>IF(H14&lt;=0, "نفد من المخزن", IF(H14&lt;=I14, "قارب على النفاد", "متوفر بالمخزن"))</f>
      </c>
      <c r="P14">
        <v>0</v>
      </c>
      <c r="Q14" t="str">
        <v>PHR-0042</v>
      </c>
      <c r="R14" t="str">
        <v/>
      </c>
      <c r="S14" t="str">
        <v/>
      </c>
      <c r="T14" t="str">
        <v/>
      </c>
    </row>
    <row r="15">
      <c r="A15">
        <v>12</v>
      </c>
      <c r="B15" t="str">
        <v>غسول لاروش بوزيه إيفاكلار جل للبشرة الدهنية 200 مل</v>
      </c>
      <c r="C15" t="str">
        <v>3337872411083</v>
      </c>
      <c r="D15" t="str">
        <v/>
      </c>
      <c r="E15" t="str">
        <v>قطعة</v>
      </c>
      <c r="F15">
        <v>420</v>
      </c>
      <c r="G15">
        <v>335</v>
      </c>
      <c r="H15">
        <v>15</v>
      </c>
      <c r="I15">
        <v>3</v>
      </c>
      <c r="J15" s="1">
        <f>F15-G15</f>
      </c>
      <c r="K15" s="2">
        <f>IF(G15&gt;0, (F15-G15)/G15, 0)</f>
      </c>
      <c r="L15" s="1">
        <f>H15*G15</f>
      </c>
      <c r="M15" s="1">
        <f>H15*F15</f>
      </c>
      <c r="N15" s="1">
        <f>M15-L15</f>
      </c>
      <c r="O15">
        <f>IF(H15&lt;=0, "نفد من المخزن", IF(H15&lt;=I15, "قارب على النفاد", "متوفر بالمخزن"))</f>
      </c>
      <c r="P15">
        <v>0</v>
      </c>
      <c r="Q15" t="str">
        <v>COS-0001</v>
      </c>
      <c r="R15" t="str">
        <v/>
      </c>
      <c r="S15" t="str">
        <v>200 مل</v>
      </c>
      <c r="T15" t="str">
        <v/>
      </c>
    </row>
    <row r="16">
      <c r="A16">
        <v>13</v>
      </c>
      <c r="B16" t="str">
        <v>واقي شمس لاروش بوزيه أنثيليوس سائل SPF50+ 50 مل</v>
      </c>
      <c r="C16" t="str">
        <v>3337875591058</v>
      </c>
      <c r="D16" t="str">
        <v/>
      </c>
      <c r="E16" t="str">
        <v>قطعة</v>
      </c>
      <c r="F16">
        <v>580</v>
      </c>
      <c r="G16">
        <v>460</v>
      </c>
      <c r="H16">
        <v>12</v>
      </c>
      <c r="I16">
        <v>2</v>
      </c>
      <c r="J16" s="1">
        <f>F16-G16</f>
      </c>
      <c r="K16" s="2">
        <f>IF(G16&gt;0, (F16-G16)/G16, 0)</f>
      </c>
      <c r="L16" s="1">
        <f>H16*G16</f>
      </c>
      <c r="M16" s="1">
        <f>H16*F16</f>
      </c>
      <c r="N16" s="1">
        <f>M16-L16</f>
      </c>
      <c r="O16">
        <f>IF(H16&lt;=0, "نفد من المخزن", IF(H16&lt;=I16, "قارب على النفاد", "متوفر بالمخزن"))</f>
      </c>
      <c r="P16">
        <v>0</v>
      </c>
      <c r="Q16" t="str">
        <v>COS-0002</v>
      </c>
      <c r="R16" t="str">
        <v/>
      </c>
      <c r="S16" t="str">
        <v>50 مل</v>
      </c>
      <c r="T16" t="str">
        <v/>
      </c>
    </row>
    <row r="17">
      <c r="A17">
        <v>14</v>
      </c>
      <c r="B17" t="str">
        <v>سيروم فيشي مينيرال 89 لترطيب البشرة بحمض الهيالورونيك 50 مل</v>
      </c>
      <c r="C17" t="str">
        <v>3337875543248</v>
      </c>
      <c r="D17" t="str">
        <v/>
      </c>
      <c r="E17" t="str">
        <v>قطعة</v>
      </c>
      <c r="F17">
        <v>620</v>
      </c>
      <c r="G17">
        <v>495</v>
      </c>
      <c r="H17">
        <v>10</v>
      </c>
      <c r="I17">
        <v>2</v>
      </c>
      <c r="J17" s="1">
        <f>F17-G17</f>
      </c>
      <c r="K17" s="2">
        <f>IF(G17&gt;0, (F17-G17)/G17, 0)</f>
      </c>
      <c r="L17" s="1">
        <f>H17*G17</f>
      </c>
      <c r="M17" s="1">
        <f>H17*F17</f>
      </c>
      <c r="N17" s="1">
        <f>M17-L17</f>
      </c>
      <c r="O17">
        <f>IF(H17&lt;=0, "نفد من المخزن", IF(H17&lt;=I17, "قارب على النفاد", "متوفر بالمخزن"))</f>
      </c>
      <c r="P17">
        <v>0</v>
      </c>
      <c r="Q17" t="str">
        <v>COS-0003</v>
      </c>
      <c r="R17" t="str">
        <v/>
      </c>
      <c r="S17" t="str">
        <v>50 مل</v>
      </c>
      <c r="T17" t="str">
        <v/>
      </c>
    </row>
    <row r="18">
      <c r="A18">
        <v>15</v>
      </c>
      <c r="B18" t="str">
        <v>كريم سيرافي المرطب للبشرة الجافة إلى شديدة الجفاف 177 مل</v>
      </c>
      <c r="C18" t="str">
        <v>3337875597227</v>
      </c>
      <c r="D18" t="str">
        <v/>
      </c>
      <c r="E18" t="str">
        <v>قطعة</v>
      </c>
      <c r="F18">
        <v>340</v>
      </c>
      <c r="G18">
        <v>270</v>
      </c>
      <c r="H18">
        <v>20</v>
      </c>
      <c r="I18">
        <v>4</v>
      </c>
      <c r="J18" s="1">
        <f>F18-G18</f>
      </c>
      <c r="K18" s="2">
        <f>IF(G18&gt;0, (F18-G18)/G18, 0)</f>
      </c>
      <c r="L18" s="1">
        <f>H18*G18</f>
      </c>
      <c r="M18" s="1">
        <f>H18*F18</f>
      </c>
      <c r="N18" s="1">
        <f>M18-L18</f>
      </c>
      <c r="O18">
        <f>IF(H18&lt;=0, "نفد من المخزن", IF(H18&lt;=I18, "قارب على النفاد", "متوفر بالمخزن"))</f>
      </c>
      <c r="P18">
        <v>0</v>
      </c>
      <c r="Q18" t="str">
        <v>COS-0004</v>
      </c>
      <c r="R18" t="str">
        <v/>
      </c>
      <c r="S18" t="str">
        <v>177 مل</v>
      </c>
      <c r="T18" t="str">
        <v/>
      </c>
    </row>
    <row r="19">
      <c r="A19">
        <v>16</v>
      </c>
      <c r="B19" t="str">
        <v>غسول سيرافي الرغوي للبشرة العادية إلى الدهنية 236 مل</v>
      </c>
      <c r="C19" t="str">
        <v>3337875597180</v>
      </c>
      <c r="D19" t="str">
        <v/>
      </c>
      <c r="E19" t="str">
        <v>قطعة</v>
      </c>
      <c r="F19">
        <v>360</v>
      </c>
      <c r="G19">
        <v>285</v>
      </c>
      <c r="H19">
        <v>18</v>
      </c>
      <c r="I19">
        <v>3</v>
      </c>
      <c r="J19" s="1">
        <f>F19-G19</f>
      </c>
      <c r="K19" s="2">
        <f>IF(G19&gt;0, (F19-G19)/G19, 0)</f>
      </c>
      <c r="L19" s="1">
        <f>H19*G19</f>
      </c>
      <c r="M19" s="1">
        <f>H19*F19</f>
      </c>
      <c r="N19" s="1">
        <f>M19-L19</f>
      </c>
      <c r="O19">
        <f>IF(H19&lt;=0, "نفد من المخزن", IF(H19&lt;=I19, "قارب على النفاد", "متوفر بالمخزن"))</f>
      </c>
      <c r="P19">
        <v>0</v>
      </c>
      <c r="Q19" t="str">
        <v>COS-0005</v>
      </c>
      <c r="R19" t="str">
        <v/>
      </c>
      <c r="S19" t="str">
        <v>236 مل</v>
      </c>
      <c r="T19" t="str">
        <v/>
      </c>
    </row>
    <row r="20">
      <c r="A20">
        <v>17</v>
      </c>
      <c r="B20" t="str">
        <v>بيوديرما سيبيوم جل غسول منقي للبشرة المختلطة 200 مل</v>
      </c>
      <c r="C20" t="str">
        <v>3401578653709</v>
      </c>
      <c r="D20" t="str">
        <v/>
      </c>
      <c r="E20" t="str">
        <v>قطعة</v>
      </c>
      <c r="F20">
        <v>390</v>
      </c>
      <c r="G20">
        <v>310</v>
      </c>
      <c r="H20">
        <v>15</v>
      </c>
      <c r="I20">
        <v>3</v>
      </c>
      <c r="J20" s="1">
        <f>F20-G20</f>
      </c>
      <c r="K20" s="2">
        <f>IF(G20&gt;0, (F20-G20)/G20, 0)</f>
      </c>
      <c r="L20" s="1">
        <f>H20*G20</f>
      </c>
      <c r="M20" s="1">
        <f>H20*F20</f>
      </c>
      <c r="N20" s="1">
        <f>M20-L20</f>
      </c>
      <c r="O20">
        <f>IF(H20&lt;=0, "نفد من المخزن", IF(H20&lt;=I20, "قارب على النفاد", "متوفر بالمخزن"))</f>
      </c>
      <c r="P20">
        <v>0</v>
      </c>
      <c r="Q20" t="str">
        <v>COS-0006</v>
      </c>
      <c r="R20" t="str">
        <v/>
      </c>
      <c r="S20" t="str">
        <v>200 مل</v>
      </c>
      <c r="T20" t="str">
        <v/>
      </c>
    </row>
    <row r="21">
      <c r="A21">
        <v>18</v>
      </c>
      <c r="B21" t="str">
        <v>ماء ميسيلار بيوديرما سينسيبيو الوردي للبشرة الحساسة 500 مل</v>
      </c>
      <c r="C21" t="str">
        <v>3401570498708</v>
      </c>
      <c r="D21" t="str">
        <v/>
      </c>
      <c r="E21" t="str">
        <v>قطعة</v>
      </c>
      <c r="F21">
        <v>410</v>
      </c>
      <c r="G21">
        <v>325</v>
      </c>
      <c r="H21">
        <v>15</v>
      </c>
      <c r="I21">
        <v>3</v>
      </c>
      <c r="J21" s="1">
        <f>F21-G21</f>
      </c>
      <c r="K21" s="2">
        <f>IF(G21&gt;0, (F21-G21)/G21, 0)</f>
      </c>
      <c r="L21" s="1">
        <f>H21*G21</f>
      </c>
      <c r="M21" s="1">
        <f>H21*F21</f>
      </c>
      <c r="N21" s="1">
        <f>M21-L21</f>
      </c>
      <c r="O21">
        <f>IF(H21&lt;=0, "نفد من المخزن", IF(H21&lt;=I21, "قارب على النفاد", "متوفر بالمخزن"))</f>
      </c>
      <c r="P21">
        <v>0</v>
      </c>
      <c r="Q21" t="str">
        <v>COS-0007</v>
      </c>
      <c r="R21" t="str">
        <v/>
      </c>
      <c r="S21" t="str">
        <v>500 مل</v>
      </c>
      <c r="T21" t="str">
        <v/>
      </c>
    </row>
    <row r="22">
      <c r="A22">
        <v>19</v>
      </c>
      <c r="B22" t="str">
        <v>كريم إيفا بي-وايت لتفتيح الهالات السوداء 20 مل</v>
      </c>
      <c r="C22" t="str">
        <v>6221100040128</v>
      </c>
      <c r="D22" t="str">
        <v/>
      </c>
      <c r="E22" t="str">
        <v>قطعة</v>
      </c>
      <c r="F22">
        <v>65</v>
      </c>
      <c r="G22">
        <v>48</v>
      </c>
      <c r="H22">
        <v>30</v>
      </c>
      <c r="I22">
        <v>6</v>
      </c>
      <c r="J22" s="1">
        <f>F22-G22</f>
      </c>
      <c r="K22" s="2">
        <f>IF(G22&gt;0, (F22-G22)/G22, 0)</f>
      </c>
      <c r="L22" s="1">
        <f>H22*G22</f>
      </c>
      <c r="M22" s="1">
        <f>H22*F22</f>
      </c>
      <c r="N22" s="1">
        <f>M22-L22</f>
      </c>
      <c r="O22">
        <f>IF(H22&lt;=0, "نفد من المخزن", IF(H22&lt;=I22, "قارب على النفاد", "متوفر بالمخزن"))</f>
      </c>
      <c r="P22">
        <v>0</v>
      </c>
      <c r="Q22" t="str">
        <v>COS-0008</v>
      </c>
      <c r="R22" t="str">
        <v/>
      </c>
      <c r="S22" t="str">
        <v>20 مل</v>
      </c>
      <c r="T22" t="str">
        <v/>
      </c>
    </row>
    <row r="23">
      <c r="A23">
        <v>20</v>
      </c>
      <c r="B23" t="str">
        <v>كريم إيفا كولاجين لمكافحة التجاعيد ونضارة الوجه 50 مل</v>
      </c>
      <c r="C23" t="str">
        <v>6221100040135</v>
      </c>
      <c r="D23" t="str">
        <v/>
      </c>
      <c r="E23" t="str">
        <v>قطعة</v>
      </c>
      <c r="F23">
        <v>140</v>
      </c>
      <c r="G23">
        <v>105</v>
      </c>
      <c r="H23">
        <v>25</v>
      </c>
      <c r="I23">
        <v>5</v>
      </c>
      <c r="J23" s="1">
        <f>F23-G23</f>
      </c>
      <c r="K23" s="2">
        <f>IF(G23&gt;0, (F23-G23)/G23, 0)</f>
      </c>
      <c r="L23" s="1">
        <f>H23*G23</f>
      </c>
      <c r="M23" s="1">
        <f>H23*F23</f>
      </c>
      <c r="N23" s="1">
        <f>M23-L23</f>
      </c>
      <c r="O23">
        <f>IF(H23&lt;=0, "نفد من المخزن", IF(H23&lt;=I23, "قارب على النفاد", "متوفر بالمخزن"))</f>
      </c>
      <c r="P23">
        <v>0</v>
      </c>
      <c r="Q23" t="str">
        <v>COS-0009</v>
      </c>
      <c r="R23" t="str">
        <v/>
      </c>
      <c r="S23" t="str">
        <v>50 مل</v>
      </c>
      <c r="T23" t="str">
        <v/>
      </c>
    </row>
    <row r="24">
      <c r="A24">
        <v>21</v>
      </c>
      <c r="B24" t="str">
        <v>مرطب شفاه لابيلو كرز لمعان ولون ناعم 4.8 جم</v>
      </c>
      <c r="C24" t="str">
        <v>4005808369904</v>
      </c>
      <c r="D24" t="str">
        <v/>
      </c>
      <c r="E24" t="str">
        <v>قطعة</v>
      </c>
      <c r="F24">
        <v>55</v>
      </c>
      <c r="G24">
        <v>40</v>
      </c>
      <c r="H24">
        <v>40</v>
      </c>
      <c r="I24">
        <v>8</v>
      </c>
      <c r="J24" s="1">
        <f>F24-G24</f>
      </c>
      <c r="K24" s="2">
        <f>IF(G24&gt;0, (F24-G24)/G24, 0)</f>
      </c>
      <c r="L24" s="1">
        <f>H24*G24</f>
      </c>
      <c r="M24" s="1">
        <f>H24*F24</f>
      </c>
      <c r="N24" s="1">
        <f>M24-L24</f>
      </c>
      <c r="O24">
        <f>IF(H24&lt;=0, "نفد من المخزن", IF(H24&lt;=I24, "قارب على النفاد", "متوفر بالمخزن"))</f>
      </c>
      <c r="P24">
        <v>0</v>
      </c>
      <c r="Q24" t="str">
        <v>COS-0010</v>
      </c>
      <c r="R24" t="str">
        <v>كرز</v>
      </c>
      <c r="S24" t="str">
        <v/>
      </c>
      <c r="T24" t="str">
        <v/>
      </c>
    </row>
    <row r="25">
      <c r="A25">
        <v>22</v>
      </c>
      <c r="B25" t="str">
        <v>كريم بانثينول مرطب وملطف طبي للجلد 50 جم</v>
      </c>
      <c r="C25" t="str">
        <v>6221100040142</v>
      </c>
      <c r="D25" t="str">
        <v/>
      </c>
      <c r="E25" t="str">
        <v>قطعة</v>
      </c>
      <c r="F25">
        <v>30</v>
      </c>
      <c r="G25">
        <v>22</v>
      </c>
      <c r="H25">
        <v>60</v>
      </c>
      <c r="I25">
        <v>15</v>
      </c>
      <c r="J25" s="1">
        <f>F25-G25</f>
      </c>
      <c r="K25" s="2">
        <f>IF(G25&gt;0, (F25-G25)/G25, 0)</f>
      </c>
      <c r="L25" s="1">
        <f>H25*G25</f>
      </c>
      <c r="M25" s="1">
        <f>H25*F25</f>
      </c>
      <c r="N25" s="1">
        <f>M25-L25</f>
      </c>
      <c r="O25">
        <f>IF(H25&lt;=0, "نفد من المخزن", IF(H25&lt;=I25, "قارب على النفاد", "متوفر بالمخزن"))</f>
      </c>
      <c r="P25">
        <v>0</v>
      </c>
      <c r="Q25" t="str">
        <v>COS-0011</v>
      </c>
      <c r="R25" t="str">
        <v/>
      </c>
      <c r="S25" t="str">
        <v>50 جم</v>
      </c>
      <c r="T25" t="str">
        <v/>
      </c>
    </row>
    <row r="26">
      <c r="A26">
        <v>23</v>
      </c>
      <c r="B26" t="str">
        <v>زيت شعر دابر أملا الذهبي المغذي 200 مل</v>
      </c>
      <c r="C26" t="str">
        <v>6221100040159</v>
      </c>
      <c r="D26" t="str">
        <v/>
      </c>
      <c r="E26" t="str">
        <v>قطعة</v>
      </c>
      <c r="F26">
        <v>60</v>
      </c>
      <c r="G26">
        <v>45</v>
      </c>
      <c r="H26">
        <v>30</v>
      </c>
      <c r="I26">
        <v>6</v>
      </c>
      <c r="J26" s="1">
        <f>F26-G26</f>
      </c>
      <c r="K26" s="2">
        <f>IF(G26&gt;0, (F26-G26)/G26, 0)</f>
      </c>
      <c r="L26" s="1">
        <f>H26*G26</f>
      </c>
      <c r="M26" s="1">
        <f>H26*F26</f>
      </c>
      <c r="N26" s="1">
        <f>M26-L26</f>
      </c>
      <c r="O26">
        <f>IF(H26&lt;=0, "نفد من المخزن", IF(H26&lt;=I26, "قارب على النفاد", "متوفر بالمخزن"))</f>
      </c>
      <c r="P26">
        <v>0</v>
      </c>
      <c r="Q26" t="str">
        <v>COS-0012</v>
      </c>
      <c r="R26" t="str">
        <v/>
      </c>
      <c r="S26" t="str">
        <v>200 مل</v>
      </c>
      <c r="T26" t="str">
        <v/>
      </c>
    </row>
    <row r="27">
      <c r="A27">
        <v>24</v>
      </c>
      <c r="B27" t="str">
        <v>شامبو لوريال إلفيف للشعر الجاف والتالف بالزيوت الثمينة 400 مل</v>
      </c>
      <c r="C27" t="str">
        <v>3600522851508</v>
      </c>
      <c r="D27" t="str">
        <v/>
      </c>
      <c r="E27" t="str">
        <v>قطعة</v>
      </c>
      <c r="F27">
        <v>120</v>
      </c>
      <c r="G27">
        <v>95</v>
      </c>
      <c r="H27">
        <v>25</v>
      </c>
      <c r="I27">
        <v>5</v>
      </c>
      <c r="J27" s="1">
        <f>F27-G27</f>
      </c>
      <c r="K27" s="2">
        <f>IF(G27&gt;0, (F27-G27)/G27, 0)</f>
      </c>
      <c r="L27" s="1">
        <f>H27*G27</f>
      </c>
      <c r="M27" s="1">
        <f>H27*F27</f>
      </c>
      <c r="N27" s="1">
        <f>M27-L27</f>
      </c>
      <c r="O27">
        <f>IF(H27&lt;=0, "نفد من المخزن", IF(H27&lt;=I27, "قارب على النفاد", "متوفر بالمخزن"))</f>
      </c>
      <c r="P27">
        <v>0</v>
      </c>
      <c r="Q27" t="str">
        <v>COS-0013</v>
      </c>
      <c r="R27" t="str">
        <v/>
      </c>
      <c r="S27" t="str">
        <v>400 مل</v>
      </c>
      <c r="T27" t="str">
        <v/>
      </c>
    </row>
    <row r="28">
      <c r="A28">
        <v>25</v>
      </c>
      <c r="B28" t="str">
        <v>بديل الزيت بانتين برو-في للشعر المصبوغ 350 مل</v>
      </c>
      <c r="C28" t="str">
        <v>8001090123456</v>
      </c>
      <c r="D28" t="str">
        <v/>
      </c>
      <c r="E28" t="str">
        <v>قطعة</v>
      </c>
      <c r="F28">
        <v>95</v>
      </c>
      <c r="G28">
        <v>75</v>
      </c>
      <c r="H28">
        <v>25</v>
      </c>
      <c r="I28">
        <v>5</v>
      </c>
      <c r="J28" s="1">
        <f>F28-G28</f>
      </c>
      <c r="K28" s="2">
        <f>IF(G28&gt;0, (F28-G28)/G28, 0)</f>
      </c>
      <c r="L28" s="1">
        <f>H28*G28</f>
      </c>
      <c r="M28" s="1">
        <f>H28*F28</f>
      </c>
      <c r="N28" s="1">
        <f>M28-L28</f>
      </c>
      <c r="O28">
        <f>IF(H28&lt;=0, "نفد من المخزن", IF(H28&lt;=I28, "قارب على النفاد", "متوفر بالمخزن"))</f>
      </c>
      <c r="P28">
        <v>0</v>
      </c>
      <c r="Q28" t="str">
        <v>COS-0014</v>
      </c>
      <c r="R28" t="str">
        <v/>
      </c>
      <c r="S28" t="str">
        <v>350 مل</v>
      </c>
      <c r="T28" t="str">
        <v/>
      </c>
    </row>
    <row r="29">
      <c r="A29">
        <v>26</v>
      </c>
      <c r="B29" t="str">
        <v>شامبو نيزابكس مضاد للقشرة والفطريات 80 مل</v>
      </c>
      <c r="C29" t="str">
        <v>6221100040166</v>
      </c>
      <c r="D29" t="str">
        <v/>
      </c>
      <c r="E29" t="str">
        <v>قطعة</v>
      </c>
      <c r="F29">
        <v>45</v>
      </c>
      <c r="G29">
        <v>35</v>
      </c>
      <c r="H29">
        <v>35</v>
      </c>
      <c r="I29">
        <v>7</v>
      </c>
      <c r="J29" s="1">
        <f>F29-G29</f>
      </c>
      <c r="K29" s="2">
        <f>IF(G29&gt;0, (F29-G29)/G29, 0)</f>
      </c>
      <c r="L29" s="1">
        <f>H29*G29</f>
      </c>
      <c r="M29" s="1">
        <f>H29*F29</f>
      </c>
      <c r="N29" s="1">
        <f>M29-L29</f>
      </c>
      <c r="O29">
        <f>IF(H29&lt;=0, "نفد من المخزن", IF(H29&lt;=I29, "قارب على النفاد", "متوفر بالمخزن"))</f>
      </c>
      <c r="P29">
        <v>0</v>
      </c>
      <c r="Q29" t="str">
        <v>COS-0015</v>
      </c>
      <c r="R29" t="str">
        <v/>
      </c>
      <c r="S29" t="str">
        <v>80 مل</v>
      </c>
      <c r="T29" t="str">
        <v/>
      </c>
    </row>
    <row r="30">
      <c r="A30">
        <v>27</v>
      </c>
      <c r="B30" t="str">
        <v>شامبو كيتوديرم مضاد للقشرة والحكة 100 مل</v>
      </c>
      <c r="C30" t="str">
        <v>6221100040173</v>
      </c>
      <c r="D30" t="str">
        <v/>
      </c>
      <c r="E30" t="str">
        <v>قطعة</v>
      </c>
      <c r="F30">
        <v>50</v>
      </c>
      <c r="G30">
        <v>38</v>
      </c>
      <c r="H30">
        <v>30</v>
      </c>
      <c r="I30">
        <v>6</v>
      </c>
      <c r="J30" s="1">
        <f>F30-G30</f>
      </c>
      <c r="K30" s="2">
        <f>IF(G30&gt;0, (F30-G30)/G30, 0)</f>
      </c>
      <c r="L30" s="1">
        <f>H30*G30</f>
      </c>
      <c r="M30" s="1">
        <f>H30*F30</f>
      </c>
      <c r="N30" s="1">
        <f>M30-L30</f>
      </c>
      <c r="O30">
        <f>IF(H30&lt;=0, "نفد من المخزن", IF(H30&lt;=I30, "قارب على النفاد", "متوفر بالمخزن"))</f>
      </c>
      <c r="P30">
        <v>0</v>
      </c>
      <c r="Q30" t="str">
        <v>COS-0016</v>
      </c>
      <c r="R30" t="str">
        <v/>
      </c>
      <c r="S30" t="str">
        <v>100 مل</v>
      </c>
      <c r="T30" t="str">
        <v/>
      </c>
    </row>
    <row r="31">
      <c r="A31" t="str">
        <v>الإجمالي</v>
      </c>
      <c r="B31" t="str">
        <v>عدد الأصناف: 27</v>
      </c>
      <c r="C31" t="str">
        <v/>
      </c>
      <c r="D31" t="str">
        <v/>
      </c>
      <c r="E31" t="str">
        <v/>
      </c>
      <c r="F31" s="1">
        <f>AVERAGE(F4:F30)</f>
      </c>
      <c r="G31" s="1">
        <f>AVERAGE(G4:G30)</f>
      </c>
      <c r="H31" s="3">
        <f>SUM(H4:H30)</f>
      </c>
      <c r="I31" s="3">
        <f>SUM(I4:I30)</f>
      </c>
      <c r="J31" s="1">
        <f>AVERAGE(J4:J30)</f>
      </c>
      <c r="K31" s="2">
        <f>AVERAGE(K4:K30)</f>
      </c>
      <c r="L31" s="1">
        <f>SUM(L4:L30)</f>
      </c>
      <c r="M31" s="1">
        <f>SUM(M4:M30)</f>
      </c>
      <c r="N31" s="1">
        <f>SUM(N4:N30)</f>
      </c>
      <c r="O31" t="str">
        <v>محسوب بمعادلات إكسل</v>
      </c>
      <c r="P31" t="str">
        <v/>
      </c>
      <c r="Q31" t="str">
        <v/>
      </c>
      <c r="R31" t="str">
        <v/>
      </c>
      <c r="S31" t="str">
        <v/>
      </c>
      <c r="T31" t="str">
        <v/>
      </c>
    </row>
  </sheetData>
  <mergeCells count="2">
    <mergeCell ref="A1:T1"/>
    <mergeCell ref="A2:T2"/>
  </mergeCells>
  <ignoredErrors>
    <ignoredError numberStoredAsText="1" sqref="A1:T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مستلزمات وإسعافات</vt:lpstr>
      <vt:lpstr>عناية بالأم والطفل</vt:lpstr>
      <vt:lpstr>تجميل وعناية بالبشرة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