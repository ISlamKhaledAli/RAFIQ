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خضروات طازجة" sheetId="1" r:id="rId1"/>
    <sheet name="ورقيات وأعشاب" sheetId="2" r:id="rId2"/>
    <sheet name="فواكه موسمية" sheetId="3" r:id="rId3"/>
    <sheet name="لحوم ودواجن" sheetId="4" r:id="rId4"/>
    <sheet name="مجمدات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[خضروات طازجة]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طماطم بلدي طازجة سلك كجم</v>
      </c>
      <c r="C4" t="str">
        <v>2001</v>
      </c>
      <c r="D4" t="str">
        <v/>
      </c>
      <c r="E4" t="str">
        <v>كجم</v>
      </c>
      <c r="F4">
        <v>15</v>
      </c>
      <c r="G4">
        <v>10</v>
      </c>
      <c r="H4">
        <v>0</v>
      </c>
      <c r="I4">
        <v>15</v>
      </c>
      <c r="J4">
        <f>F4-G4</f>
        <v>5</v>
      </c>
      <c r="K4" s="1">
        <f>IF(G4&gt;0, (F4-G4)/G4, 0)</f>
        <v>0.5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SKU-0001</v>
      </c>
      <c r="R4" t="str">
        <v/>
      </c>
      <c r="S4" t="str">
        <v/>
      </c>
      <c r="T4" t="str">
        <v/>
      </c>
    </row>
    <row r="5">
      <c r="A5">
        <v>2</v>
      </c>
      <c r="B5" t="str">
        <v>بطاطس تحمير كارا كجم</v>
      </c>
      <c r="C5" t="str">
        <v>2002</v>
      </c>
      <c r="D5" t="str">
        <v/>
      </c>
      <c r="E5" t="str">
        <v>كجم</v>
      </c>
      <c r="F5">
        <v>18</v>
      </c>
      <c r="G5">
        <v>12.5</v>
      </c>
      <c r="H5">
        <v>0</v>
      </c>
      <c r="I5">
        <v>20</v>
      </c>
      <c r="J5">
        <f>F5-G5</f>
        <v>5.5</v>
      </c>
      <c r="K5" s="1">
        <f>IF(G5&gt;0, (F5-G5)/G5, 0)</f>
        <v>0.44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SKU-0002</v>
      </c>
      <c r="R5" t="str">
        <v/>
      </c>
      <c r="S5" t="str">
        <v/>
      </c>
      <c r="T5" t="str">
        <v/>
      </c>
    </row>
    <row r="6">
      <c r="A6">
        <v>3</v>
      </c>
      <c r="B6" t="str">
        <v>بصل أحمر بلدي كجم</v>
      </c>
      <c r="C6" t="str">
        <v>2003</v>
      </c>
      <c r="D6" t="str">
        <v/>
      </c>
      <c r="E6" t="str">
        <v>كجم</v>
      </c>
      <c r="F6">
        <v>14</v>
      </c>
      <c r="G6">
        <v>9.5</v>
      </c>
      <c r="H6">
        <v>0</v>
      </c>
      <c r="I6">
        <v>15</v>
      </c>
      <c r="J6">
        <f>F6-G6</f>
        <v>4.5</v>
      </c>
      <c r="K6" s="1">
        <f>IF(G6&gt;0, (F6-G6)/G6, 0)</f>
        <v>0.4737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SKU-0003</v>
      </c>
      <c r="R6" t="str">
        <v/>
      </c>
      <c r="S6" t="str">
        <v/>
      </c>
      <c r="T6" t="str">
        <v/>
      </c>
    </row>
    <row r="7">
      <c r="A7">
        <v>4</v>
      </c>
      <c r="B7" t="str">
        <v>بصل أبيض تخزين كجم</v>
      </c>
      <c r="C7" t="str">
        <v>2004</v>
      </c>
      <c r="D7" t="str">
        <v/>
      </c>
      <c r="E7" t="str">
        <v>كجم</v>
      </c>
      <c r="F7">
        <v>15</v>
      </c>
      <c r="G7">
        <v>10</v>
      </c>
      <c r="H7">
        <v>0</v>
      </c>
      <c r="I7">
        <v>12</v>
      </c>
      <c r="J7">
        <f>F7-G7</f>
        <v>5</v>
      </c>
      <c r="K7" s="1">
        <f>IF(G7&gt;0, (F7-G7)/G7, 0)</f>
        <v>0.5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SKU-0004</v>
      </c>
      <c r="R7" t="str">
        <v/>
      </c>
      <c r="S7" t="str">
        <v/>
      </c>
      <c r="T7" t="str">
        <v/>
      </c>
    </row>
    <row r="8">
      <c r="A8">
        <v>5</v>
      </c>
      <c r="B8" t="str">
        <v>خيار بلدي صوب ممتاز كجم</v>
      </c>
      <c r="C8" t="str">
        <v>2005</v>
      </c>
      <c r="D8" t="str">
        <v/>
      </c>
      <c r="E8" t="str">
        <v>كجم</v>
      </c>
      <c r="F8">
        <v>16</v>
      </c>
      <c r="G8">
        <v>11</v>
      </c>
      <c r="H8">
        <v>0</v>
      </c>
      <c r="I8">
        <v>10</v>
      </c>
      <c r="J8">
        <f>F8-G8</f>
        <v>5</v>
      </c>
      <c r="K8" s="1">
        <f>IF(G8&gt;0, (F8-G8)/G8, 0)</f>
        <v>0.4545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SKU-0005</v>
      </c>
      <c r="R8" t="str">
        <v/>
      </c>
      <c r="S8" t="str">
        <v/>
      </c>
      <c r="T8" t="str">
        <v/>
      </c>
    </row>
    <row r="9">
      <c r="A9">
        <v>6</v>
      </c>
      <c r="B9" t="str">
        <v>ليمون بلدي أصفر كجم</v>
      </c>
      <c r="C9" t="str">
        <v>2006</v>
      </c>
      <c r="D9" t="str">
        <v/>
      </c>
      <c r="E9" t="str">
        <v>كجم</v>
      </c>
      <c r="F9">
        <v>25</v>
      </c>
      <c r="G9">
        <v>17</v>
      </c>
      <c r="H9">
        <v>0</v>
      </c>
      <c r="I9">
        <v>6</v>
      </c>
      <c r="J9">
        <f>F9-G9</f>
        <v>8</v>
      </c>
      <c r="K9" s="1">
        <f>IF(G9&gt;0, (F9-G9)/G9, 0)</f>
        <v>0.4706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SKU-0006</v>
      </c>
      <c r="R9" t="str">
        <v/>
      </c>
      <c r="S9" t="str">
        <v/>
      </c>
      <c r="T9" t="str">
        <v/>
      </c>
    </row>
    <row r="10">
      <c r="A10">
        <v>7</v>
      </c>
      <c r="B10" t="str">
        <v>فلفل رومي أخضر بلدي كجم</v>
      </c>
      <c r="C10" t="str">
        <v>2007</v>
      </c>
      <c r="D10" t="str">
        <v/>
      </c>
      <c r="E10" t="str">
        <v>كجم</v>
      </c>
      <c r="F10">
        <v>20</v>
      </c>
      <c r="G10">
        <v>14</v>
      </c>
      <c r="H10">
        <v>0</v>
      </c>
      <c r="I10">
        <v>7</v>
      </c>
      <c r="J10">
        <f>F10-G10</f>
        <v>6</v>
      </c>
      <c r="K10" s="1">
        <f>IF(G10&gt;0, (F10-G10)/G10, 0)</f>
        <v>0.4286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SKU-0007</v>
      </c>
      <c r="R10" t="str">
        <v/>
      </c>
      <c r="S10" t="str">
        <v/>
      </c>
      <c r="T10" t="str">
        <v/>
      </c>
    </row>
    <row r="11">
      <c r="A11">
        <v>8</v>
      </c>
      <c r="B11" t="str">
        <v>فلفل حار بلدي كجم</v>
      </c>
      <c r="C11" t="str">
        <v>2008</v>
      </c>
      <c r="D11" t="str">
        <v/>
      </c>
      <c r="E11" t="str">
        <v>كجم</v>
      </c>
      <c r="F11">
        <v>22</v>
      </c>
      <c r="G11">
        <v>15</v>
      </c>
      <c r="H11">
        <v>0</v>
      </c>
      <c r="I11">
        <v>5</v>
      </c>
      <c r="J11">
        <f>F11-G11</f>
        <v>7</v>
      </c>
      <c r="K11" s="1">
        <f>IF(G11&gt;0, (F11-G11)/G11, 0)</f>
        <v>0.4667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SKU-0008</v>
      </c>
      <c r="R11" t="str">
        <v/>
      </c>
      <c r="S11" t="str">
        <v/>
      </c>
      <c r="T11" t="str">
        <v/>
      </c>
    </row>
    <row r="12">
      <c r="A12">
        <v>9</v>
      </c>
      <c r="B12" t="str">
        <v>فلفل ألوان أحمر وأصفر كجم</v>
      </c>
      <c r="C12" t="str">
        <v>2009</v>
      </c>
      <c r="D12" t="str">
        <v/>
      </c>
      <c r="E12" t="str">
        <v>كجم</v>
      </c>
      <c r="F12">
        <v>45</v>
      </c>
      <c r="G12">
        <v>32</v>
      </c>
      <c r="H12">
        <v>0</v>
      </c>
      <c r="I12">
        <v>4</v>
      </c>
      <c r="J12">
        <f>F12-G12</f>
        <v>13</v>
      </c>
      <c r="K12" s="1">
        <f>IF(G12&gt;0, (F12-G12)/G12, 0)</f>
        <v>0.4063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SKU-0009</v>
      </c>
      <c r="R12" t="str">
        <v/>
      </c>
      <c r="S12" t="str">
        <v/>
      </c>
      <c r="T12" t="str">
        <v/>
      </c>
    </row>
    <row r="13">
      <c r="A13">
        <v>10</v>
      </c>
      <c r="B13" t="str">
        <v>باذنجان رومي قلي كجم</v>
      </c>
      <c r="C13" t="str">
        <v>2010</v>
      </c>
      <c r="D13" t="str">
        <v/>
      </c>
      <c r="E13" t="str">
        <v>كجم</v>
      </c>
      <c r="F13">
        <v>12</v>
      </c>
      <c r="G13">
        <v>7.5</v>
      </c>
      <c r="H13">
        <v>0</v>
      </c>
      <c r="I13">
        <v>8</v>
      </c>
      <c r="J13">
        <f>F13-G13</f>
        <v>4.5</v>
      </c>
      <c r="K13" s="1">
        <f>IF(G13&gt;0, (F13-G13)/G13, 0)</f>
        <v>0.6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SKU-0010</v>
      </c>
      <c r="R13" t="str">
        <v/>
      </c>
      <c r="S13" t="str">
        <v/>
      </c>
      <c r="T13" t="str">
        <v/>
      </c>
    </row>
    <row r="14">
      <c r="A14">
        <v>11</v>
      </c>
      <c r="B14" t="str">
        <v>باذنجان عروس أسود وأبيض مخلل كجم</v>
      </c>
      <c r="C14" t="str">
        <v>2011</v>
      </c>
      <c r="D14" t="str">
        <v/>
      </c>
      <c r="E14" t="str">
        <v>كجم</v>
      </c>
      <c r="F14">
        <v>14</v>
      </c>
      <c r="G14">
        <v>9</v>
      </c>
      <c r="H14">
        <v>0</v>
      </c>
      <c r="I14">
        <v>6</v>
      </c>
      <c r="J14">
        <f>F14-G14</f>
        <v>5</v>
      </c>
      <c r="K14" s="1">
        <f>IF(G14&gt;0, (F14-G14)/G14, 0)</f>
        <v>0.5556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SKU-0011</v>
      </c>
      <c r="R14" t="str">
        <v/>
      </c>
      <c r="S14" t="str">
        <v/>
      </c>
      <c r="T14" t="str">
        <v/>
      </c>
    </row>
    <row r="15">
      <c r="A15">
        <v>12</v>
      </c>
      <c r="B15" t="str">
        <v>كوسة بلدي حشو وطبيخ كجم</v>
      </c>
      <c r="C15" t="str">
        <v>2012</v>
      </c>
      <c r="D15" t="str">
        <v/>
      </c>
      <c r="E15" t="str">
        <v>كجم</v>
      </c>
      <c r="F15">
        <v>18</v>
      </c>
      <c r="G15">
        <v>12</v>
      </c>
      <c r="H15">
        <v>0</v>
      </c>
      <c r="I15">
        <v>7</v>
      </c>
      <c r="J15">
        <f>F15-G15</f>
        <v>6</v>
      </c>
      <c r="K15" s="1">
        <f>IF(G15&gt;0, (F15-G15)/G15, 0)</f>
        <v>0.5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SKU-0012</v>
      </c>
      <c r="R15" t="str">
        <v/>
      </c>
      <c r="S15" t="str">
        <v/>
      </c>
      <c r="T15" t="str">
        <v/>
      </c>
    </row>
    <row r="16">
      <c r="A16">
        <v>13</v>
      </c>
      <c r="B16" t="str">
        <v>جزر أصفر سكري كجم</v>
      </c>
      <c r="C16" t="str">
        <v>2013</v>
      </c>
      <c r="D16" t="str">
        <v/>
      </c>
      <c r="E16" t="str">
        <v>كجم</v>
      </c>
      <c r="F16">
        <v>15</v>
      </c>
      <c r="G16">
        <v>9</v>
      </c>
      <c r="H16">
        <v>0</v>
      </c>
      <c r="I16">
        <v>8</v>
      </c>
      <c r="J16">
        <f>F16-G16</f>
        <v>6</v>
      </c>
      <c r="K16" s="1">
        <f>IF(G16&gt;0, (F16-G16)/G16, 0)</f>
        <v>0.6667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SKU-0013</v>
      </c>
      <c r="R16" t="str">
        <v/>
      </c>
      <c r="S16" t="str">
        <v/>
      </c>
      <c r="T16" t="str">
        <v/>
      </c>
    </row>
    <row r="17">
      <c r="A17">
        <v>14</v>
      </c>
      <c r="B17" t="str">
        <v>ثوم بلدي أحمر كجم</v>
      </c>
      <c r="C17" t="str">
        <v>2014</v>
      </c>
      <c r="D17" t="str">
        <v/>
      </c>
      <c r="E17" t="str">
        <v>كجم</v>
      </c>
      <c r="F17">
        <v>45</v>
      </c>
      <c r="G17">
        <v>32</v>
      </c>
      <c r="H17">
        <v>0</v>
      </c>
      <c r="I17">
        <v>4</v>
      </c>
      <c r="J17">
        <f>F17-G17</f>
        <v>13</v>
      </c>
      <c r="K17" s="1">
        <f>IF(G17&gt;0, (F17-G17)/G17, 0)</f>
        <v>0.4063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SKU-0014</v>
      </c>
      <c r="R17" t="str">
        <v/>
      </c>
      <c r="S17" t="str">
        <v/>
      </c>
      <c r="T17" t="str">
        <v/>
      </c>
    </row>
    <row r="18">
      <c r="A18">
        <v>15</v>
      </c>
      <c r="B18" t="str">
        <v>ملوخية خضراء فلاحي كجم</v>
      </c>
      <c r="C18" t="str">
        <v>2015</v>
      </c>
      <c r="D18" t="str">
        <v/>
      </c>
      <c r="E18" t="str">
        <v>كجم</v>
      </c>
      <c r="F18">
        <v>15</v>
      </c>
      <c r="G18">
        <v>9</v>
      </c>
      <c r="H18">
        <v>0</v>
      </c>
      <c r="I18">
        <v>5</v>
      </c>
      <c r="J18">
        <f>F18-G18</f>
        <v>6</v>
      </c>
      <c r="K18" s="1">
        <f>IF(G18&gt;0, (F18-G18)/G18, 0)</f>
        <v>0.6667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SKU-0015</v>
      </c>
      <c r="R18" t="str">
        <v/>
      </c>
      <c r="S18" t="str">
        <v/>
      </c>
      <c r="T18" t="str">
        <v/>
      </c>
    </row>
    <row r="19">
      <c r="A19" t="str">
        <v>الإجمالي</v>
      </c>
      <c r="B19" t="str">
        <v>إجمالي 15 صنف مسجل</v>
      </c>
      <c r="C19" t="str">
        <v/>
      </c>
      <c r="D19" t="str">
        <v/>
      </c>
      <c r="E19" t="str">
        <v/>
      </c>
      <c r="F19" s="2">
        <f>AVERAGE(F4:F18)</f>
      </c>
      <c r="G19" s="2">
        <f>AVERAGE(G4:G18)</f>
      </c>
      <c r="H19" s="3">
        <f>SUM(H4:H18)</f>
      </c>
      <c r="I19" t="str">
        <v/>
      </c>
      <c r="J19" s="2">
        <f>AVERAGE(J4:J18)</f>
      </c>
      <c r="K19" s="1">
        <f>IF(L19&gt;0, N19/L19, 0)</f>
      </c>
      <c r="L19" s="2">
        <f>SUM(L4:L18)</f>
      </c>
      <c r="M19" s="2">
        <f>SUM(M4:M18)</f>
      </c>
      <c r="N19" s="2">
        <f>SUM(N4:N18)</f>
      </c>
      <c r="O19" t="str">
        <v>محسوب بمعادلات إكسل</v>
      </c>
      <c r="P19" t="str">
        <v/>
      </c>
      <c r="Q19" t="str">
        <v/>
      </c>
      <c r="R19" t="str">
        <v/>
      </c>
      <c r="S19" t="str">
        <v/>
      </c>
      <c r="T19" t="str">
        <v/>
      </c>
    </row>
  </sheetData>
  <mergeCells count="2">
    <mergeCell ref="A1:T1"/>
    <mergeCell ref="A2:T2"/>
  </mergeCells>
  <ignoredErrors>
    <ignoredError numberStoredAsText="1" sqref="A1:T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[ورقيات وأعشاب]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حزمة بقدونس بلدي طازجة</v>
      </c>
      <c r="C4" t="str">
        <v>2016</v>
      </c>
      <c r="D4" t="str">
        <v/>
      </c>
      <c r="E4" t="str">
        <v>قطعة</v>
      </c>
      <c r="F4">
        <v>2</v>
      </c>
      <c r="G4">
        <v>1</v>
      </c>
      <c r="H4">
        <v>0</v>
      </c>
      <c r="I4">
        <v>10</v>
      </c>
      <c r="J4">
        <f>F4-G4</f>
        <v>1</v>
      </c>
      <c r="K4" s="1">
        <f>IF(G4&gt;0, (F4-G4)/G4, 0)</f>
        <v>1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SKU-0016</v>
      </c>
      <c r="R4" t="str">
        <v/>
      </c>
      <c r="S4" t="str">
        <v/>
      </c>
      <c r="T4" t="str">
        <v/>
      </c>
    </row>
    <row r="5">
      <c r="A5">
        <v>2</v>
      </c>
      <c r="B5" t="str">
        <v>حزمة كزبرة خضراء بلدي طازجة</v>
      </c>
      <c r="C5" t="str">
        <v>2017</v>
      </c>
      <c r="D5" t="str">
        <v/>
      </c>
      <c r="E5" t="str">
        <v>قطعة</v>
      </c>
      <c r="F5">
        <v>2</v>
      </c>
      <c r="G5">
        <v>1</v>
      </c>
      <c r="H5">
        <v>0</v>
      </c>
      <c r="I5">
        <v>10</v>
      </c>
      <c r="J5">
        <f>F5-G5</f>
        <v>1</v>
      </c>
      <c r="K5" s="1">
        <f>IF(G5&gt;0, (F5-G5)/G5, 0)</f>
        <v>1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SKU-0017</v>
      </c>
      <c r="R5" t="str">
        <v/>
      </c>
      <c r="S5" t="str">
        <v/>
      </c>
      <c r="T5" t="str">
        <v/>
      </c>
    </row>
    <row r="6">
      <c r="A6">
        <v>3</v>
      </c>
      <c r="B6" t="str">
        <v>حزمة شبت بلدي طازجة</v>
      </c>
      <c r="C6" t="str">
        <v>2018</v>
      </c>
      <c r="D6" t="str">
        <v/>
      </c>
      <c r="E6" t="str">
        <v>قطعة</v>
      </c>
      <c r="F6">
        <v>2</v>
      </c>
      <c r="G6">
        <v>1</v>
      </c>
      <c r="H6">
        <v>0</v>
      </c>
      <c r="I6">
        <v>10</v>
      </c>
      <c r="J6">
        <f>F6-G6</f>
        <v>1</v>
      </c>
      <c r="K6" s="1">
        <f>IF(G6&gt;0, (F6-G6)/G6, 0)</f>
        <v>1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SKU-0018</v>
      </c>
      <c r="R6" t="str">
        <v/>
      </c>
      <c r="S6" t="str">
        <v/>
      </c>
      <c r="T6" t="str">
        <v/>
      </c>
    </row>
    <row r="7">
      <c r="A7">
        <v>4</v>
      </c>
      <c r="B7" t="str">
        <v>حزمة جرجير بلدي طازج</v>
      </c>
      <c r="C7" t="str">
        <v>2019</v>
      </c>
      <c r="D7" t="str">
        <v/>
      </c>
      <c r="E7" t="str">
        <v>قطعة</v>
      </c>
      <c r="F7">
        <v>2</v>
      </c>
      <c r="G7">
        <v>1</v>
      </c>
      <c r="H7">
        <v>0</v>
      </c>
      <c r="I7">
        <v>10</v>
      </c>
      <c r="J7">
        <f>F7-G7</f>
        <v>1</v>
      </c>
      <c r="K7" s="1">
        <f>IF(G7&gt;0, (F7-G7)/G7, 0)</f>
        <v>1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SKU-0019</v>
      </c>
      <c r="R7" t="str">
        <v/>
      </c>
      <c r="S7" t="str">
        <v/>
      </c>
      <c r="T7" t="str">
        <v/>
      </c>
    </row>
    <row r="8">
      <c r="A8">
        <v>5</v>
      </c>
      <c r="B8" t="str">
        <v>حزمة نعناع أخضر بلدي منعش</v>
      </c>
      <c r="C8" t="str">
        <v>2020</v>
      </c>
      <c r="D8" t="str">
        <v/>
      </c>
      <c r="E8" t="str">
        <v>قطعة</v>
      </c>
      <c r="F8">
        <v>2.5</v>
      </c>
      <c r="G8">
        <v>1.2</v>
      </c>
      <c r="H8">
        <v>0</v>
      </c>
      <c r="I8">
        <v>8</v>
      </c>
      <c r="J8">
        <f>F8-G8</f>
        <v>1.3</v>
      </c>
      <c r="K8" s="1">
        <f>IF(G8&gt;0, (F8-G8)/G8, 0)</f>
        <v>1.0833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SKU-0020</v>
      </c>
      <c r="R8" t="str">
        <v/>
      </c>
      <c r="S8" t="str">
        <v/>
      </c>
      <c r="T8" t="str">
        <v/>
      </c>
    </row>
    <row r="9">
      <c r="A9">
        <v>6</v>
      </c>
      <c r="B9" t="str">
        <v>كابوتشا خس مستورد حبة</v>
      </c>
      <c r="C9" t="str">
        <v>2021</v>
      </c>
      <c r="D9" t="str">
        <v/>
      </c>
      <c r="E9" t="str">
        <v>قطعة</v>
      </c>
      <c r="F9">
        <v>15</v>
      </c>
      <c r="G9">
        <v>9</v>
      </c>
      <c r="H9">
        <v>0</v>
      </c>
      <c r="I9">
        <v>5</v>
      </c>
      <c r="J9">
        <f>F9-G9</f>
        <v>6</v>
      </c>
      <c r="K9" s="1">
        <f>IF(G9&gt;0, (F9-G9)/G9, 0)</f>
        <v>0.6667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SKU-0021</v>
      </c>
      <c r="R9" t="str">
        <v/>
      </c>
      <c r="S9" t="str">
        <v/>
      </c>
      <c r="T9" t="str">
        <v/>
      </c>
    </row>
    <row r="10">
      <c r="A10" t="str">
        <v>الإجمالي</v>
      </c>
      <c r="B10" t="str">
        <v>إجمالي 6 صنف مسجل</v>
      </c>
      <c r="C10" t="str">
        <v/>
      </c>
      <c r="D10" t="str">
        <v/>
      </c>
      <c r="E10" t="str">
        <v/>
      </c>
      <c r="F10" s="2">
        <f>AVERAGE(F4:F9)</f>
      </c>
      <c r="G10" s="2">
        <f>AVERAGE(G4:G9)</f>
      </c>
      <c r="H10" s="3">
        <f>SUM(H4:H9)</f>
      </c>
      <c r="I10" t="str">
        <v/>
      </c>
      <c r="J10" s="2">
        <f>AVERAGE(J4:J9)</f>
      </c>
      <c r="K10" s="1">
        <f>IF(L10&gt;0, N10/L10, 0)</f>
      </c>
      <c r="L10" s="2">
        <f>SUM(L4:L9)</f>
      </c>
      <c r="M10" s="2">
        <f>SUM(M4:M9)</f>
      </c>
      <c r="N10" s="2">
        <f>SUM(N4:N9)</f>
      </c>
      <c r="O10" t="str">
        <v>محسوب بمعادلات إكسل</v>
      </c>
      <c r="P10" t="str">
        <v/>
      </c>
      <c r="Q10" t="str">
        <v/>
      </c>
      <c r="R10" t="str">
        <v/>
      </c>
      <c r="S10" t="str">
        <v/>
      </c>
      <c r="T10" t="str">
        <v/>
      </c>
    </row>
  </sheetData>
  <mergeCells count="2">
    <mergeCell ref="A1:T1"/>
    <mergeCell ref="A2:T2"/>
  </mergeCells>
  <ignoredErrors>
    <ignoredError numberStoredAsText="1" sqref="A1:T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[فواكه موسمية]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موز بلدي سكري كجم</v>
      </c>
      <c r="C4" t="str">
        <v>2022</v>
      </c>
      <c r="D4" t="str">
        <v/>
      </c>
      <c r="E4" t="str">
        <v>كجم</v>
      </c>
      <c r="F4">
        <v>20</v>
      </c>
      <c r="G4">
        <v>14.5</v>
      </c>
      <c r="H4">
        <v>0</v>
      </c>
      <c r="I4">
        <v>10</v>
      </c>
      <c r="J4">
        <f>F4-G4</f>
        <v>5.5</v>
      </c>
      <c r="K4" s="1">
        <f>IF(G4&gt;0, (F4-G4)/G4, 0)</f>
        <v>0.3793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SKU-0022</v>
      </c>
      <c r="R4" t="str">
        <v/>
      </c>
      <c r="S4" t="str">
        <v/>
      </c>
      <c r="T4" t="str">
        <v/>
      </c>
    </row>
    <row r="5">
      <c r="A5">
        <v>2</v>
      </c>
      <c r="B5" t="str">
        <v>تفاح أحمر سكري إيطالي كجم</v>
      </c>
      <c r="C5" t="str">
        <v>2023</v>
      </c>
      <c r="D5" t="str">
        <v/>
      </c>
      <c r="E5" t="str">
        <v>كجم</v>
      </c>
      <c r="F5">
        <v>45</v>
      </c>
      <c r="G5">
        <v>34</v>
      </c>
      <c r="H5">
        <v>0</v>
      </c>
      <c r="I5">
        <v>8</v>
      </c>
      <c r="J5">
        <f>F5-G5</f>
        <v>11</v>
      </c>
      <c r="K5" s="1">
        <f>IF(G5&gt;0, (F5-G5)/G5, 0)</f>
        <v>0.3235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SKU-0023</v>
      </c>
      <c r="R5" t="str">
        <v/>
      </c>
      <c r="S5" t="str">
        <v/>
      </c>
      <c r="T5" t="str">
        <v/>
      </c>
    </row>
    <row r="6">
      <c r="A6">
        <v>3</v>
      </c>
      <c r="B6" t="str">
        <v>تفاح أصفر جولدن كجم</v>
      </c>
      <c r="C6" t="str">
        <v>2024</v>
      </c>
      <c r="D6" t="str">
        <v/>
      </c>
      <c r="E6" t="str">
        <v>كجم</v>
      </c>
      <c r="F6">
        <v>50</v>
      </c>
      <c r="G6">
        <v>38</v>
      </c>
      <c r="H6">
        <v>0</v>
      </c>
      <c r="I6">
        <v>6</v>
      </c>
      <c r="J6">
        <f>F6-G6</f>
        <v>12</v>
      </c>
      <c r="K6" s="1">
        <f>IF(G6&gt;0, (F6-G6)/G6, 0)</f>
        <v>0.3158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SKU-0024</v>
      </c>
      <c r="R6" t="str">
        <v/>
      </c>
      <c r="S6" t="str">
        <v/>
      </c>
      <c r="T6" t="str">
        <v/>
      </c>
    </row>
    <row r="7">
      <c r="A7">
        <v>4</v>
      </c>
      <c r="B7" t="str">
        <v>برتقال بلدي عصير كجم</v>
      </c>
      <c r="C7" t="str">
        <v>2025</v>
      </c>
      <c r="D7" t="str">
        <v/>
      </c>
      <c r="E7" t="str">
        <v>كجم</v>
      </c>
      <c r="F7">
        <v>12</v>
      </c>
      <c r="G7">
        <v>7.5</v>
      </c>
      <c r="H7">
        <v>0</v>
      </c>
      <c r="I7">
        <v>10</v>
      </c>
      <c r="J7">
        <f>F7-G7</f>
        <v>4.5</v>
      </c>
      <c r="K7" s="1">
        <f>IF(G7&gt;0, (F7-G7)/G7, 0)</f>
        <v>0.6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SKU-0025</v>
      </c>
      <c r="R7" t="str">
        <v/>
      </c>
      <c r="S7" t="str">
        <v/>
      </c>
      <c r="T7" t="str">
        <v/>
      </c>
    </row>
    <row r="8">
      <c r="A8">
        <v>5</v>
      </c>
      <c r="B8" t="str">
        <v>برتقال بصرة للأكل كجم</v>
      </c>
      <c r="C8" t="str">
        <v>2026</v>
      </c>
      <c r="D8" t="str">
        <v/>
      </c>
      <c r="E8" t="str">
        <v>كجم</v>
      </c>
      <c r="F8">
        <v>15</v>
      </c>
      <c r="G8">
        <v>10</v>
      </c>
      <c r="H8">
        <v>0</v>
      </c>
      <c r="I8">
        <v>9</v>
      </c>
      <c r="J8">
        <f>F8-G8</f>
        <v>5</v>
      </c>
      <c r="K8" s="1">
        <f>IF(G8&gt;0, (F8-G8)/G8, 0)</f>
        <v>0.5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SKU-0026</v>
      </c>
      <c r="R8" t="str">
        <v/>
      </c>
      <c r="S8" t="str">
        <v/>
      </c>
      <c r="T8" t="str">
        <v/>
      </c>
    </row>
    <row r="9">
      <c r="A9">
        <v>6</v>
      </c>
      <c r="B9" t="str">
        <v>يوسفي بلدي كجم</v>
      </c>
      <c r="C9" t="str">
        <v>2027</v>
      </c>
      <c r="D9" t="str">
        <v/>
      </c>
      <c r="E9" t="str">
        <v>كجم</v>
      </c>
      <c r="F9">
        <v>16</v>
      </c>
      <c r="G9">
        <v>11</v>
      </c>
      <c r="H9">
        <v>0</v>
      </c>
      <c r="I9">
        <v>8</v>
      </c>
      <c r="J9">
        <f>F9-G9</f>
        <v>5</v>
      </c>
      <c r="K9" s="1">
        <f>IF(G9&gt;0, (F9-G9)/G9, 0)</f>
        <v>0.4545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SKU-0027</v>
      </c>
      <c r="R9" t="str">
        <v/>
      </c>
      <c r="S9" t="str">
        <v/>
      </c>
      <c r="T9" t="str">
        <v/>
      </c>
    </row>
    <row r="10">
      <c r="A10">
        <v>7</v>
      </c>
      <c r="B10" t="str">
        <v>فراولة بلدي فاخرة كجم</v>
      </c>
      <c r="C10" t="str">
        <v>2028</v>
      </c>
      <c r="D10" t="str">
        <v/>
      </c>
      <c r="E10" t="str">
        <v>كجم</v>
      </c>
      <c r="F10">
        <v>30</v>
      </c>
      <c r="G10">
        <v>21</v>
      </c>
      <c r="H10">
        <v>0</v>
      </c>
      <c r="I10">
        <v>6</v>
      </c>
      <c r="J10">
        <f>F10-G10</f>
        <v>9</v>
      </c>
      <c r="K10" s="1">
        <f>IF(G10&gt;0, (F10-G10)/G10, 0)</f>
        <v>0.4286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SKU-0028</v>
      </c>
      <c r="R10" t="str">
        <v/>
      </c>
      <c r="S10" t="str">
        <v/>
      </c>
      <c r="T10" t="str">
        <v/>
      </c>
    </row>
    <row r="11">
      <c r="A11">
        <v>8</v>
      </c>
      <c r="B11" t="str">
        <v>جوافة بناتي سكرية كجم</v>
      </c>
      <c r="C11" t="str">
        <v>2029</v>
      </c>
      <c r="D11" t="str">
        <v/>
      </c>
      <c r="E11" t="str">
        <v>كجم</v>
      </c>
      <c r="F11">
        <v>25</v>
      </c>
      <c r="G11">
        <v>16.5</v>
      </c>
      <c r="H11">
        <v>0</v>
      </c>
      <c r="I11">
        <v>7</v>
      </c>
      <c r="J11">
        <f>F11-G11</f>
        <v>8.5</v>
      </c>
      <c r="K11" s="1">
        <f>IF(G11&gt;0, (F11-G11)/G11, 0)</f>
        <v>0.5152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SKU-0029</v>
      </c>
      <c r="R11" t="str">
        <v/>
      </c>
      <c r="S11" t="str">
        <v/>
      </c>
      <c r="T11" t="str">
        <v/>
      </c>
    </row>
    <row r="12">
      <c r="A12">
        <v>9</v>
      </c>
      <c r="B12" t="str">
        <v>رمان منفلوطي أحمر كجم</v>
      </c>
      <c r="C12" t="str">
        <v>2030</v>
      </c>
      <c r="D12" t="str">
        <v/>
      </c>
      <c r="E12" t="str">
        <v>كجم</v>
      </c>
      <c r="F12">
        <v>22</v>
      </c>
      <c r="G12">
        <v>15</v>
      </c>
      <c r="H12">
        <v>0</v>
      </c>
      <c r="I12">
        <v>6</v>
      </c>
      <c r="J12">
        <f>F12-G12</f>
        <v>7</v>
      </c>
      <c r="K12" s="1">
        <f>IF(G12&gt;0, (F12-G12)/G12, 0)</f>
        <v>0.4667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SKU-0030</v>
      </c>
      <c r="R12" t="str">
        <v/>
      </c>
      <c r="S12" t="str">
        <v/>
      </c>
      <c r="T12" t="str">
        <v/>
      </c>
    </row>
    <row r="13">
      <c r="A13">
        <v>10</v>
      </c>
      <c r="B13" t="str">
        <v>خوخ سكري سيناوي كجم</v>
      </c>
      <c r="C13" t="str">
        <v>2031</v>
      </c>
      <c r="D13" t="str">
        <v/>
      </c>
      <c r="E13" t="str">
        <v>كجم</v>
      </c>
      <c r="F13">
        <v>35</v>
      </c>
      <c r="G13">
        <v>24</v>
      </c>
      <c r="H13">
        <v>0</v>
      </c>
      <c r="I13">
        <v>5</v>
      </c>
      <c r="J13">
        <f>F13-G13</f>
        <v>11</v>
      </c>
      <c r="K13" s="1">
        <f>IF(G13&gt;0, (F13-G13)/G13, 0)</f>
        <v>0.4583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SKU-0031</v>
      </c>
      <c r="R13" t="str">
        <v/>
      </c>
      <c r="S13" t="str">
        <v/>
      </c>
      <c r="T13" t="str">
        <v/>
      </c>
    </row>
    <row r="14">
      <c r="A14">
        <v>11</v>
      </c>
      <c r="B14" t="str">
        <v>كانتالوب إسمعلاوي مسكر كجم</v>
      </c>
      <c r="C14" t="str">
        <v>2032</v>
      </c>
      <c r="D14" t="str">
        <v/>
      </c>
      <c r="E14" t="str">
        <v>كجم</v>
      </c>
      <c r="F14">
        <v>18</v>
      </c>
      <c r="G14">
        <v>12</v>
      </c>
      <c r="H14">
        <v>0</v>
      </c>
      <c r="I14">
        <v>6</v>
      </c>
      <c r="J14">
        <f>F14-G14</f>
        <v>6</v>
      </c>
      <c r="K14" s="1">
        <f>IF(G14&gt;0, (F14-G14)/G14, 0)</f>
        <v>0.5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SKU-0032</v>
      </c>
      <c r="R14" t="str">
        <v/>
      </c>
      <c r="S14" t="str">
        <v/>
      </c>
      <c r="T14" t="str">
        <v/>
      </c>
    </row>
    <row r="15">
      <c r="A15" t="str">
        <v>الإجمالي</v>
      </c>
      <c r="B15" t="str">
        <v>إجمالي 11 صنف مسجل</v>
      </c>
      <c r="C15" t="str">
        <v/>
      </c>
      <c r="D15" t="str">
        <v/>
      </c>
      <c r="E15" t="str">
        <v/>
      </c>
      <c r="F15" s="2">
        <f>AVERAGE(F4:F14)</f>
      </c>
      <c r="G15" s="2">
        <f>AVERAGE(G4:G14)</f>
      </c>
      <c r="H15" s="3">
        <f>SUM(H4:H14)</f>
      </c>
      <c r="I15" t="str">
        <v/>
      </c>
      <c r="J15" s="2">
        <f>AVERAGE(J4:J14)</f>
      </c>
      <c r="K15" s="1">
        <f>IF(L15&gt;0, N15/L15, 0)</f>
      </c>
      <c r="L15" s="2">
        <f>SUM(L4:L14)</f>
      </c>
      <c r="M15" s="2">
        <f>SUM(M4:M14)</f>
      </c>
      <c r="N15" s="2">
        <f>SUM(N4:N14)</f>
      </c>
      <c r="O15" t="str">
        <v>محسوب بمعادلات إكسل</v>
      </c>
      <c r="P15" t="str">
        <v/>
      </c>
      <c r="Q15" t="str">
        <v/>
      </c>
      <c r="R15" t="str">
        <v/>
      </c>
      <c r="S15" t="str">
        <v/>
      </c>
      <c r="T15" t="str">
        <v/>
      </c>
    </row>
  </sheetData>
  <mergeCells count="2">
    <mergeCell ref="A1:T1"/>
    <mergeCell ref="A2:T2"/>
  </mergeCells>
  <ignoredErrors>
    <ignoredError numberStoredAsText="1" sqref="A1:T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[لحوم ودواجن]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لحم بقري بلدي كندوز ملبس كجم</v>
      </c>
      <c r="C4" t="str">
        <v>2033</v>
      </c>
      <c r="D4" t="str">
        <v/>
      </c>
      <c r="E4" t="str">
        <v>كجم</v>
      </c>
      <c r="F4">
        <v>380</v>
      </c>
      <c r="G4">
        <v>320</v>
      </c>
      <c r="H4">
        <v>0</v>
      </c>
      <c r="I4">
        <v>5</v>
      </c>
      <c r="J4">
        <f>F4-G4</f>
        <v>60</v>
      </c>
      <c r="K4" s="1">
        <f>IF(G4&gt;0, (F4-G4)/G4, 0)</f>
        <v>0.1875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SKU-0033</v>
      </c>
      <c r="R4" t="str">
        <v/>
      </c>
      <c r="S4" t="str">
        <v/>
      </c>
      <c r="T4" t="str">
        <v/>
      </c>
    </row>
    <row r="5">
      <c r="A5">
        <v>2</v>
      </c>
      <c r="B5" t="str">
        <v>لحم بقري بلدي أحمر صافي كجم</v>
      </c>
      <c r="C5" t="str">
        <v>2034</v>
      </c>
      <c r="D5" t="str">
        <v/>
      </c>
      <c r="E5" t="str">
        <v>كجم</v>
      </c>
      <c r="F5">
        <v>420</v>
      </c>
      <c r="G5">
        <v>350</v>
      </c>
      <c r="H5">
        <v>0</v>
      </c>
      <c r="I5">
        <v>5</v>
      </c>
      <c r="J5">
        <f>F5-G5</f>
        <v>70</v>
      </c>
      <c r="K5" s="1">
        <f>IF(G5&gt;0, (F5-G5)/G5, 0)</f>
        <v>0.2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SKU-0034</v>
      </c>
      <c r="R5" t="str">
        <v/>
      </c>
      <c r="S5" t="str">
        <v/>
      </c>
      <c r="T5" t="str">
        <v/>
      </c>
    </row>
    <row r="6">
      <c r="A6">
        <v>3</v>
      </c>
      <c r="B6" t="str">
        <v>لحم مفروم بلدي طازج كجم</v>
      </c>
      <c r="C6" t="str">
        <v>2035</v>
      </c>
      <c r="D6" t="str">
        <v/>
      </c>
      <c r="E6" t="str">
        <v>كجم</v>
      </c>
      <c r="F6">
        <v>360</v>
      </c>
      <c r="G6">
        <v>300</v>
      </c>
      <c r="H6">
        <v>0</v>
      </c>
      <c r="I6">
        <v>4</v>
      </c>
      <c r="J6">
        <f>F6-G6</f>
        <v>60</v>
      </c>
      <c r="K6" s="1">
        <f>IF(G6&gt;0, (F6-G6)/G6, 0)</f>
        <v>0.2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SKU-0035</v>
      </c>
      <c r="R6" t="str">
        <v/>
      </c>
      <c r="S6" t="str">
        <v/>
      </c>
      <c r="T6" t="str">
        <v/>
      </c>
    </row>
    <row r="7">
      <c r="A7">
        <v>4</v>
      </c>
      <c r="B7" t="str">
        <v>كبدة بلدي طازجة كجم</v>
      </c>
      <c r="C7" t="str">
        <v>2036</v>
      </c>
      <c r="D7" t="str">
        <v/>
      </c>
      <c r="E7" t="str">
        <v>كجم</v>
      </c>
      <c r="F7">
        <v>400</v>
      </c>
      <c r="G7">
        <v>340</v>
      </c>
      <c r="H7">
        <v>0</v>
      </c>
      <c r="I7">
        <v>3</v>
      </c>
      <c r="J7">
        <f>F7-G7</f>
        <v>60</v>
      </c>
      <c r="K7" s="1">
        <f>IF(G7&gt;0, (F7-G7)/G7, 0)</f>
        <v>0.1765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SKU-0036</v>
      </c>
      <c r="R7" t="str">
        <v/>
      </c>
      <c r="S7" t="str">
        <v/>
      </c>
      <c r="T7" t="str">
        <v/>
      </c>
    </row>
    <row r="8">
      <c r="A8">
        <v>5</v>
      </c>
      <c r="B8" t="str">
        <v>سجق بلدي متبل خلطة شرقية كجم</v>
      </c>
      <c r="C8" t="str">
        <v>2037</v>
      </c>
      <c r="D8" t="str">
        <v/>
      </c>
      <c r="E8" t="str">
        <v>كجم</v>
      </c>
      <c r="F8">
        <v>320</v>
      </c>
      <c r="G8">
        <v>250</v>
      </c>
      <c r="H8">
        <v>0</v>
      </c>
      <c r="I8">
        <v>4</v>
      </c>
      <c r="J8">
        <f>F8-G8</f>
        <v>70</v>
      </c>
      <c r="K8" s="1">
        <f>IF(G8&gt;0, (F8-G8)/G8, 0)</f>
        <v>0.28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SKU-0037</v>
      </c>
      <c r="R8" t="str">
        <v/>
      </c>
      <c r="S8" t="str">
        <v/>
      </c>
      <c r="T8" t="str">
        <v/>
      </c>
    </row>
    <row r="9">
      <c r="A9">
        <v>6</v>
      </c>
      <c r="B9" t="str">
        <v>دجاج أبيض طازج مذبوح ومنظف كجم</v>
      </c>
      <c r="C9" t="str">
        <v>2038</v>
      </c>
      <c r="D9" t="str">
        <v/>
      </c>
      <c r="E9" t="str">
        <v>كجم</v>
      </c>
      <c r="F9">
        <v>95</v>
      </c>
      <c r="G9">
        <v>82</v>
      </c>
      <c r="H9">
        <v>0</v>
      </c>
      <c r="I9">
        <v>8</v>
      </c>
      <c r="J9">
        <f>F9-G9</f>
        <v>13</v>
      </c>
      <c r="K9" s="1">
        <f>IF(G9&gt;0, (F9-G9)/G9, 0)</f>
        <v>0.1585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SKU-0038</v>
      </c>
      <c r="R9" t="str">
        <v/>
      </c>
      <c r="S9" t="str">
        <v/>
      </c>
      <c r="T9" t="str">
        <v/>
      </c>
    </row>
    <row r="10">
      <c r="A10">
        <v>7</v>
      </c>
      <c r="B10" t="str">
        <v>صدور دجاج بانيه طازجة كجم</v>
      </c>
      <c r="C10" t="str">
        <v>2039</v>
      </c>
      <c r="D10" t="str">
        <v/>
      </c>
      <c r="E10" t="str">
        <v>كجم</v>
      </c>
      <c r="F10">
        <v>210</v>
      </c>
      <c r="G10">
        <v>175</v>
      </c>
      <c r="H10">
        <v>0</v>
      </c>
      <c r="I10">
        <v>6</v>
      </c>
      <c r="J10">
        <f>F10-G10</f>
        <v>35</v>
      </c>
      <c r="K10" s="1">
        <f>IF(G10&gt;0, (F10-G10)/G10, 0)</f>
        <v>0.2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SKU-0039</v>
      </c>
      <c r="R10" t="str">
        <v/>
      </c>
      <c r="S10" t="str">
        <v/>
      </c>
      <c r="T10" t="str">
        <v/>
      </c>
    </row>
    <row r="11">
      <c r="A11">
        <v>8</v>
      </c>
      <c r="B11" t="str">
        <v>أوراك دجاج طازجة كجم</v>
      </c>
      <c r="C11" t="str">
        <v>2040</v>
      </c>
      <c r="D11" t="str">
        <v/>
      </c>
      <c r="E11" t="str">
        <v>كجم</v>
      </c>
      <c r="F11">
        <v>110</v>
      </c>
      <c r="G11">
        <v>92</v>
      </c>
      <c r="H11">
        <v>0</v>
      </c>
      <c r="I11">
        <v>7</v>
      </c>
      <c r="J11">
        <f>F11-G11</f>
        <v>18</v>
      </c>
      <c r="K11" s="1">
        <f>IF(G11&gt;0, (F11-G11)/G11, 0)</f>
        <v>0.1957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SKU-0040</v>
      </c>
      <c r="R11" t="str">
        <v/>
      </c>
      <c r="S11" t="str">
        <v/>
      </c>
      <c r="T11" t="str">
        <v/>
      </c>
    </row>
    <row r="12">
      <c r="A12">
        <v>9</v>
      </c>
      <c r="B12" t="str">
        <v>أجنحة دجاج طازجة كجم</v>
      </c>
      <c r="C12" t="str">
        <v>2041</v>
      </c>
      <c r="D12" t="str">
        <v/>
      </c>
      <c r="E12" t="str">
        <v>كجم</v>
      </c>
      <c r="F12">
        <v>65</v>
      </c>
      <c r="G12">
        <v>52</v>
      </c>
      <c r="H12">
        <v>0</v>
      </c>
      <c r="I12">
        <v>5</v>
      </c>
      <c r="J12">
        <f>F12-G12</f>
        <v>13</v>
      </c>
      <c r="K12" s="1">
        <f>IF(G12&gt;0, (F12-G12)/G12, 0)</f>
        <v>0.25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SKU-0041</v>
      </c>
      <c r="R12" t="str">
        <v/>
      </c>
      <c r="S12" t="str">
        <v/>
      </c>
      <c r="T12" t="str">
        <v/>
      </c>
    </row>
    <row r="13">
      <c r="A13">
        <v>10</v>
      </c>
      <c r="B13" t="str">
        <v>شيش طاووق أوراك مخلية كجم</v>
      </c>
      <c r="C13" t="str">
        <v>2042</v>
      </c>
      <c r="D13" t="str">
        <v/>
      </c>
      <c r="E13" t="str">
        <v>كجم</v>
      </c>
      <c r="F13">
        <v>200</v>
      </c>
      <c r="G13">
        <v>165</v>
      </c>
      <c r="H13">
        <v>0</v>
      </c>
      <c r="I13">
        <v>4</v>
      </c>
      <c r="J13">
        <f>F13-G13</f>
        <v>35</v>
      </c>
      <c r="K13" s="1">
        <f>IF(G13&gt;0, (F13-G13)/G13, 0)</f>
        <v>0.2121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SKU-0042</v>
      </c>
      <c r="R13" t="str">
        <v/>
      </c>
      <c r="S13" t="str">
        <v/>
      </c>
      <c r="T13" t="str">
        <v/>
      </c>
    </row>
    <row r="14">
      <c r="A14">
        <v>11</v>
      </c>
      <c r="B14" t="str">
        <v>دجاج بلدي فلاحي حشو كجم</v>
      </c>
      <c r="C14" t="str">
        <v>2043</v>
      </c>
      <c r="D14" t="str">
        <v/>
      </c>
      <c r="E14" t="str">
        <v>كجم</v>
      </c>
      <c r="F14">
        <v>125</v>
      </c>
      <c r="G14">
        <v>105</v>
      </c>
      <c r="H14">
        <v>0</v>
      </c>
      <c r="I14">
        <v>4</v>
      </c>
      <c r="J14">
        <f>F14-G14</f>
        <v>20</v>
      </c>
      <c r="K14" s="1">
        <f>IF(G14&gt;0, (F14-G14)/G14, 0)</f>
        <v>0.1905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SKU-0043</v>
      </c>
      <c r="R14" t="str">
        <v/>
      </c>
      <c r="S14" t="str">
        <v/>
      </c>
      <c r="T14" t="str">
        <v/>
      </c>
    </row>
    <row r="15">
      <c r="A15" t="str">
        <v>الإجمالي</v>
      </c>
      <c r="B15" t="str">
        <v>إجمالي 11 صنف مسجل</v>
      </c>
      <c r="C15" t="str">
        <v/>
      </c>
      <c r="D15" t="str">
        <v/>
      </c>
      <c r="E15" t="str">
        <v/>
      </c>
      <c r="F15" s="2">
        <f>AVERAGE(F4:F14)</f>
      </c>
      <c r="G15" s="2">
        <f>AVERAGE(G4:G14)</f>
      </c>
      <c r="H15" s="3">
        <f>SUM(H4:H14)</f>
      </c>
      <c r="I15" t="str">
        <v/>
      </c>
      <c r="J15" s="2">
        <f>AVERAGE(J4:J14)</f>
      </c>
      <c r="K15" s="1">
        <f>IF(L15&gt;0, N15/L15, 0)</f>
      </c>
      <c r="L15" s="2">
        <f>SUM(L4:L14)</f>
      </c>
      <c r="M15" s="2">
        <f>SUM(M4:M14)</f>
      </c>
      <c r="N15" s="2">
        <f>SUM(N4:N14)</f>
      </c>
      <c r="O15" t="str">
        <v>محسوب بمعادلات إكسل</v>
      </c>
      <c r="P15" t="str">
        <v/>
      </c>
      <c r="Q15" t="str">
        <v/>
      </c>
      <c r="R15" t="str">
        <v/>
      </c>
      <c r="S15" t="str">
        <v/>
      </c>
      <c r="T15" t="str">
        <v/>
      </c>
    </row>
  </sheetData>
  <mergeCells count="2">
    <mergeCell ref="A1:T1"/>
    <mergeCell ref="A2:T2"/>
  </mergeCells>
  <ignoredErrors>
    <ignoredError numberStoredAsText="1" sqref="A1:T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[مجمدات]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برجر بقري حلواني 8 قطع 400 جم</v>
      </c>
      <c r="C4" t="str">
        <v>2044</v>
      </c>
      <c r="D4" t="str">
        <v/>
      </c>
      <c r="E4" t="str">
        <v>قطعة</v>
      </c>
      <c r="F4">
        <v>75</v>
      </c>
      <c r="G4">
        <v>55</v>
      </c>
      <c r="H4">
        <v>0</v>
      </c>
      <c r="I4">
        <v>4</v>
      </c>
      <c r="J4">
        <f>F4-G4</f>
        <v>20</v>
      </c>
      <c r="K4" s="1">
        <f>IF(G4&gt;0, (F4-G4)/G4, 0)</f>
        <v>0.3636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SKU-0044</v>
      </c>
      <c r="R4" t="str">
        <v/>
      </c>
      <c r="S4" t="str">
        <v/>
      </c>
      <c r="T4" t="str">
        <v/>
      </c>
    </row>
    <row r="5">
      <c r="A5">
        <v>2</v>
      </c>
      <c r="B5" t="str">
        <v>كفتة بقري حلواني سيخ 400 جم</v>
      </c>
      <c r="C5" t="str">
        <v>2045</v>
      </c>
      <c r="D5" t="str">
        <v/>
      </c>
      <c r="E5" t="str">
        <v>قطعة</v>
      </c>
      <c r="F5">
        <v>65</v>
      </c>
      <c r="G5">
        <v>48</v>
      </c>
      <c r="H5">
        <v>0</v>
      </c>
      <c r="I5">
        <v>4</v>
      </c>
      <c r="J5">
        <f>F5-G5</f>
        <v>17</v>
      </c>
      <c r="K5" s="1">
        <f>IF(G5&gt;0, (F5-G5)/G5, 0)</f>
        <v>0.3542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SKU-0045</v>
      </c>
      <c r="R5" t="str">
        <v/>
      </c>
      <c r="S5" t="str">
        <v/>
      </c>
      <c r="T5" t="str">
        <v/>
      </c>
    </row>
    <row r="6">
      <c r="A6">
        <v>3</v>
      </c>
      <c r="B6" t="str">
        <v>بامية بسمة ممتازة مجمدة 400 جم</v>
      </c>
      <c r="C6" t="str">
        <v>2046</v>
      </c>
      <c r="D6" t="str">
        <v/>
      </c>
      <c r="E6" t="str">
        <v>قطعة</v>
      </c>
      <c r="F6">
        <v>35</v>
      </c>
      <c r="G6">
        <v>26</v>
      </c>
      <c r="H6">
        <v>0</v>
      </c>
      <c r="I6">
        <v>5</v>
      </c>
      <c r="J6">
        <f>F6-G6</f>
        <v>9</v>
      </c>
      <c r="K6" s="1">
        <f>IF(G6&gt;0, (F6-G6)/G6, 0)</f>
        <v>0.3462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SKU-0046</v>
      </c>
      <c r="R6" t="str">
        <v/>
      </c>
      <c r="S6" t="str">
        <v/>
      </c>
      <c r="T6" t="str">
        <v/>
      </c>
    </row>
    <row r="7">
      <c r="A7">
        <v>4</v>
      </c>
      <c r="B7" t="str">
        <v>ملوخية بسمة خضراء مجمدة 400 جم</v>
      </c>
      <c r="C7" t="str">
        <v>2047</v>
      </c>
      <c r="D7" t="str">
        <v/>
      </c>
      <c r="E7" t="str">
        <v>قطعة</v>
      </c>
      <c r="F7">
        <v>20</v>
      </c>
      <c r="G7">
        <v>14.5</v>
      </c>
      <c r="H7">
        <v>0</v>
      </c>
      <c r="I7">
        <v>6</v>
      </c>
      <c r="J7">
        <f>F7-G7</f>
        <v>5.5</v>
      </c>
      <c r="K7" s="1">
        <f>IF(G7&gt;0, (F7-G7)/G7, 0)</f>
        <v>0.3793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SKU-0047</v>
      </c>
      <c r="R7" t="str">
        <v/>
      </c>
      <c r="S7" t="str">
        <v/>
      </c>
      <c r="T7" t="str">
        <v/>
      </c>
    </row>
    <row r="8">
      <c r="A8">
        <v>5</v>
      </c>
      <c r="B8" t="str">
        <v>بسلة بالجزر بسمة مجمدة 400 جم</v>
      </c>
      <c r="C8" t="str">
        <v>2048</v>
      </c>
      <c r="D8" t="str">
        <v/>
      </c>
      <c r="E8" t="str">
        <v>قطعة</v>
      </c>
      <c r="F8">
        <v>32</v>
      </c>
      <c r="G8">
        <v>23.5</v>
      </c>
      <c r="H8">
        <v>0</v>
      </c>
      <c r="I8">
        <v>5</v>
      </c>
      <c r="J8">
        <f>F8-G8</f>
        <v>8.5</v>
      </c>
      <c r="K8" s="1">
        <f>IF(G8&gt;0, (F8-G8)/G8, 0)</f>
        <v>0.3617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SKU-0048</v>
      </c>
      <c r="R8" t="str">
        <v/>
      </c>
      <c r="S8" t="str">
        <v/>
      </c>
      <c r="T8" t="str">
        <v/>
      </c>
    </row>
    <row r="9">
      <c r="A9" t="str">
        <v>الإجمالي</v>
      </c>
      <c r="B9" t="str">
        <v>إجمالي 5 صنف مسجل</v>
      </c>
      <c r="C9" t="str">
        <v/>
      </c>
      <c r="D9" t="str">
        <v/>
      </c>
      <c r="E9" t="str">
        <v/>
      </c>
      <c r="F9" s="2">
        <f>AVERAGE(F4:F8)</f>
      </c>
      <c r="G9" s="2">
        <f>AVERAGE(G4:G8)</f>
      </c>
      <c r="H9" s="3">
        <f>SUM(H4:H8)</f>
      </c>
      <c r="I9" t="str">
        <v/>
      </c>
      <c r="J9" s="2">
        <f>AVERAGE(J4:J8)</f>
      </c>
      <c r="K9" s="1">
        <f>IF(L9&gt;0, N9/L9, 0)</f>
      </c>
      <c r="L9" s="2">
        <f>SUM(L4:L8)</f>
      </c>
      <c r="M9" s="2">
        <f>SUM(M4:M8)</f>
      </c>
      <c r="N9" s="2">
        <f>SUM(N4:N8)</f>
      </c>
      <c r="O9" t="str">
        <v>محسوب بمعادلات إكسل</v>
      </c>
      <c r="P9" t="str">
        <v/>
      </c>
      <c r="Q9" t="str">
        <v/>
      </c>
      <c r="R9" t="str">
        <v/>
      </c>
      <c r="S9" t="str">
        <v/>
      </c>
      <c r="T9" t="str">
        <v/>
      </c>
    </row>
  </sheetData>
  <mergeCells count="2">
    <mergeCell ref="A1:T1"/>
    <mergeCell ref="A2:T2"/>
  </mergeCells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خضروات طازجة</vt:lpstr>
      <vt:lpstr>ورقيات وأعشاب</vt:lpstr>
      <vt:lpstr>فواكه موسمية</vt:lpstr>
      <vt:lpstr>لحوم ودواجن</vt:lpstr>
      <vt:lpstr>مجمدات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