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اندوتشات وبرجر" sheetId="1" r:id="rId1"/>
    <sheet name="بيتزا ومكرونات" sheetId="2" r:id="rId2"/>
    <sheet name="مقبلات وجوانب" sheetId="3" r:id="rId3"/>
    <sheet name="مشروبات ساخنة" sheetId="4" r:id="rId4"/>
    <sheet name="مشروبات بارد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[ساندوتشات وبرجر]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برجر لحم بقري كلاسيك سنجل مع جبنة شيدر</v>
      </c>
      <c r="C4" t="str">
        <v>5001</v>
      </c>
      <c r="D4" t="str">
        <v/>
      </c>
      <c r="E4" t="str">
        <v>قطعة</v>
      </c>
      <c r="F4">
        <v>85</v>
      </c>
      <c r="G4">
        <v>55</v>
      </c>
      <c r="H4">
        <v>0</v>
      </c>
      <c r="I4">
        <v>20</v>
      </c>
      <c r="J4">
        <f>F4-G4</f>
        <v>30</v>
      </c>
      <c r="K4" s="1">
        <f>IF(G4&gt;0, (F4-G4)/G4, 0)</f>
        <v>0.5455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RST-0001</v>
      </c>
      <c r="R4" t="str">
        <v/>
      </c>
      <c r="S4" t="str">
        <v>سنجل</v>
      </c>
      <c r="T4" t="str">
        <v/>
      </c>
    </row>
    <row r="5">
      <c r="A5">
        <v>2</v>
      </c>
      <c r="B5" t="str">
        <v>برجر لحم بقري دبل مع صوص باربكيو مدخن</v>
      </c>
      <c r="C5" t="str">
        <v>5002</v>
      </c>
      <c r="D5" t="str">
        <v/>
      </c>
      <c r="E5" t="str">
        <v>قطعة</v>
      </c>
      <c r="F5">
        <v>125</v>
      </c>
      <c r="G5">
        <v>82</v>
      </c>
      <c r="H5">
        <v>0</v>
      </c>
      <c r="I5">
        <v>15</v>
      </c>
      <c r="J5">
        <f>F5-G5</f>
        <v>43</v>
      </c>
      <c r="K5" s="1">
        <f>IF(G5&gt;0, (F5-G5)/G5, 0)</f>
        <v>0.5244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RST-0002</v>
      </c>
      <c r="R5" t="str">
        <v/>
      </c>
      <c r="S5" t="str">
        <v>دبل</v>
      </c>
      <c r="T5" t="str">
        <v/>
      </c>
    </row>
    <row r="6">
      <c r="A6">
        <v>3</v>
      </c>
      <c r="B6" t="str">
        <v>ساندوتش تشيكن كريسبي زنجر حار صوص مايونيز</v>
      </c>
      <c r="C6" t="str">
        <v>5003</v>
      </c>
      <c r="D6" t="str">
        <v/>
      </c>
      <c r="E6" t="str">
        <v>قطعة</v>
      </c>
      <c r="F6">
        <v>95</v>
      </c>
      <c r="G6">
        <v>62</v>
      </c>
      <c r="H6">
        <v>0</v>
      </c>
      <c r="I6">
        <v>18</v>
      </c>
      <c r="J6">
        <f>F6-G6</f>
        <v>33</v>
      </c>
      <c r="K6" s="1">
        <f>IF(G6&gt;0, (F6-G6)/G6, 0)</f>
        <v>0.5323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RST-0003</v>
      </c>
      <c r="R6" t="str">
        <v/>
      </c>
      <c r="S6" t="str">
        <v/>
      </c>
      <c r="T6" t="str">
        <v/>
      </c>
    </row>
    <row r="7">
      <c r="A7">
        <v>4</v>
      </c>
      <c r="B7" t="str">
        <v>ساندوتش فاهيتا دجاج مكسيكي بالمشروم والفلفل</v>
      </c>
      <c r="C7" t="str">
        <v>5004</v>
      </c>
      <c r="D7" t="str">
        <v/>
      </c>
      <c r="E7" t="str">
        <v>قطعة</v>
      </c>
      <c r="F7">
        <v>90</v>
      </c>
      <c r="G7">
        <v>58</v>
      </c>
      <c r="H7">
        <v>0</v>
      </c>
      <c r="I7">
        <v>15</v>
      </c>
      <c r="J7">
        <f>F7-G7</f>
        <v>32</v>
      </c>
      <c r="K7" s="1">
        <f>IF(G7&gt;0, (F7-G7)/G7, 0)</f>
        <v>0.5517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RST-0004</v>
      </c>
      <c r="R7" t="str">
        <v/>
      </c>
      <c r="S7" t="str">
        <v/>
      </c>
      <c r="T7" t="str">
        <v/>
      </c>
    </row>
    <row r="8">
      <c r="A8">
        <v>5</v>
      </c>
      <c r="B8" t="str">
        <v>ساندوتش شاورما لحم عربي صوص طحينة</v>
      </c>
      <c r="C8" t="str">
        <v>5005</v>
      </c>
      <c r="D8" t="str">
        <v/>
      </c>
      <c r="E8" t="str">
        <v>قطعة</v>
      </c>
      <c r="F8">
        <v>75</v>
      </c>
      <c r="G8">
        <v>48</v>
      </c>
      <c r="H8">
        <v>0</v>
      </c>
      <c r="I8">
        <v>20</v>
      </c>
      <c r="J8">
        <f>F8-G8</f>
        <v>27</v>
      </c>
      <c r="K8" s="1">
        <f>IF(G8&gt;0, (F8-G8)/G8, 0)</f>
        <v>0.5625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RST-0005</v>
      </c>
      <c r="R8" t="str">
        <v/>
      </c>
      <c r="S8" t="str">
        <v/>
      </c>
      <c r="T8" t="str">
        <v/>
      </c>
    </row>
    <row r="9">
      <c r="A9">
        <v>6</v>
      </c>
      <c r="B9" t="str">
        <v>ساندوتش شاورما فراخ سوري تومية وخيار مخلل</v>
      </c>
      <c r="C9" t="str">
        <v>5006</v>
      </c>
      <c r="D9" t="str">
        <v/>
      </c>
      <c r="E9" t="str">
        <v>قطعة</v>
      </c>
      <c r="F9">
        <v>65</v>
      </c>
      <c r="G9">
        <v>42</v>
      </c>
      <c r="H9">
        <v>0</v>
      </c>
      <c r="I9">
        <v>25</v>
      </c>
      <c r="J9">
        <f>F9-G9</f>
        <v>23</v>
      </c>
      <c r="K9" s="1">
        <f>IF(G9&gt;0, (F9-G9)/G9, 0)</f>
        <v>0.5476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RST-0006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ساندوتش كفتة مشوية بلدي طحينة وسلطة خضراء</v>
      </c>
      <c r="C10" t="str">
        <v>5007</v>
      </c>
      <c r="D10" t="str">
        <v/>
      </c>
      <c r="E10" t="str">
        <v>قطعة</v>
      </c>
      <c r="F10">
        <v>70</v>
      </c>
      <c r="G10">
        <v>45</v>
      </c>
      <c r="H10">
        <v>0</v>
      </c>
      <c r="I10">
        <v>15</v>
      </c>
      <c r="J10">
        <f>F10-G10</f>
        <v>25</v>
      </c>
      <c r="K10" s="1">
        <f>IF(G10&gt;0, (F10-G10)/G10, 0)</f>
        <v>0.5556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RST-0007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ساندوتش حواوشي بلدي مخصوص على الفحم</v>
      </c>
      <c r="C11" t="str">
        <v>5008</v>
      </c>
      <c r="D11" t="str">
        <v/>
      </c>
      <c r="E11" t="str">
        <v>قطعة</v>
      </c>
      <c r="F11">
        <v>55</v>
      </c>
      <c r="G11">
        <v>35</v>
      </c>
      <c r="H11">
        <v>0</v>
      </c>
      <c r="I11">
        <v>20</v>
      </c>
      <c r="J11">
        <f>F11-G11</f>
        <v>20</v>
      </c>
      <c r="K11" s="1">
        <f>IF(G11&gt;0, (F11-G11)/G11, 0)</f>
        <v>0.5714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RST-0008</v>
      </c>
      <c r="R11" t="str">
        <v/>
      </c>
      <c r="S11" t="str">
        <v/>
      </c>
      <c r="T11" t="str">
        <v/>
      </c>
    </row>
    <row r="12">
      <c r="A12" t="str">
        <v>الإجمالي</v>
      </c>
      <c r="B12" t="str">
        <v>إجمالي 8 صنف مسجل</v>
      </c>
      <c r="C12" t="str">
        <v/>
      </c>
      <c r="D12" t="str">
        <v/>
      </c>
      <c r="E12" t="str">
        <v/>
      </c>
      <c r="F12" s="2">
        <f>AVERAGE(F4:F11)</f>
      </c>
      <c r="G12" s="2">
        <f>AVERAGE(G4:G11)</f>
      </c>
      <c r="H12" s="3">
        <f>SUM(H4:H11)</f>
      </c>
      <c r="I12" t="str">
        <v/>
      </c>
      <c r="J12" s="2">
        <f>AVERAGE(J4:J11)</f>
      </c>
      <c r="K12" s="1">
        <f>IF(L12&gt;0, N12/L12, 0)</f>
      </c>
      <c r="L12" s="2">
        <f>SUM(L4:L11)</f>
      </c>
      <c r="M12" s="2">
        <f>SUM(M4:M11)</f>
      </c>
      <c r="N12" s="2">
        <f>SUM(N4:N11)</f>
      </c>
      <c r="O12" t="str">
        <v>محسوب بمعادلات إكسل</v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mergeCells count="2">
    <mergeCell ref="A1:T1"/>
    <mergeCell ref="A2:T2"/>
  </mergeCells>
  <ignoredErrors>
    <ignoredError numberStoredAsText="1" sqref="A1:T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[بيتزا ومكرونات]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بيتزا مارجريتا إيطالي ريحان وجبنة وسط</v>
      </c>
      <c r="C4" t="str">
        <v>5010</v>
      </c>
      <c r="D4" t="str">
        <v/>
      </c>
      <c r="E4" t="str">
        <v>قطعة</v>
      </c>
      <c r="F4">
        <v>110</v>
      </c>
      <c r="G4">
        <v>68</v>
      </c>
      <c r="H4">
        <v>0</v>
      </c>
      <c r="I4">
        <v>10</v>
      </c>
      <c r="J4">
        <f>F4-G4</f>
        <v>42</v>
      </c>
      <c r="K4" s="1">
        <f>IF(G4&gt;0, (F4-G4)/G4, 0)</f>
        <v>0.6176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RST-0009</v>
      </c>
      <c r="R4" t="str">
        <v/>
      </c>
      <c r="S4" t="str">
        <v>وسط</v>
      </c>
      <c r="T4" t="str">
        <v/>
      </c>
    </row>
    <row r="5">
      <c r="A5">
        <v>2</v>
      </c>
      <c r="B5" t="str">
        <v>بيتزا سوبر سوبريم ميكس لحوم كبير</v>
      </c>
      <c r="C5" t="str">
        <v>5011</v>
      </c>
      <c r="D5" t="str">
        <v/>
      </c>
      <c r="E5" t="str">
        <v>قطعة</v>
      </c>
      <c r="F5">
        <v>175</v>
      </c>
      <c r="G5">
        <v>110</v>
      </c>
      <c r="H5">
        <v>0</v>
      </c>
      <c r="I5">
        <v>8</v>
      </c>
      <c r="J5">
        <f>F5-G5</f>
        <v>65</v>
      </c>
      <c r="K5" s="1">
        <f>IF(G5&gt;0, (F5-G5)/G5, 0)</f>
        <v>0.5909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RST-0010</v>
      </c>
      <c r="R5" t="str">
        <v/>
      </c>
      <c r="S5" t="str">
        <v>كبير</v>
      </c>
      <c r="T5" t="str">
        <v/>
      </c>
    </row>
    <row r="6">
      <c r="A6">
        <v>3</v>
      </c>
      <c r="B6" t="str">
        <v>بيتزا تشيكن رانش مع صوص الرانش وسط</v>
      </c>
      <c r="C6" t="str">
        <v>5012</v>
      </c>
      <c r="D6" t="str">
        <v/>
      </c>
      <c r="E6" t="str">
        <v>قطعة</v>
      </c>
      <c r="F6">
        <v>140</v>
      </c>
      <c r="G6">
        <v>88</v>
      </c>
      <c r="H6">
        <v>0</v>
      </c>
      <c r="I6">
        <v>10</v>
      </c>
      <c r="J6">
        <f>F6-G6</f>
        <v>52</v>
      </c>
      <c r="K6" s="1">
        <f>IF(G6&gt;0, (F6-G6)/G6, 0)</f>
        <v>0.5909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RST-0011</v>
      </c>
      <c r="R6" t="str">
        <v/>
      </c>
      <c r="S6" t="str">
        <v>وسط</v>
      </c>
      <c r="T6" t="str">
        <v/>
      </c>
    </row>
    <row r="7">
      <c r="A7">
        <v>4</v>
      </c>
      <c r="B7" t="str">
        <v>مكرونة نجرسكو دجاج صوص أبيض موتزاريلا</v>
      </c>
      <c r="C7" t="str">
        <v>5013</v>
      </c>
      <c r="D7" t="str">
        <v/>
      </c>
      <c r="E7" t="str">
        <v>قطعة</v>
      </c>
      <c r="F7">
        <v>95</v>
      </c>
      <c r="G7">
        <v>60</v>
      </c>
      <c r="H7">
        <v>0</v>
      </c>
      <c r="I7">
        <v>10</v>
      </c>
      <c r="J7">
        <f>F7-G7</f>
        <v>35</v>
      </c>
      <c r="K7" s="1">
        <f>IF(G7&gt;0, (F7-G7)/G7, 0)</f>
        <v>0.5833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RST-0012</v>
      </c>
      <c r="R7" t="str">
        <v/>
      </c>
      <c r="S7" t="str">
        <v/>
      </c>
      <c r="T7" t="str">
        <v/>
      </c>
    </row>
    <row r="8">
      <c r="A8">
        <v>5</v>
      </c>
      <c r="B8" t="str">
        <v>مكرونة بشاميل باللحم المفروم طاجن</v>
      </c>
      <c r="C8" t="str">
        <v>5014</v>
      </c>
      <c r="D8" t="str">
        <v/>
      </c>
      <c r="E8" t="str">
        <v>قطعة</v>
      </c>
      <c r="F8">
        <v>85</v>
      </c>
      <c r="G8">
        <v>52</v>
      </c>
      <c r="H8">
        <v>0</v>
      </c>
      <c r="I8">
        <v>10</v>
      </c>
      <c r="J8">
        <f>F8-G8</f>
        <v>33</v>
      </c>
      <c r="K8" s="1">
        <f>IF(G8&gt;0, (F8-G8)/G8, 0)</f>
        <v>0.6346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RST-0013</v>
      </c>
      <c r="R8" t="str">
        <v/>
      </c>
      <c r="S8" t="str">
        <v/>
      </c>
      <c r="T8" t="str">
        <v/>
      </c>
    </row>
    <row r="9">
      <c r="A9" t="str">
        <v>الإجمالي</v>
      </c>
      <c r="B9" t="str">
        <v>إجمالي 5 صنف مسجل</v>
      </c>
      <c r="C9" t="str">
        <v/>
      </c>
      <c r="D9" t="str">
        <v/>
      </c>
      <c r="E9" t="str">
        <v/>
      </c>
      <c r="F9" s="2">
        <f>AVERAGE(F4:F8)</f>
      </c>
      <c r="G9" s="2">
        <f>AVERAGE(G4:G8)</f>
      </c>
      <c r="H9" s="3">
        <f>SUM(H4:H8)</f>
      </c>
      <c r="I9" t="str">
        <v/>
      </c>
      <c r="J9" s="2">
        <f>AVERAGE(J4:J8)</f>
      </c>
      <c r="K9" s="1">
        <f>IF(L9&gt;0, N9/L9, 0)</f>
      </c>
      <c r="L9" s="2">
        <f>SUM(L4:L8)</f>
      </c>
      <c r="M9" s="2">
        <f>SUM(M4:M8)</f>
      </c>
      <c r="N9" s="2">
        <f>SUM(N4:N8)</f>
      </c>
      <c r="O9" t="str">
        <v>محسوب بمعادلات إكسل</v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mergeCells count="2">
    <mergeCell ref="A1:T1"/>
    <mergeCell ref="A2:T2"/>
  </mergeCells>
  <ignoredErrors>
    <ignoredError numberStoredAsText="1" sqref="A1:T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[مقبلات وجوانب]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بطاطس مقلية فارم فريتس مقرمشة وسط</v>
      </c>
      <c r="C4" t="str">
        <v>5020</v>
      </c>
      <c r="D4" t="str">
        <v/>
      </c>
      <c r="E4" t="str">
        <v>قطعة</v>
      </c>
      <c r="F4">
        <v>30</v>
      </c>
      <c r="G4">
        <v>16</v>
      </c>
      <c r="H4">
        <v>0</v>
      </c>
      <c r="I4">
        <v>30</v>
      </c>
      <c r="J4">
        <f>F4-G4</f>
        <v>14</v>
      </c>
      <c r="K4" s="1">
        <f>IF(G4&gt;0, (F4-G4)/G4, 0)</f>
        <v>0.875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RST-0014</v>
      </c>
      <c r="R4" t="str">
        <v/>
      </c>
      <c r="S4" t="str">
        <v>وسط</v>
      </c>
      <c r="T4" t="str">
        <v/>
      </c>
    </row>
    <row r="5">
      <c r="A5">
        <v>2</v>
      </c>
      <c r="B5" t="str">
        <v>بطاطس ودجز بالبهارات والأعشاب</v>
      </c>
      <c r="C5" t="str">
        <v>5021</v>
      </c>
      <c r="D5" t="str">
        <v/>
      </c>
      <c r="E5" t="str">
        <v>قطعة</v>
      </c>
      <c r="F5">
        <v>40</v>
      </c>
      <c r="G5">
        <v>22</v>
      </c>
      <c r="H5">
        <v>0</v>
      </c>
      <c r="I5">
        <v>15</v>
      </c>
      <c r="J5">
        <f>F5-G5</f>
        <v>18</v>
      </c>
      <c r="K5" s="1">
        <f>IF(G5&gt;0, (F5-G5)/G5, 0)</f>
        <v>0.8182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RST-0015</v>
      </c>
      <c r="R5" t="str">
        <v/>
      </c>
      <c r="S5" t="str">
        <v/>
      </c>
      <c r="T5" t="str">
        <v/>
      </c>
    </row>
    <row r="6">
      <c r="A6">
        <v>3</v>
      </c>
      <c r="B6" t="str">
        <v>أصابع جبنة موتزاريلا مقلية (4 قطع)</v>
      </c>
      <c r="C6" t="str">
        <v>5022</v>
      </c>
      <c r="D6" t="str">
        <v/>
      </c>
      <c r="E6" t="str">
        <v>قطعة</v>
      </c>
      <c r="F6">
        <v>50</v>
      </c>
      <c r="G6">
        <v>30</v>
      </c>
      <c r="H6">
        <v>0</v>
      </c>
      <c r="I6">
        <v>15</v>
      </c>
      <c r="J6">
        <f>F6-G6</f>
        <v>20</v>
      </c>
      <c r="K6" s="1">
        <f>IF(G6&gt;0, (F6-G6)/G6, 0)</f>
        <v>0.6667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RST-0016</v>
      </c>
      <c r="R6" t="str">
        <v/>
      </c>
      <c r="S6" t="str">
        <v/>
      </c>
      <c r="T6" t="str">
        <v/>
      </c>
    </row>
    <row r="7">
      <c r="A7">
        <v>4</v>
      </c>
      <c r="B7" t="str">
        <v>حلقات بصل مقرمشة مع صوص حار (6 قطع)</v>
      </c>
      <c r="C7" t="str">
        <v>5023</v>
      </c>
      <c r="D7" t="str">
        <v/>
      </c>
      <c r="E7" t="str">
        <v>قطعة</v>
      </c>
      <c r="F7">
        <v>35</v>
      </c>
      <c r="G7">
        <v>18</v>
      </c>
      <c r="H7">
        <v>0</v>
      </c>
      <c r="I7">
        <v>12</v>
      </c>
      <c r="J7">
        <f>F7-G7</f>
        <v>17</v>
      </c>
      <c r="K7" s="1">
        <f>IF(G7&gt;0, (F7-G7)/G7, 0)</f>
        <v>0.9444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RST-0017</v>
      </c>
      <c r="R7" t="str">
        <v/>
      </c>
      <c r="S7" t="str">
        <v/>
      </c>
      <c r="T7" t="str">
        <v/>
      </c>
    </row>
    <row r="8">
      <c r="A8">
        <v>5</v>
      </c>
      <c r="B8" t="str">
        <v>علبة صوص تومية سوري ممتازة</v>
      </c>
      <c r="C8" t="str">
        <v>5024</v>
      </c>
      <c r="D8" t="str">
        <v/>
      </c>
      <c r="E8" t="str">
        <v>قطعة</v>
      </c>
      <c r="F8">
        <v>15</v>
      </c>
      <c r="G8">
        <v>7</v>
      </c>
      <c r="H8">
        <v>0</v>
      </c>
      <c r="I8">
        <v>20</v>
      </c>
      <c r="J8">
        <f>F8-G8</f>
        <v>8</v>
      </c>
      <c r="K8" s="1">
        <f>IF(G8&gt;0, (F8-G8)/G8, 0)</f>
        <v>1.1429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RST-0018</v>
      </c>
      <c r="R8" t="str">
        <v/>
      </c>
      <c r="S8" t="str">
        <v/>
      </c>
      <c r="T8" t="str">
        <v/>
      </c>
    </row>
    <row r="9">
      <c r="A9">
        <v>6</v>
      </c>
      <c r="B9" t="str">
        <v>علبة صوص جبنة شيدر سائلة دافئة</v>
      </c>
      <c r="C9" t="str">
        <v>5025</v>
      </c>
      <c r="D9" t="str">
        <v/>
      </c>
      <c r="E9" t="str">
        <v>قطعة</v>
      </c>
      <c r="F9">
        <v>20</v>
      </c>
      <c r="G9">
        <v>10</v>
      </c>
      <c r="H9">
        <v>0</v>
      </c>
      <c r="I9">
        <v>20</v>
      </c>
      <c r="J9">
        <f>F9-G9</f>
        <v>10</v>
      </c>
      <c r="K9" s="1">
        <f>IF(G9&gt;0, (F9-G9)/G9, 0)</f>
        <v>1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RST-0019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[مشروبات ساخنة]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إسبريسو سنجل شوت إيطالي فاخر</v>
      </c>
      <c r="C4" t="str">
        <v>5030</v>
      </c>
      <c r="D4" t="str">
        <v/>
      </c>
      <c r="E4" t="str">
        <v>قطعة</v>
      </c>
      <c r="F4">
        <v>35</v>
      </c>
      <c r="G4">
        <v>12</v>
      </c>
      <c r="H4">
        <v>0</v>
      </c>
      <c r="I4">
        <v>30</v>
      </c>
      <c r="J4">
        <f>F4-G4</f>
        <v>23</v>
      </c>
      <c r="K4" s="1">
        <f>IF(G4&gt;0, (F4-G4)/G4, 0)</f>
        <v>1.9167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RST-0020</v>
      </c>
      <c r="R4" t="str">
        <v/>
      </c>
      <c r="S4" t="str">
        <v>سنجل</v>
      </c>
      <c r="T4" t="str">
        <v/>
      </c>
    </row>
    <row r="5">
      <c r="A5">
        <v>2</v>
      </c>
      <c r="B5" t="str">
        <v>إسبريسو دبل شوت إيطالي قوي</v>
      </c>
      <c r="C5" t="str">
        <v>5031</v>
      </c>
      <c r="D5" t="str">
        <v/>
      </c>
      <c r="E5" t="str">
        <v>قطعة</v>
      </c>
      <c r="F5">
        <v>50</v>
      </c>
      <c r="G5">
        <v>18</v>
      </c>
      <c r="H5">
        <v>0</v>
      </c>
      <c r="I5">
        <v>30</v>
      </c>
      <c r="J5">
        <f>F5-G5</f>
        <v>32</v>
      </c>
      <c r="K5" s="1">
        <f>IF(G5&gt;0, (F5-G5)/G5, 0)</f>
        <v>1.7778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RST-0021</v>
      </c>
      <c r="R5" t="str">
        <v/>
      </c>
      <c r="S5" t="str">
        <v>دبل</v>
      </c>
      <c r="T5" t="str">
        <v/>
      </c>
    </row>
    <row r="6">
      <c r="A6">
        <v>3</v>
      </c>
      <c r="B6" t="str">
        <v>كابتشينو حليب مبخر رغوة غنية</v>
      </c>
      <c r="C6" t="str">
        <v>5032</v>
      </c>
      <c r="D6" t="str">
        <v/>
      </c>
      <c r="E6" t="str">
        <v>قطعة</v>
      </c>
      <c r="F6">
        <v>55</v>
      </c>
      <c r="G6">
        <v>24</v>
      </c>
      <c r="H6">
        <v>0</v>
      </c>
      <c r="I6">
        <v>25</v>
      </c>
      <c r="J6">
        <f>F6-G6</f>
        <v>31</v>
      </c>
      <c r="K6" s="1">
        <f>IF(G6&gt;0, (F6-G6)/G6, 0)</f>
        <v>1.2917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RST-0022</v>
      </c>
      <c r="R6" t="str">
        <v/>
      </c>
      <c r="S6" t="str">
        <v/>
      </c>
      <c r="T6" t="str">
        <v/>
      </c>
    </row>
    <row r="7">
      <c r="A7">
        <v>4</v>
      </c>
      <c r="B7" t="str">
        <v>كافيه لاتيه حليب دافئ كريمي</v>
      </c>
      <c r="C7" t="str">
        <v>5033</v>
      </c>
      <c r="D7" t="str">
        <v/>
      </c>
      <c r="E7" t="str">
        <v>قطعة</v>
      </c>
      <c r="F7">
        <v>55</v>
      </c>
      <c r="G7">
        <v>24</v>
      </c>
      <c r="H7">
        <v>0</v>
      </c>
      <c r="I7">
        <v>25</v>
      </c>
      <c r="J7">
        <f>F7-G7</f>
        <v>31</v>
      </c>
      <c r="K7" s="1">
        <f>IF(G7&gt;0, (F7-G7)/G7, 0)</f>
        <v>1.2917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RST-0023</v>
      </c>
      <c r="R7" t="str">
        <v/>
      </c>
      <c r="S7" t="str">
        <v/>
      </c>
      <c r="T7" t="str">
        <v/>
      </c>
    </row>
    <row r="8">
      <c r="A8">
        <v>5</v>
      </c>
      <c r="B8" t="str">
        <v>قهوة تركي بن محوج فنجان مظبوط</v>
      </c>
      <c r="C8" t="str">
        <v>5034</v>
      </c>
      <c r="D8" t="str">
        <v/>
      </c>
      <c r="E8" t="str">
        <v>قطعة</v>
      </c>
      <c r="F8">
        <v>30</v>
      </c>
      <c r="G8">
        <v>10</v>
      </c>
      <c r="H8">
        <v>0</v>
      </c>
      <c r="I8">
        <v>40</v>
      </c>
      <c r="J8">
        <f>F8-G8</f>
        <v>20</v>
      </c>
      <c r="K8" s="1">
        <f>IF(G8&gt;0, (F8-G8)/G8, 0)</f>
        <v>2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RST-0024</v>
      </c>
      <c r="R8" t="str">
        <v/>
      </c>
      <c r="S8" t="str">
        <v/>
      </c>
      <c r="T8" t="str">
        <v/>
      </c>
    </row>
    <row r="9">
      <c r="A9">
        <v>6</v>
      </c>
      <c r="B9" t="str">
        <v>شاي أحمر إبريق صغير بالنعناع الطازج</v>
      </c>
      <c r="C9" t="str">
        <v>5035</v>
      </c>
      <c r="D9" t="str">
        <v/>
      </c>
      <c r="E9" t="str">
        <v>قطعة</v>
      </c>
      <c r="F9">
        <v>20</v>
      </c>
      <c r="G9">
        <v>5</v>
      </c>
      <c r="H9">
        <v>0</v>
      </c>
      <c r="I9">
        <v>50</v>
      </c>
      <c r="J9">
        <f>F9-G9</f>
        <v>15</v>
      </c>
      <c r="K9" s="1">
        <f>IF(G9&gt;0, (F9-G9)/G9, 0)</f>
        <v>3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RST-0025</v>
      </c>
      <c r="R9" t="str">
        <v/>
      </c>
      <c r="S9" t="str">
        <v/>
      </c>
      <c r="T9" t="str">
        <v/>
      </c>
    </row>
    <row r="10">
      <c r="A10">
        <v>7</v>
      </c>
      <c r="B10" t="str">
        <v>هوت تشوكليت شوكولاتة بلجيكية فاخرة بالمارشميلو</v>
      </c>
      <c r="C10" t="str">
        <v>5036</v>
      </c>
      <c r="D10" t="str">
        <v/>
      </c>
      <c r="E10" t="str">
        <v>قطعة</v>
      </c>
      <c r="F10">
        <v>60</v>
      </c>
      <c r="G10">
        <v>28</v>
      </c>
      <c r="H10">
        <v>0</v>
      </c>
      <c r="I10">
        <v>20</v>
      </c>
      <c r="J10">
        <f>F10-G10</f>
        <v>32</v>
      </c>
      <c r="K10" s="1">
        <f>IF(G10&gt;0, (F10-G10)/G10, 0)</f>
        <v>1.1429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RST-0026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[مشروبات باردة]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آيس لاتيه كراميل مثلج</v>
      </c>
      <c r="C4" t="str">
        <v>5040</v>
      </c>
      <c r="D4" t="str">
        <v/>
      </c>
      <c r="E4" t="str">
        <v>قطعة</v>
      </c>
      <c r="F4">
        <v>65</v>
      </c>
      <c r="G4">
        <v>28</v>
      </c>
      <c r="H4">
        <v>0</v>
      </c>
      <c r="I4">
        <v>20</v>
      </c>
      <c r="J4">
        <f>F4-G4</f>
        <v>37</v>
      </c>
      <c r="K4" s="1">
        <f>IF(G4&gt;0, (F4-G4)/G4, 0)</f>
        <v>1.3214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RST-0027</v>
      </c>
      <c r="R4" t="str">
        <v/>
      </c>
      <c r="S4" t="str">
        <v/>
      </c>
      <c r="T4" t="str">
        <v/>
      </c>
    </row>
    <row r="5">
      <c r="A5">
        <v>2</v>
      </c>
      <c r="B5" t="str">
        <v>آيس سبانش لاتيه حليب مكثف</v>
      </c>
      <c r="C5" t="str">
        <v>5041</v>
      </c>
      <c r="D5" t="str">
        <v/>
      </c>
      <c r="E5" t="str">
        <v>قطعة</v>
      </c>
      <c r="F5">
        <v>75</v>
      </c>
      <c r="G5">
        <v>32</v>
      </c>
      <c r="H5">
        <v>0</v>
      </c>
      <c r="I5">
        <v>20</v>
      </c>
      <c r="J5">
        <f>F5-G5</f>
        <v>43</v>
      </c>
      <c r="K5" s="1">
        <f>IF(G5&gt;0, (F5-G5)/G5, 0)</f>
        <v>1.3438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RST-0028</v>
      </c>
      <c r="R5" t="str">
        <v/>
      </c>
      <c r="S5" t="str">
        <v/>
      </c>
      <c r="T5" t="str">
        <v/>
      </c>
    </row>
    <row r="6">
      <c r="A6">
        <v>3</v>
      </c>
      <c r="B6" t="str">
        <v>موهيتو ليمون ونعناع صودا منعشة</v>
      </c>
      <c r="C6" t="str">
        <v>5042</v>
      </c>
      <c r="D6" t="str">
        <v/>
      </c>
      <c r="E6" t="str">
        <v>قطعة</v>
      </c>
      <c r="F6">
        <v>45</v>
      </c>
      <c r="G6">
        <v>16</v>
      </c>
      <c r="H6">
        <v>0</v>
      </c>
      <c r="I6">
        <v>25</v>
      </c>
      <c r="J6">
        <f>F6-G6</f>
        <v>29</v>
      </c>
      <c r="K6" s="1">
        <f>IF(G6&gt;0, (F6-G6)/G6, 0)</f>
        <v>1.8125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RST-0029</v>
      </c>
      <c r="R6" t="str">
        <v/>
      </c>
      <c r="S6" t="str">
        <v/>
      </c>
      <c r="T6" t="str">
        <v/>
      </c>
    </row>
    <row r="7">
      <c r="A7">
        <v>4</v>
      </c>
      <c r="B7" t="str">
        <v>موهيتو فراولة وبلو بيري</v>
      </c>
      <c r="C7" t="str">
        <v>5043</v>
      </c>
      <c r="D7" t="str">
        <v/>
      </c>
      <c r="E7" t="str">
        <v>قطعة</v>
      </c>
      <c r="F7">
        <v>50</v>
      </c>
      <c r="G7">
        <v>18</v>
      </c>
      <c r="H7">
        <v>0</v>
      </c>
      <c r="I7">
        <v>20</v>
      </c>
      <c r="J7">
        <f>F7-G7</f>
        <v>32</v>
      </c>
      <c r="K7" s="1">
        <f>IF(G7&gt;0, (F7-G7)/G7, 0)</f>
        <v>1.7778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RST-0030</v>
      </c>
      <c r="R7" t="str">
        <v/>
      </c>
      <c r="S7" t="str">
        <v/>
      </c>
      <c r="T7" t="str">
        <v/>
      </c>
    </row>
    <row r="8">
      <c r="A8">
        <v>5</v>
      </c>
      <c r="B8" t="str">
        <v>عصير مانجو طبيعي طازج بدون ماء إضافي</v>
      </c>
      <c r="C8" t="str">
        <v>5044</v>
      </c>
      <c r="D8" t="str">
        <v/>
      </c>
      <c r="E8" t="str">
        <v>قطعة</v>
      </c>
      <c r="F8">
        <v>45</v>
      </c>
      <c r="G8">
        <v>20</v>
      </c>
      <c r="H8">
        <v>0</v>
      </c>
      <c r="I8">
        <v>20</v>
      </c>
      <c r="J8">
        <f>F8-G8</f>
        <v>25</v>
      </c>
      <c r="K8" s="1">
        <f>IF(G8&gt;0, (F8-G8)/G8, 0)</f>
        <v>1.25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RST-0031</v>
      </c>
      <c r="R8" t="str">
        <v/>
      </c>
      <c r="S8" t="str">
        <v/>
      </c>
      <c r="T8" t="str">
        <v/>
      </c>
    </row>
    <row r="9">
      <c r="A9">
        <v>6</v>
      </c>
      <c r="B9" t="str">
        <v>عصير برتقال فريش طبيعي 100%</v>
      </c>
      <c r="C9" t="str">
        <v>5045</v>
      </c>
      <c r="D9" t="str">
        <v/>
      </c>
      <c r="E9" t="str">
        <v>قطعة</v>
      </c>
      <c r="F9">
        <v>40</v>
      </c>
      <c r="G9">
        <v>16</v>
      </c>
      <c r="H9">
        <v>0</v>
      </c>
      <c r="I9">
        <v>20</v>
      </c>
      <c r="J9">
        <f>F9-G9</f>
        <v>24</v>
      </c>
      <c r="K9" s="1">
        <f>IF(G9&gt;0, (F9-G9)/G9, 0)</f>
        <v>1.5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RST-0032</v>
      </c>
      <c r="R9" t="str">
        <v/>
      </c>
      <c r="S9" t="str">
        <v/>
      </c>
      <c r="T9" t="str">
        <v/>
      </c>
    </row>
    <row r="10">
      <c r="A10">
        <v>7</v>
      </c>
      <c r="B10" t="str">
        <v>كانز مياه غازية 330 مل باردة</v>
      </c>
      <c r="C10" t="str">
        <v>5046</v>
      </c>
      <c r="D10" t="str">
        <v/>
      </c>
      <c r="E10" t="str">
        <v>قطعة</v>
      </c>
      <c r="F10">
        <v>20</v>
      </c>
      <c r="G10">
        <v>12</v>
      </c>
      <c r="H10">
        <v>0</v>
      </c>
      <c r="I10">
        <v>30</v>
      </c>
      <c r="J10">
        <f>F10-G10</f>
        <v>8</v>
      </c>
      <c r="K10" s="1">
        <f>IF(G10&gt;0, (F10-G10)/G10, 0)</f>
        <v>0.6667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RST-0033</v>
      </c>
      <c r="R10" t="str">
        <v/>
      </c>
      <c r="S10" t="str">
        <v>330 مل</v>
      </c>
      <c r="T10" t="str">
        <v/>
      </c>
    </row>
    <row r="11">
      <c r="A11">
        <v>8</v>
      </c>
      <c r="B11" t="str">
        <v>زجاجة مياه معدنية 600 مل</v>
      </c>
      <c r="C11" t="str">
        <v>5047</v>
      </c>
      <c r="D11" t="str">
        <v/>
      </c>
      <c r="E11" t="str">
        <v>قطعة</v>
      </c>
      <c r="F11">
        <v>10</v>
      </c>
      <c r="G11">
        <v>4.5</v>
      </c>
      <c r="H11">
        <v>0</v>
      </c>
      <c r="I11">
        <v>40</v>
      </c>
      <c r="J11">
        <f>F11-G11</f>
        <v>5.5</v>
      </c>
      <c r="K11" s="1">
        <f>IF(G11&gt;0, (F11-G11)/G11, 0)</f>
        <v>1.2222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RST-0034</v>
      </c>
      <c r="R11" t="str">
        <v/>
      </c>
      <c r="S11" t="str">
        <v>600 مل</v>
      </c>
      <c r="T11" t="str">
        <v/>
      </c>
    </row>
    <row r="12">
      <c r="A12" t="str">
        <v>الإجمالي</v>
      </c>
      <c r="B12" t="str">
        <v>إجمالي 8 صنف مسجل</v>
      </c>
      <c r="C12" t="str">
        <v/>
      </c>
      <c r="D12" t="str">
        <v/>
      </c>
      <c r="E12" t="str">
        <v/>
      </c>
      <c r="F12" s="2">
        <f>AVERAGE(F4:F11)</f>
      </c>
      <c r="G12" s="2">
        <f>AVERAGE(G4:G11)</f>
      </c>
      <c r="H12" s="3">
        <f>SUM(H4:H11)</f>
      </c>
      <c r="I12" t="str">
        <v/>
      </c>
      <c r="J12" s="2">
        <f>AVERAGE(J4:J11)</f>
      </c>
      <c r="K12" s="1">
        <f>IF(L12&gt;0, N12/L12, 0)</f>
      </c>
      <c r="L12" s="2">
        <f>SUM(L4:L11)</f>
      </c>
      <c r="M12" s="2">
        <f>SUM(M4:M11)</f>
      </c>
      <c r="N12" s="2">
        <f>SUM(N4:N11)</f>
      </c>
      <c r="O12" t="str">
        <v>محسوب بمعادلات إكسل</v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mergeCells count="2">
    <mergeCell ref="A1:T1"/>
    <mergeCell ref="A2:T2"/>
  </mergeCells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ساندوتشات وبرجر</vt:lpstr>
      <vt:lpstr>بيتزا ومكرونات</vt:lpstr>
      <vt:lpstr>مقبلات وجوانب</vt:lpstr>
      <vt:lpstr>مشروبات ساخنة</vt:lpstr>
      <vt:lpstr>مشروبات باردة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