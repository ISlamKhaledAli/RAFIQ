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أدوية ومسكنات شائعة" sheetId="1" r:id="rId1"/>
    <sheet name="مستلزمات وإسعافات" sheetId="2" r:id="rId2"/>
    <sheet name="عناية بالأم والطفل" sheetId="3" r:id="rId3"/>
    <sheet name="تجميل وعناية بالبشرة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0.0%"/>
    <numFmt numFmtId="61" formatCode="#,##0.##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4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16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[أدوية ومسكنات شائعة]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بنادول إكسترا أحمر شريط 12 قرص</v>
      </c>
      <c r="C4" t="str">
        <v>6221100010015</v>
      </c>
      <c r="D4" t="str">
        <v/>
      </c>
      <c r="E4" t="str">
        <v>قطعة</v>
      </c>
      <c r="F4">
        <v>42</v>
      </c>
      <c r="G4">
        <v>34</v>
      </c>
      <c r="H4">
        <v>0</v>
      </c>
      <c r="I4">
        <v>10</v>
      </c>
      <c r="J4">
        <f>F4-G4</f>
        <v>8</v>
      </c>
      <c r="K4" s="1">
        <f>IF(G4&gt;0, (F4-G4)/G4, 0)</f>
        <v>0.2353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PHR-0001</v>
      </c>
      <c r="R4" t="str">
        <v/>
      </c>
      <c r="S4" t="str">
        <v/>
      </c>
      <c r="T4" t="str">
        <v/>
      </c>
    </row>
    <row r="5">
      <c r="A5">
        <v>2</v>
      </c>
      <c r="B5" t="str">
        <v>بنادول أزرق خافض حرارة شريط 12 قرص</v>
      </c>
      <c r="C5" t="str">
        <v>6221100010022</v>
      </c>
      <c r="D5" t="str">
        <v/>
      </c>
      <c r="E5" t="str">
        <v>قطعة</v>
      </c>
      <c r="F5">
        <v>35</v>
      </c>
      <c r="G5">
        <v>28.5</v>
      </c>
      <c r="H5">
        <v>0</v>
      </c>
      <c r="I5">
        <v>10</v>
      </c>
      <c r="J5">
        <f>F5-G5</f>
        <v>6.5</v>
      </c>
      <c r="K5" s="1">
        <f>IF(G5&gt;0, (F5-G5)/G5, 0)</f>
        <v>0.2281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PHR-0002</v>
      </c>
      <c r="R5" t="str">
        <v/>
      </c>
      <c r="S5" t="str">
        <v/>
      </c>
      <c r="T5" t="str">
        <v/>
      </c>
    </row>
    <row r="6">
      <c r="A6">
        <v>3</v>
      </c>
      <c r="B6" t="str">
        <v>كونجستال نزلات برد وإنفلونزا شريط 10 أقراص</v>
      </c>
      <c r="C6" t="str">
        <v>6221100010039</v>
      </c>
      <c r="D6" t="str">
        <v/>
      </c>
      <c r="E6" t="str">
        <v>قطعة</v>
      </c>
      <c r="F6">
        <v>28</v>
      </c>
      <c r="G6">
        <v>22</v>
      </c>
      <c r="H6">
        <v>0</v>
      </c>
      <c r="I6">
        <v>12</v>
      </c>
      <c r="J6">
        <f>F6-G6</f>
        <v>6</v>
      </c>
      <c r="K6" s="1">
        <f>IF(G6&gt;0, (F6-G6)/G6, 0)</f>
        <v>0.2727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PHR-0003</v>
      </c>
      <c r="R6" t="str">
        <v/>
      </c>
      <c r="S6" t="str">
        <v/>
      </c>
      <c r="T6" t="str">
        <v/>
      </c>
    </row>
    <row r="7">
      <c r="A7">
        <v>4</v>
      </c>
      <c r="B7" t="str">
        <v>سيتال خافض حرارة للأطفال شراب 120 مل</v>
      </c>
      <c r="C7" t="str">
        <v>6221100010046</v>
      </c>
      <c r="D7" t="str">
        <v/>
      </c>
      <c r="E7" t="str">
        <v>قطعة</v>
      </c>
      <c r="F7">
        <v>18</v>
      </c>
      <c r="G7">
        <v>14.5</v>
      </c>
      <c r="H7">
        <v>0</v>
      </c>
      <c r="I7">
        <v>8</v>
      </c>
      <c r="J7">
        <f>F7-G7</f>
        <v>3.5</v>
      </c>
      <c r="K7" s="1">
        <f>IF(G7&gt;0, (F7-G7)/G7, 0)</f>
        <v>0.2414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PHR-0004</v>
      </c>
      <c r="R7" t="str">
        <v/>
      </c>
      <c r="S7" t="str">
        <v/>
      </c>
      <c r="T7" t="str">
        <v/>
      </c>
    </row>
    <row r="8">
      <c r="A8">
        <v>5</v>
      </c>
      <c r="B8" t="str">
        <v>بروفين مسكن ومضاد للالتهاب 400 مجم شريط 10 أقراص</v>
      </c>
      <c r="C8" t="str">
        <v>6221100010053</v>
      </c>
      <c r="D8" t="str">
        <v/>
      </c>
      <c r="E8" t="str">
        <v>قطعة</v>
      </c>
      <c r="F8">
        <v>26</v>
      </c>
      <c r="G8">
        <v>21</v>
      </c>
      <c r="H8">
        <v>0</v>
      </c>
      <c r="I8">
        <v>10</v>
      </c>
      <c r="J8">
        <f>F8-G8</f>
        <v>5</v>
      </c>
      <c r="K8" s="1">
        <f>IF(G8&gt;0, (F8-G8)/G8, 0)</f>
        <v>0.2381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PHR-0005</v>
      </c>
      <c r="R8" t="str">
        <v/>
      </c>
      <c r="S8" t="str">
        <v/>
      </c>
      <c r="T8" t="str">
        <v/>
      </c>
    </row>
    <row r="9">
      <c r="A9">
        <v>6</v>
      </c>
      <c r="B9" t="str">
        <v>أنتينال كبسول مطهر معوي شريط 12 كبسولة</v>
      </c>
      <c r="C9" t="str">
        <v>6221100010060</v>
      </c>
      <c r="D9" t="str">
        <v/>
      </c>
      <c r="E9" t="str">
        <v>قطعة</v>
      </c>
      <c r="F9">
        <v>32</v>
      </c>
      <c r="G9">
        <v>26</v>
      </c>
      <c r="H9">
        <v>0</v>
      </c>
      <c r="I9">
        <v>15</v>
      </c>
      <c r="J9">
        <f>F9-G9</f>
        <v>6</v>
      </c>
      <c r="K9" s="1">
        <f>IF(G9&gt;0, (F9-G9)/G9, 0)</f>
        <v>0.2308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PHR-0006</v>
      </c>
      <c r="R9" t="str">
        <v/>
      </c>
      <c r="S9" t="str">
        <v/>
      </c>
      <c r="T9" t="str">
        <v/>
      </c>
    </row>
    <row r="10">
      <c r="A10">
        <v>7</v>
      </c>
      <c r="B10" t="str">
        <v>ستربسلز استحلاب لالتهاب الحلق عسل وليمون باكت</v>
      </c>
      <c r="C10" t="str">
        <v>6221100010077</v>
      </c>
      <c r="D10" t="str">
        <v/>
      </c>
      <c r="E10" t="str">
        <v>قطعة</v>
      </c>
      <c r="F10">
        <v>95</v>
      </c>
      <c r="G10">
        <v>78</v>
      </c>
      <c r="H10">
        <v>0</v>
      </c>
      <c r="I10">
        <v>6</v>
      </c>
      <c r="J10">
        <f>F10-G10</f>
        <v>17</v>
      </c>
      <c r="K10" s="1">
        <f>IF(G10&gt;0, (F10-G10)/G10, 0)</f>
        <v>0.2179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PHR-0007</v>
      </c>
      <c r="R10" t="str">
        <v/>
      </c>
      <c r="S10" t="str">
        <v/>
      </c>
      <c r="T10" t="str">
        <v/>
      </c>
    </row>
    <row r="11">
      <c r="A11">
        <v>8</v>
      </c>
      <c r="B11" t="str">
        <v>أوتريفين بخاخ أنف للبالغين 10 مل</v>
      </c>
      <c r="C11" t="str">
        <v>6221100010084</v>
      </c>
      <c r="D11" t="str">
        <v/>
      </c>
      <c r="E11" t="str">
        <v>قطعة</v>
      </c>
      <c r="F11">
        <v>24</v>
      </c>
      <c r="G11">
        <v>19</v>
      </c>
      <c r="H11">
        <v>0</v>
      </c>
      <c r="I11">
        <v>8</v>
      </c>
      <c r="J11">
        <f>F11-G11</f>
        <v>5</v>
      </c>
      <c r="K11" s="1">
        <f>IF(G11&gt;0, (F11-G11)/G11, 0)</f>
        <v>0.2632</v>
      </c>
      <c r="L11" s="2">
        <f>H11*G11</f>
        <v>0</v>
      </c>
      <c r="M11" s="2">
        <f>H11*F11</f>
        <v>0</v>
      </c>
      <c r="N11" s="2">
        <f>M11-L11</f>
        <v>0</v>
      </c>
      <c r="O11" t="str">
        <f>IF(H11&lt;=0, "نفد من المخزن", IF(H11&lt;=I11, "قارب على النفاد", "متوفر بالمخزن"))</f>
        <v>نفد من المخزن</v>
      </c>
      <c r="P11">
        <v>0</v>
      </c>
      <c r="Q11" t="str">
        <v>PHR-0008</v>
      </c>
      <c r="R11" t="str">
        <v/>
      </c>
      <c r="S11" t="str">
        <v/>
      </c>
      <c r="T11" t="str">
        <v/>
      </c>
    </row>
    <row r="12">
      <c r="A12">
        <v>9</v>
      </c>
      <c r="B12" t="str">
        <v>فوار راني لعلاج الحموضة باكت 6 أكياس</v>
      </c>
      <c r="C12" t="str">
        <v>6221100010091</v>
      </c>
      <c r="D12" t="str">
        <v/>
      </c>
      <c r="E12" t="str">
        <v>قطعة</v>
      </c>
      <c r="F12">
        <v>20</v>
      </c>
      <c r="G12">
        <v>16</v>
      </c>
      <c r="H12">
        <v>0</v>
      </c>
      <c r="I12">
        <v>10</v>
      </c>
      <c r="J12">
        <f>F12-G12</f>
        <v>4</v>
      </c>
      <c r="K12" s="1">
        <f>IF(G12&gt;0, (F12-G12)/G12, 0)</f>
        <v>0.25</v>
      </c>
      <c r="L12" s="2">
        <f>H12*G12</f>
        <v>0</v>
      </c>
      <c r="M12" s="2">
        <f>H12*F12</f>
        <v>0</v>
      </c>
      <c r="N12" s="2">
        <f>M12-L12</f>
        <v>0</v>
      </c>
      <c r="O12" t="str">
        <f>IF(H12&lt;=0, "نفد من المخزن", IF(H12&lt;=I12, "قارب على النفاد", "متوفر بالمخزن"))</f>
        <v>نفد من المخزن</v>
      </c>
      <c r="P12">
        <v>0</v>
      </c>
      <c r="Q12" t="str">
        <v>PHR-0009</v>
      </c>
      <c r="R12" t="str">
        <v/>
      </c>
      <c r="S12" t="str">
        <v/>
      </c>
      <c r="T12" t="str">
        <v/>
      </c>
    </row>
    <row r="13">
      <c r="A13">
        <v>10</v>
      </c>
      <c r="B13" t="str">
        <v>فوار كول يورين مسالك بولية باكت 6 أكياس</v>
      </c>
      <c r="C13" t="str">
        <v>6221100010107</v>
      </c>
      <c r="D13" t="str">
        <v/>
      </c>
      <c r="E13" t="str">
        <v>قطعة</v>
      </c>
      <c r="F13">
        <v>22</v>
      </c>
      <c r="G13">
        <v>17.5</v>
      </c>
      <c r="H13">
        <v>0</v>
      </c>
      <c r="I13">
        <v>8</v>
      </c>
      <c r="J13">
        <f>F13-G13</f>
        <v>4.5</v>
      </c>
      <c r="K13" s="1">
        <f>IF(G13&gt;0, (F13-G13)/G13, 0)</f>
        <v>0.2571</v>
      </c>
      <c r="L13" s="2">
        <f>H13*G13</f>
        <v>0</v>
      </c>
      <c r="M13" s="2">
        <f>H13*F13</f>
        <v>0</v>
      </c>
      <c r="N13" s="2">
        <f>M13-L13</f>
        <v>0</v>
      </c>
      <c r="O13" t="str">
        <f>IF(H13&lt;=0, "نفد من المخزن", IF(H13&lt;=I13, "قارب على النفاد", "متوفر بالمخزن"))</f>
        <v>نفد من المخزن</v>
      </c>
      <c r="P13">
        <v>0</v>
      </c>
      <c r="Q13" t="str">
        <v>PHR-0010</v>
      </c>
      <c r="R13" t="str">
        <v/>
      </c>
      <c r="S13" t="str">
        <v/>
      </c>
      <c r="T13" t="str">
        <v/>
      </c>
    </row>
    <row r="14">
      <c r="A14">
        <v>11</v>
      </c>
      <c r="B14" t="str">
        <v>ألفينترن أقراص مضاد للتورم والالتهاب شريط 10 أقراص</v>
      </c>
      <c r="C14" t="str">
        <v>6221100010114</v>
      </c>
      <c r="D14" t="str">
        <v/>
      </c>
      <c r="E14" t="str">
        <v>قطعة</v>
      </c>
      <c r="F14">
        <v>30</v>
      </c>
      <c r="G14">
        <v>24.5</v>
      </c>
      <c r="H14">
        <v>0</v>
      </c>
      <c r="I14">
        <v>10</v>
      </c>
      <c r="J14">
        <f>F14-G14</f>
        <v>5.5</v>
      </c>
      <c r="K14" s="1">
        <f>IF(G14&gt;0, (F14-G14)/G14, 0)</f>
        <v>0.2245</v>
      </c>
      <c r="L14" s="2">
        <f>H14*G14</f>
        <v>0</v>
      </c>
      <c r="M14" s="2">
        <f>H14*F14</f>
        <v>0</v>
      </c>
      <c r="N14" s="2">
        <f>M14-L14</f>
        <v>0</v>
      </c>
      <c r="O14" t="str">
        <f>IF(H14&lt;=0, "نفد من المخزن", IF(H14&lt;=I14, "قارب على النفاد", "متوفر بالمخزن"))</f>
        <v>نفد من المخزن</v>
      </c>
      <c r="P14">
        <v>0</v>
      </c>
      <c r="Q14" t="str">
        <v>PHR-0011</v>
      </c>
      <c r="R14" t="str">
        <v/>
      </c>
      <c r="S14" t="str">
        <v/>
      </c>
      <c r="T14" t="str">
        <v/>
      </c>
    </row>
    <row r="15">
      <c r="A15">
        <v>12</v>
      </c>
      <c r="B15" t="str">
        <v>كتافلام 50 مجم مسكن سريع شريط 10 أقراص</v>
      </c>
      <c r="C15" t="str">
        <v>6221100010121</v>
      </c>
      <c r="D15" t="str">
        <v/>
      </c>
      <c r="E15" t="str">
        <v>قطعة</v>
      </c>
      <c r="F15">
        <v>38</v>
      </c>
      <c r="G15">
        <v>31</v>
      </c>
      <c r="H15">
        <v>0</v>
      </c>
      <c r="I15">
        <v>10</v>
      </c>
      <c r="J15">
        <f>F15-G15</f>
        <v>7</v>
      </c>
      <c r="K15" s="1">
        <f>IF(G15&gt;0, (F15-G15)/G15, 0)</f>
        <v>0.2258</v>
      </c>
      <c r="L15" s="2">
        <f>H15*G15</f>
        <v>0</v>
      </c>
      <c r="M15" s="2">
        <f>H15*F15</f>
        <v>0</v>
      </c>
      <c r="N15" s="2">
        <f>M15-L15</f>
        <v>0</v>
      </c>
      <c r="O15" t="str">
        <f>IF(H15&lt;=0, "نفد من المخزن", IF(H15&lt;=I15, "قارب على النفاد", "متوفر بالمخزن"))</f>
        <v>نفد من المخزن</v>
      </c>
      <c r="P15">
        <v>0</v>
      </c>
      <c r="Q15" t="str">
        <v>PHR-0012</v>
      </c>
      <c r="R15" t="str">
        <v/>
      </c>
      <c r="S15" t="str">
        <v/>
      </c>
      <c r="T15" t="str">
        <v/>
      </c>
    </row>
    <row r="16">
      <c r="A16" t="str">
        <v>الإجمالي</v>
      </c>
      <c r="B16" t="str">
        <v>إجمالي 12 صنف مسجل</v>
      </c>
      <c r="C16" t="str">
        <v/>
      </c>
      <c r="D16" t="str">
        <v/>
      </c>
      <c r="E16" t="str">
        <v/>
      </c>
      <c r="F16" s="2">
        <f>AVERAGE(F4:F15)</f>
      </c>
      <c r="G16" s="2">
        <f>AVERAGE(G4:G15)</f>
      </c>
      <c r="H16" s="3">
        <f>SUM(H4:H15)</f>
      </c>
      <c r="I16" t="str">
        <v/>
      </c>
      <c r="J16" s="2">
        <f>AVERAGE(J4:J15)</f>
      </c>
      <c r="K16" s="1">
        <f>IF(L16&gt;0, N16/L16, 0)</f>
      </c>
      <c r="L16" s="2">
        <f>SUM(L4:L15)</f>
      </c>
      <c r="M16" s="2">
        <f>SUM(M4:M15)</f>
      </c>
      <c r="N16" s="2">
        <f>SUM(N4:N15)</f>
      </c>
      <c r="O16" t="str">
        <v>محسوب بمعادلات إكسل</v>
      </c>
      <c r="P16" t="str">
        <v/>
      </c>
      <c r="Q16" t="str">
        <v/>
      </c>
      <c r="R16" t="str">
        <v/>
      </c>
      <c r="S16" t="str">
        <v/>
      </c>
      <c r="T16" t="str">
        <v/>
      </c>
    </row>
  </sheetData>
  <mergeCells count="2">
    <mergeCell ref="A1:T1"/>
    <mergeCell ref="A2:T2"/>
  </mergeCells>
  <ignoredErrors>
    <ignoredError numberStoredAsText="1" sqref="A1:T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T14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[مستلزمات وإسعافات]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كحول طبي معقم إيثيلي 70% بخاخ 120 مل</v>
      </c>
      <c r="C4" t="str">
        <v>6221100020014</v>
      </c>
      <c r="D4" t="str">
        <v/>
      </c>
      <c r="E4" t="str">
        <v>قطعة</v>
      </c>
      <c r="F4">
        <v>25</v>
      </c>
      <c r="G4">
        <v>16</v>
      </c>
      <c r="H4">
        <v>0</v>
      </c>
      <c r="I4">
        <v>12</v>
      </c>
      <c r="J4">
        <f>F4-G4</f>
        <v>9</v>
      </c>
      <c r="K4" s="1">
        <f>IF(G4&gt;0, (F4-G4)/G4, 0)</f>
        <v>0.5625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PHR-0013</v>
      </c>
      <c r="R4" t="str">
        <v/>
      </c>
      <c r="S4" t="str">
        <v/>
      </c>
      <c r="T4" t="str">
        <v/>
      </c>
    </row>
    <row r="5">
      <c r="A5">
        <v>2</v>
      </c>
      <c r="B5" t="str">
        <v>بيتادين مطهر جروح سائل 60 مل</v>
      </c>
      <c r="C5" t="str">
        <v>6221100020021</v>
      </c>
      <c r="D5" t="str">
        <v/>
      </c>
      <c r="E5" t="str">
        <v>قطعة</v>
      </c>
      <c r="F5">
        <v>45</v>
      </c>
      <c r="G5">
        <v>36</v>
      </c>
      <c r="H5">
        <v>0</v>
      </c>
      <c r="I5">
        <v>8</v>
      </c>
      <c r="J5">
        <f>F5-G5</f>
        <v>9</v>
      </c>
      <c r="K5" s="1">
        <f>IF(G5&gt;0, (F5-G5)/G5, 0)</f>
        <v>0.25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PHR-0014</v>
      </c>
      <c r="R5" t="str">
        <v/>
      </c>
      <c r="S5" t="str">
        <v/>
      </c>
      <c r="T5" t="str">
        <v/>
      </c>
    </row>
    <row r="6">
      <c r="A6">
        <v>3</v>
      </c>
      <c r="B6" t="str">
        <v>قطن طبي ممتص فاخر معقم 100 جم</v>
      </c>
      <c r="C6" t="str">
        <v>6221100020038</v>
      </c>
      <c r="D6" t="str">
        <v/>
      </c>
      <c r="E6" t="str">
        <v>قطعة</v>
      </c>
      <c r="F6">
        <v>22</v>
      </c>
      <c r="G6">
        <v>15</v>
      </c>
      <c r="H6">
        <v>0</v>
      </c>
      <c r="I6">
        <v>10</v>
      </c>
      <c r="J6">
        <f>F6-G6</f>
        <v>7</v>
      </c>
      <c r="K6" s="1">
        <f>IF(G6&gt;0, (F6-G6)/G6, 0)</f>
        <v>0.4667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PHR-0015</v>
      </c>
      <c r="R6" t="str">
        <v/>
      </c>
      <c r="S6" t="str">
        <v/>
      </c>
      <c r="T6" t="str">
        <v/>
      </c>
    </row>
    <row r="7">
      <c r="A7">
        <v>4</v>
      </c>
      <c r="B7" t="str">
        <v>شاش طبي معقم باكت 5 قطع</v>
      </c>
      <c r="C7" t="str">
        <v>6221100020045</v>
      </c>
      <c r="D7" t="str">
        <v/>
      </c>
      <c r="E7" t="str">
        <v>قطعة</v>
      </c>
      <c r="F7">
        <v>15</v>
      </c>
      <c r="G7">
        <v>9.5</v>
      </c>
      <c r="H7">
        <v>0</v>
      </c>
      <c r="I7">
        <v>15</v>
      </c>
      <c r="J7">
        <f>F7-G7</f>
        <v>5.5</v>
      </c>
      <c r="K7" s="1">
        <f>IF(G7&gt;0, (F7-G7)/G7, 0)</f>
        <v>0.5789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PHR-0016</v>
      </c>
      <c r="R7" t="str">
        <v/>
      </c>
      <c r="S7" t="str">
        <v/>
      </c>
      <c r="T7" t="str">
        <v/>
      </c>
    </row>
    <row r="8">
      <c r="A8">
        <v>5</v>
      </c>
      <c r="B8" t="str">
        <v>بلاستر طبي لاصق جروح علبة 50 قطعة</v>
      </c>
      <c r="C8" t="str">
        <v>6221100020052</v>
      </c>
      <c r="D8" t="str">
        <v/>
      </c>
      <c r="E8" t="str">
        <v>قطعة</v>
      </c>
      <c r="F8">
        <v>30</v>
      </c>
      <c r="G8">
        <v>18</v>
      </c>
      <c r="H8">
        <v>0</v>
      </c>
      <c r="I8">
        <v>8</v>
      </c>
      <c r="J8">
        <f>F8-G8</f>
        <v>12</v>
      </c>
      <c r="K8" s="1">
        <f>IF(G8&gt;0, (F8-G8)/G8, 0)</f>
        <v>0.6667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PHR-0017</v>
      </c>
      <c r="R8" t="str">
        <v/>
      </c>
      <c r="S8" t="str">
        <v/>
      </c>
      <c r="T8" t="str">
        <v/>
      </c>
    </row>
    <row r="9">
      <c r="A9">
        <v>6</v>
      </c>
      <c r="B9" t="str">
        <v>رباط ضاغط طبي مرن مقاس 10 سم</v>
      </c>
      <c r="C9" t="str">
        <v>6221100020069</v>
      </c>
      <c r="D9" t="str">
        <v/>
      </c>
      <c r="E9" t="str">
        <v>قطعة</v>
      </c>
      <c r="F9">
        <v>20</v>
      </c>
      <c r="G9">
        <v>12</v>
      </c>
      <c r="H9">
        <v>0</v>
      </c>
      <c r="I9">
        <v>7</v>
      </c>
      <c r="J9">
        <f>F9-G9</f>
        <v>8</v>
      </c>
      <c r="K9" s="1">
        <f>IF(G9&gt;0, (F9-G9)/G9, 0)</f>
        <v>0.6667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PHR-0018</v>
      </c>
      <c r="R9" t="str">
        <v/>
      </c>
      <c r="S9" t="str">
        <v>10 سم</v>
      </c>
      <c r="T9" t="str">
        <v/>
      </c>
    </row>
    <row r="10">
      <c r="A10">
        <v>7</v>
      </c>
      <c r="B10" t="str">
        <v>ترمومتر رقمي ديجيتال لقياس الحرارة شاشة LCD</v>
      </c>
      <c r="C10" t="str">
        <v>6221100020076</v>
      </c>
      <c r="D10" t="str">
        <v/>
      </c>
      <c r="E10" t="str">
        <v>قطعة</v>
      </c>
      <c r="F10">
        <v>75</v>
      </c>
      <c r="G10">
        <v>48</v>
      </c>
      <c r="H10">
        <v>0</v>
      </c>
      <c r="I10">
        <v>4</v>
      </c>
      <c r="J10">
        <f>F10-G10</f>
        <v>27</v>
      </c>
      <c r="K10" s="1">
        <f>IF(G10&gt;0, (F10-G10)/G10, 0)</f>
        <v>0.5625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PHR-0019</v>
      </c>
      <c r="R10" t="str">
        <v/>
      </c>
      <c r="S10" t="str">
        <v/>
      </c>
      <c r="T10" t="str">
        <v/>
      </c>
    </row>
    <row r="11">
      <c r="A11">
        <v>8</v>
      </c>
      <c r="B11" t="str">
        <v>سرنجة طبية معقمة 3 سم سن دقيق كرتونة 100</v>
      </c>
      <c r="C11" t="str">
        <v>6221100020083</v>
      </c>
      <c r="D11" t="str">
        <v/>
      </c>
      <c r="E11" t="str">
        <v>قطعة</v>
      </c>
      <c r="F11">
        <v>2.5</v>
      </c>
      <c r="G11">
        <v>1.6</v>
      </c>
      <c r="H11">
        <v>0</v>
      </c>
      <c r="I11">
        <v>40</v>
      </c>
      <c r="J11">
        <f>F11-G11</f>
        <v>0.9</v>
      </c>
      <c r="K11" s="1">
        <f>IF(G11&gt;0, (F11-G11)/G11, 0)</f>
        <v>0.5625</v>
      </c>
      <c r="L11" s="2">
        <f>H11*G11</f>
        <v>0</v>
      </c>
      <c r="M11" s="2">
        <f>H11*F11</f>
        <v>0</v>
      </c>
      <c r="N11" s="2">
        <f>M11-L11</f>
        <v>0</v>
      </c>
      <c r="O11" t="str">
        <f>IF(H11&lt;=0, "نفد من المخزن", IF(H11&lt;=I11, "قارب على النفاد", "متوفر بالمخزن"))</f>
        <v>نفد من المخزن</v>
      </c>
      <c r="P11">
        <v>0</v>
      </c>
      <c r="Q11" t="str">
        <v>PHR-0020</v>
      </c>
      <c r="R11" t="str">
        <v/>
      </c>
      <c r="S11" t="str">
        <v>3 سم</v>
      </c>
      <c r="T11" t="str">
        <v/>
      </c>
    </row>
    <row r="12">
      <c r="A12">
        <v>9</v>
      </c>
      <c r="B12" t="str">
        <v>سرنجة طبية معقمة 5 سم كرتونة 100</v>
      </c>
      <c r="C12" t="str">
        <v>6221100020090</v>
      </c>
      <c r="D12" t="str">
        <v/>
      </c>
      <c r="E12" t="str">
        <v>قطعة</v>
      </c>
      <c r="F12">
        <v>3</v>
      </c>
      <c r="G12">
        <v>1.9</v>
      </c>
      <c r="H12">
        <v>0</v>
      </c>
      <c r="I12">
        <v>40</v>
      </c>
      <c r="J12">
        <f>F12-G12</f>
        <v>1.1</v>
      </c>
      <c r="K12" s="1">
        <f>IF(G12&gt;0, (F12-G12)/G12, 0)</f>
        <v>0.5789</v>
      </c>
      <c r="L12" s="2">
        <f>H12*G12</f>
        <v>0</v>
      </c>
      <c r="M12" s="2">
        <f>H12*F12</f>
        <v>0</v>
      </c>
      <c r="N12" s="2">
        <f>M12-L12</f>
        <v>0</v>
      </c>
      <c r="O12" t="str">
        <f>IF(H12&lt;=0, "نفد من المخزن", IF(H12&lt;=I12, "قارب على النفاد", "متوفر بالمخزن"))</f>
        <v>نفد من المخزن</v>
      </c>
      <c r="P12">
        <v>0</v>
      </c>
      <c r="Q12" t="str">
        <v>PHR-0021</v>
      </c>
      <c r="R12" t="str">
        <v/>
      </c>
      <c r="S12" t="str">
        <v>5 سم</v>
      </c>
      <c r="T12" t="str">
        <v/>
      </c>
    </row>
    <row r="13">
      <c r="A13">
        <v>10</v>
      </c>
      <c r="B13" t="str">
        <v>كمامة طبية 3 طبقات دعامة أنف باكت 50 قطعة</v>
      </c>
      <c r="C13" t="str">
        <v>6221100020106</v>
      </c>
      <c r="D13" t="str">
        <v/>
      </c>
      <c r="E13" t="str">
        <v>قطعة</v>
      </c>
      <c r="F13">
        <v>40</v>
      </c>
      <c r="G13">
        <v>24</v>
      </c>
      <c r="H13">
        <v>0</v>
      </c>
      <c r="I13">
        <v>10</v>
      </c>
      <c r="J13">
        <f>F13-G13</f>
        <v>16</v>
      </c>
      <c r="K13" s="1">
        <f>IF(G13&gt;0, (F13-G13)/G13, 0)</f>
        <v>0.6667</v>
      </c>
      <c r="L13" s="2">
        <f>H13*G13</f>
        <v>0</v>
      </c>
      <c r="M13" s="2">
        <f>H13*F13</f>
        <v>0</v>
      </c>
      <c r="N13" s="2">
        <f>M13-L13</f>
        <v>0</v>
      </c>
      <c r="O13" t="str">
        <f>IF(H13&lt;=0, "نفد من المخزن", IF(H13&lt;=I13, "قارب على النفاد", "متوفر بالمخزن"))</f>
        <v>نفد من المخزن</v>
      </c>
      <c r="P13">
        <v>0</v>
      </c>
      <c r="Q13" t="str">
        <v>PHR-0022</v>
      </c>
      <c r="R13" t="str">
        <v>أزرق</v>
      </c>
      <c r="S13" t="str">
        <v/>
      </c>
      <c r="T13" t="str">
        <v/>
      </c>
    </row>
    <row r="14">
      <c r="A14" t="str">
        <v>الإجمالي</v>
      </c>
      <c r="B14" t="str">
        <v>إجمالي 10 صنف مسجل</v>
      </c>
      <c r="C14" t="str">
        <v/>
      </c>
      <c r="D14" t="str">
        <v/>
      </c>
      <c r="E14" t="str">
        <v/>
      </c>
      <c r="F14" s="2">
        <f>AVERAGE(F4:F13)</f>
      </c>
      <c r="G14" s="2">
        <f>AVERAGE(G4:G13)</f>
      </c>
      <c r="H14" s="3">
        <f>SUM(H4:H13)</f>
      </c>
      <c r="I14" t="str">
        <v/>
      </c>
      <c r="J14" s="2">
        <f>AVERAGE(J4:J13)</f>
      </c>
      <c r="K14" s="1">
        <f>IF(L14&gt;0, N14/L14, 0)</f>
      </c>
      <c r="L14" s="2">
        <f>SUM(L4:L13)</f>
      </c>
      <c r="M14" s="2">
        <f>SUM(M4:M13)</f>
      </c>
      <c r="N14" s="2">
        <f>SUM(N4:N13)</f>
      </c>
      <c r="O14" t="str">
        <v>محسوب بمعادلات إكسل</v>
      </c>
      <c r="P14" t="str">
        <v/>
      </c>
      <c r="Q14" t="str">
        <v/>
      </c>
      <c r="R14" t="str">
        <v/>
      </c>
      <c r="S14" t="str">
        <v/>
      </c>
      <c r="T14" t="str">
        <v/>
      </c>
    </row>
  </sheetData>
  <mergeCells count="2">
    <mergeCell ref="A1:T1"/>
    <mergeCell ref="A2:T2"/>
  </mergeCells>
  <ignoredErrors>
    <ignoredError numberStoredAsText="1" sqref="A1:T1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T13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[عناية بالأم والطفل]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حفاضات بامبرز مقاس 3 عبوة التوفير 58 حفاضة</v>
      </c>
      <c r="C4" t="str">
        <v>6221100030013</v>
      </c>
      <c r="D4" t="str">
        <v/>
      </c>
      <c r="E4" t="str">
        <v>قطعة</v>
      </c>
      <c r="F4">
        <v>290</v>
      </c>
      <c r="G4">
        <v>255</v>
      </c>
      <c r="H4">
        <v>0</v>
      </c>
      <c r="I4">
        <v>5</v>
      </c>
      <c r="J4">
        <f>F4-G4</f>
        <v>35</v>
      </c>
      <c r="K4" s="1">
        <f>IF(G4&gt;0, (F4-G4)/G4, 0)</f>
        <v>0.1373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PHR-0023</v>
      </c>
      <c r="R4" t="str">
        <v/>
      </c>
      <c r="S4" t="str">
        <v>مقاس 3</v>
      </c>
      <c r="T4" t="str">
        <v/>
      </c>
    </row>
    <row r="5">
      <c r="A5">
        <v>2</v>
      </c>
      <c r="B5" t="str">
        <v>حفاضات بامبرز مقاس 4 عبوة جامبو 64 حفاضة</v>
      </c>
      <c r="C5" t="str">
        <v>6221100030020</v>
      </c>
      <c r="D5" t="str">
        <v/>
      </c>
      <c r="E5" t="str">
        <v>قطعة</v>
      </c>
      <c r="F5">
        <v>320</v>
      </c>
      <c r="G5">
        <v>280</v>
      </c>
      <c r="H5">
        <v>0</v>
      </c>
      <c r="I5">
        <v>5</v>
      </c>
      <c r="J5">
        <f>F5-G5</f>
        <v>40</v>
      </c>
      <c r="K5" s="1">
        <f>IF(G5&gt;0, (F5-G5)/G5, 0)</f>
        <v>0.1429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PHR-0024</v>
      </c>
      <c r="R5" t="str">
        <v/>
      </c>
      <c r="S5" t="str">
        <v>مقاس 4</v>
      </c>
      <c r="T5" t="str">
        <v/>
      </c>
    </row>
    <row r="6">
      <c r="A6">
        <v>3</v>
      </c>
      <c r="B6" t="str">
        <v>حفاضات مولفيكس مقاس 3 عبوة 58 حفاضة</v>
      </c>
      <c r="C6" t="str">
        <v>6221100030037</v>
      </c>
      <c r="D6" t="str">
        <v/>
      </c>
      <c r="E6" t="str">
        <v>قطعة</v>
      </c>
      <c r="F6">
        <v>260</v>
      </c>
      <c r="G6">
        <v>228</v>
      </c>
      <c r="H6">
        <v>0</v>
      </c>
      <c r="I6">
        <v>5</v>
      </c>
      <c r="J6">
        <f>F6-G6</f>
        <v>32</v>
      </c>
      <c r="K6" s="1">
        <f>IF(G6&gt;0, (F6-G6)/G6, 0)</f>
        <v>0.1404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PHR-0025</v>
      </c>
      <c r="R6" t="str">
        <v/>
      </c>
      <c r="S6" t="str">
        <v>مقاس 3</v>
      </c>
      <c r="T6" t="str">
        <v/>
      </c>
    </row>
    <row r="7">
      <c r="A7">
        <v>4</v>
      </c>
      <c r="B7" t="str">
        <v>مناديل مبللة جونسون للأطفال بدون كحول 72 منديل</v>
      </c>
      <c r="C7" t="str">
        <v>6221100030044</v>
      </c>
      <c r="D7" t="str">
        <v/>
      </c>
      <c r="E7" t="str">
        <v>قطعة</v>
      </c>
      <c r="F7">
        <v>45</v>
      </c>
      <c r="G7">
        <v>35</v>
      </c>
      <c r="H7">
        <v>0</v>
      </c>
      <c r="I7">
        <v>8</v>
      </c>
      <c r="J7">
        <f>F7-G7</f>
        <v>10</v>
      </c>
      <c r="K7" s="1">
        <f>IF(G7&gt;0, (F7-G7)/G7, 0)</f>
        <v>0.2857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PHR-0026</v>
      </c>
      <c r="R7" t="str">
        <v/>
      </c>
      <c r="S7" t="str">
        <v/>
      </c>
      <c r="T7" t="str">
        <v/>
      </c>
    </row>
    <row r="8">
      <c r="A8">
        <v>5</v>
      </c>
      <c r="B8" t="str">
        <v>شامبو جونسون للأطفال لا دموع بعد اليوم 300 مل</v>
      </c>
      <c r="C8" t="str">
        <v>6221100030051</v>
      </c>
      <c r="D8" t="str">
        <v/>
      </c>
      <c r="E8" t="str">
        <v>قطعة</v>
      </c>
      <c r="F8">
        <v>65</v>
      </c>
      <c r="G8">
        <v>52</v>
      </c>
      <c r="H8">
        <v>0</v>
      </c>
      <c r="I8">
        <v>6</v>
      </c>
      <c r="J8">
        <f>F8-G8</f>
        <v>13</v>
      </c>
      <c r="K8" s="1">
        <f>IF(G8&gt;0, (F8-G8)/G8, 0)</f>
        <v>0.25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PHR-0027</v>
      </c>
      <c r="R8" t="str">
        <v/>
      </c>
      <c r="S8" t="str">
        <v>300 مل</v>
      </c>
      <c r="T8" t="str">
        <v/>
      </c>
    </row>
    <row r="9">
      <c r="A9">
        <v>6</v>
      </c>
      <c r="B9" t="str">
        <v>زيت جونسون للأطفال مرطب ناعم 200 مل</v>
      </c>
      <c r="C9" t="str">
        <v>6221100030068</v>
      </c>
      <c r="D9" t="str">
        <v/>
      </c>
      <c r="E9" t="str">
        <v>قطعة</v>
      </c>
      <c r="F9">
        <v>60</v>
      </c>
      <c r="G9">
        <v>48</v>
      </c>
      <c r="H9">
        <v>0</v>
      </c>
      <c r="I9">
        <v>6</v>
      </c>
      <c r="J9">
        <f>F9-G9</f>
        <v>12</v>
      </c>
      <c r="K9" s="1">
        <f>IF(G9&gt;0, (F9-G9)/G9, 0)</f>
        <v>0.25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PHR-0028</v>
      </c>
      <c r="R9" t="str">
        <v/>
      </c>
      <c r="S9" t="str">
        <v>200 مل</v>
      </c>
      <c r="T9" t="str">
        <v/>
      </c>
    </row>
    <row r="10">
      <c r="A10">
        <v>7</v>
      </c>
      <c r="B10" t="str">
        <v>بودرة تلك جونسون للأطفال نقية 200 جم</v>
      </c>
      <c r="C10" t="str">
        <v>6221100030075</v>
      </c>
      <c r="D10" t="str">
        <v/>
      </c>
      <c r="E10" t="str">
        <v>قطعة</v>
      </c>
      <c r="F10">
        <v>50</v>
      </c>
      <c r="G10">
        <v>39</v>
      </c>
      <c r="H10">
        <v>0</v>
      </c>
      <c r="I10">
        <v>7</v>
      </c>
      <c r="J10">
        <f>F10-G10</f>
        <v>11</v>
      </c>
      <c r="K10" s="1">
        <f>IF(G10&gt;0, (F10-G10)/G10, 0)</f>
        <v>0.2821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PHR-0029</v>
      </c>
      <c r="R10" t="str">
        <v/>
      </c>
      <c r="S10" t="str">
        <v>200 جم</v>
      </c>
      <c r="T10" t="str">
        <v/>
      </c>
    </row>
    <row r="11">
      <c r="A11">
        <v>8</v>
      </c>
      <c r="B11" t="str">
        <v>كريم سودوكريم لعلاج تسلخات الحفاضات 125 جم</v>
      </c>
      <c r="C11" t="str">
        <v>6221100030082</v>
      </c>
      <c r="D11" t="str">
        <v/>
      </c>
      <c r="E11" t="str">
        <v>قطعة</v>
      </c>
      <c r="F11">
        <v>185</v>
      </c>
      <c r="G11">
        <v>152</v>
      </c>
      <c r="H11">
        <v>0</v>
      </c>
      <c r="I11">
        <v>4</v>
      </c>
      <c r="J11">
        <f>F11-G11</f>
        <v>33</v>
      </c>
      <c r="K11" s="1">
        <f>IF(G11&gt;0, (F11-G11)/G11, 0)</f>
        <v>0.2171</v>
      </c>
      <c r="L11" s="2">
        <f>H11*G11</f>
        <v>0</v>
      </c>
      <c r="M11" s="2">
        <f>H11*F11</f>
        <v>0</v>
      </c>
      <c r="N11" s="2">
        <f>M11-L11</f>
        <v>0</v>
      </c>
      <c r="O11" t="str">
        <f>IF(H11&lt;=0, "نفد من المخزن", IF(H11&lt;=I11, "قارب على النفاد", "متوفر بالمخزن"))</f>
        <v>نفد من المخزن</v>
      </c>
      <c r="P11">
        <v>0</v>
      </c>
      <c r="Q11" t="str">
        <v>PHR-0030</v>
      </c>
      <c r="R11" t="str">
        <v/>
      </c>
      <c r="S11" t="str">
        <v>125 جم</v>
      </c>
      <c r="T11" t="str">
        <v/>
      </c>
    </row>
    <row r="12">
      <c r="A12">
        <v>9</v>
      </c>
      <c r="B12" t="str">
        <v>ببرونة أطفال شيكو زجاجية حلمة سيليكون 150 مل</v>
      </c>
      <c r="C12" t="str">
        <v>6221100030099</v>
      </c>
      <c r="D12" t="str">
        <v/>
      </c>
      <c r="E12" t="str">
        <v>قطعة</v>
      </c>
      <c r="F12">
        <v>95</v>
      </c>
      <c r="G12">
        <v>72</v>
      </c>
      <c r="H12">
        <v>0</v>
      </c>
      <c r="I12">
        <v>4</v>
      </c>
      <c r="J12">
        <f>F12-G12</f>
        <v>23</v>
      </c>
      <c r="K12" s="1">
        <f>IF(G12&gt;0, (F12-G12)/G12, 0)</f>
        <v>0.3194</v>
      </c>
      <c r="L12" s="2">
        <f>H12*G12</f>
        <v>0</v>
      </c>
      <c r="M12" s="2">
        <f>H12*F12</f>
        <v>0</v>
      </c>
      <c r="N12" s="2">
        <f>M12-L12</f>
        <v>0</v>
      </c>
      <c r="O12" t="str">
        <f>IF(H12&lt;=0, "نفد من المخزن", IF(H12&lt;=I12, "قارب على النفاد", "متوفر بالمخزن"))</f>
        <v>نفد من المخزن</v>
      </c>
      <c r="P12">
        <v>0</v>
      </c>
      <c r="Q12" t="str">
        <v>PHR-0031</v>
      </c>
      <c r="R12" t="str">
        <v/>
      </c>
      <c r="S12" t="str">
        <v>150 مل</v>
      </c>
      <c r="T12" t="str">
        <v/>
      </c>
    </row>
    <row r="13">
      <c r="A13" t="str">
        <v>الإجمالي</v>
      </c>
      <c r="B13" t="str">
        <v>إجمالي 9 صنف مسجل</v>
      </c>
      <c r="C13" t="str">
        <v/>
      </c>
      <c r="D13" t="str">
        <v/>
      </c>
      <c r="E13" t="str">
        <v/>
      </c>
      <c r="F13" s="2">
        <f>AVERAGE(F4:F12)</f>
      </c>
      <c r="G13" s="2">
        <f>AVERAGE(G4:G12)</f>
      </c>
      <c r="H13" s="3">
        <f>SUM(H4:H12)</f>
      </c>
      <c r="I13" t="str">
        <v/>
      </c>
      <c r="J13" s="2">
        <f>AVERAGE(J4:J12)</f>
      </c>
      <c r="K13" s="1">
        <f>IF(L13&gt;0, N13/L13, 0)</f>
      </c>
      <c r="L13" s="2">
        <f>SUM(L4:L12)</f>
      </c>
      <c r="M13" s="2">
        <f>SUM(M4:M12)</f>
      </c>
      <c r="N13" s="2">
        <f>SUM(N4:N12)</f>
      </c>
      <c r="O13" t="str">
        <v>محسوب بمعادلات إكسل</v>
      </c>
      <c r="P13" t="str">
        <v/>
      </c>
      <c r="Q13" t="str">
        <v/>
      </c>
      <c r="R13" t="str">
        <v/>
      </c>
      <c r="S13" t="str">
        <v/>
      </c>
      <c r="T13" t="str">
        <v/>
      </c>
    </row>
  </sheetData>
  <mergeCells count="2">
    <mergeCell ref="A1:T1"/>
    <mergeCell ref="A2:T2"/>
  </mergeCells>
  <ignoredErrors>
    <ignoredError numberStoredAsText="1" sqref="A1:T1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T15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[تجميل وعناية بالبشرة]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غسول وجه غارنييه سكين أكتيف فيتامين سي 100 مل</v>
      </c>
      <c r="C4" t="str">
        <v>6221100040012</v>
      </c>
      <c r="D4" t="str">
        <v/>
      </c>
      <c r="E4" t="str">
        <v>قطعة</v>
      </c>
      <c r="F4">
        <v>85</v>
      </c>
      <c r="G4">
        <v>68</v>
      </c>
      <c r="H4">
        <v>0</v>
      </c>
      <c r="I4">
        <v>6</v>
      </c>
      <c r="J4">
        <f>F4-G4</f>
        <v>17</v>
      </c>
      <c r="K4" s="1">
        <f>IF(G4&gt;0, (F4-G4)/G4, 0)</f>
        <v>0.25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PHR-0032</v>
      </c>
      <c r="R4" t="str">
        <v/>
      </c>
      <c r="S4" t="str">
        <v>100 مل</v>
      </c>
      <c r="T4" t="str">
        <v/>
      </c>
    </row>
    <row r="5">
      <c r="A5">
        <v>2</v>
      </c>
      <c r="B5" t="str">
        <v>ماء ميسيلار منظف ومزيل مكياج غارنييه 400 مل</v>
      </c>
      <c r="C5" t="str">
        <v>6221100040029</v>
      </c>
      <c r="D5" t="str">
        <v/>
      </c>
      <c r="E5" t="str">
        <v>قطعة</v>
      </c>
      <c r="F5">
        <v>110</v>
      </c>
      <c r="G5">
        <v>89</v>
      </c>
      <c r="H5">
        <v>0</v>
      </c>
      <c r="I5">
        <v>5</v>
      </c>
      <c r="J5">
        <f>F5-G5</f>
        <v>21</v>
      </c>
      <c r="K5" s="1">
        <f>IF(G5&gt;0, (F5-G5)/G5, 0)</f>
        <v>0.236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PHR-0033</v>
      </c>
      <c r="R5" t="str">
        <v/>
      </c>
      <c r="S5" t="str">
        <v>400 مل</v>
      </c>
      <c r="T5" t="str">
        <v/>
      </c>
    </row>
    <row r="6">
      <c r="A6">
        <v>3</v>
      </c>
      <c r="B6" t="str">
        <v>كريم نيفيا سوفت مرطب منعش للجسم والوجه 200 مل</v>
      </c>
      <c r="C6" t="str">
        <v>6221100040036</v>
      </c>
      <c r="D6" t="str">
        <v/>
      </c>
      <c r="E6" t="str">
        <v>قطعة</v>
      </c>
      <c r="F6">
        <v>75</v>
      </c>
      <c r="G6">
        <v>58</v>
      </c>
      <c r="H6">
        <v>0</v>
      </c>
      <c r="I6">
        <v>7</v>
      </c>
      <c r="J6">
        <f>F6-G6</f>
        <v>17</v>
      </c>
      <c r="K6" s="1">
        <f>IF(G6&gt;0, (F6-G6)/G6, 0)</f>
        <v>0.2931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PHR-0034</v>
      </c>
      <c r="R6" t="str">
        <v/>
      </c>
      <c r="S6" t="str">
        <v>200 مل</v>
      </c>
      <c r="T6" t="str">
        <v/>
      </c>
    </row>
    <row r="7">
      <c r="A7">
        <v>4</v>
      </c>
      <c r="B7" t="str">
        <v>كريم نيفيا أزرق كلاسيك علبة معدنية 150 مل</v>
      </c>
      <c r="C7" t="str">
        <v>6221100040043</v>
      </c>
      <c r="D7" t="str">
        <v/>
      </c>
      <c r="E7" t="str">
        <v>قطعة</v>
      </c>
      <c r="F7">
        <v>65</v>
      </c>
      <c r="G7">
        <v>51</v>
      </c>
      <c r="H7">
        <v>0</v>
      </c>
      <c r="I7">
        <v>8</v>
      </c>
      <c r="J7">
        <f>F7-G7</f>
        <v>14</v>
      </c>
      <c r="K7" s="1">
        <f>IF(G7&gt;0, (F7-G7)/G7, 0)</f>
        <v>0.2745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PHR-0035</v>
      </c>
      <c r="R7" t="str">
        <v/>
      </c>
      <c r="S7" t="str">
        <v>150 مل</v>
      </c>
      <c r="T7" t="str">
        <v/>
      </c>
    </row>
    <row r="8">
      <c r="A8">
        <v>5</v>
      </c>
      <c r="B8" t="str">
        <v>صن بلوك واقي شمس بوباي جل SPF50+ 50 جم</v>
      </c>
      <c r="C8" t="str">
        <v>6221100040050</v>
      </c>
      <c r="D8" t="str">
        <v/>
      </c>
      <c r="E8" t="str">
        <v>قطعة</v>
      </c>
      <c r="F8">
        <v>160</v>
      </c>
      <c r="G8">
        <v>128</v>
      </c>
      <c r="H8">
        <v>0</v>
      </c>
      <c r="I8">
        <v>4</v>
      </c>
      <c r="J8">
        <f>F8-G8</f>
        <v>32</v>
      </c>
      <c r="K8" s="1">
        <f>IF(G8&gt;0, (F8-G8)/G8, 0)</f>
        <v>0.25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PHR-0036</v>
      </c>
      <c r="R8" t="str">
        <v/>
      </c>
      <c r="S8" t="str">
        <v>50 جم</v>
      </c>
      <c r="T8" t="str">
        <v/>
      </c>
    </row>
    <row r="9">
      <c r="A9">
        <v>6</v>
      </c>
      <c r="B9" t="str">
        <v>سيروم شعر سيروبايب كيراتين مضاد للتساقط 100 مل</v>
      </c>
      <c r="C9" t="str">
        <v>6221100040067</v>
      </c>
      <c r="D9" t="str">
        <v/>
      </c>
      <c r="E9" t="str">
        <v>قطعة</v>
      </c>
      <c r="F9">
        <v>195</v>
      </c>
      <c r="G9">
        <v>155</v>
      </c>
      <c r="H9">
        <v>0</v>
      </c>
      <c r="I9">
        <v>3</v>
      </c>
      <c r="J9">
        <f>F9-G9</f>
        <v>40</v>
      </c>
      <c r="K9" s="1">
        <f>IF(G9&gt;0, (F9-G9)/G9, 0)</f>
        <v>0.2581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PHR-0037</v>
      </c>
      <c r="R9" t="str">
        <v/>
      </c>
      <c r="S9" t="str">
        <v>100 مل</v>
      </c>
      <c r="T9" t="str">
        <v/>
      </c>
    </row>
    <row r="10">
      <c r="A10">
        <v>7</v>
      </c>
      <c r="B10" t="str">
        <v>حمام كريم شعر فاتيكا بالثوم والنخاع 500 جم</v>
      </c>
      <c r="C10" t="str">
        <v>6221100040074</v>
      </c>
      <c r="D10" t="str">
        <v/>
      </c>
      <c r="E10" t="str">
        <v>قطعة</v>
      </c>
      <c r="F10">
        <v>65</v>
      </c>
      <c r="G10">
        <v>50</v>
      </c>
      <c r="H10">
        <v>0</v>
      </c>
      <c r="I10">
        <v>6</v>
      </c>
      <c r="J10">
        <f>F10-G10</f>
        <v>15</v>
      </c>
      <c r="K10" s="1">
        <f>IF(G10&gt;0, (F10-G10)/G10, 0)</f>
        <v>0.3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PHR-0038</v>
      </c>
      <c r="R10" t="str">
        <v/>
      </c>
      <c r="S10" t="str">
        <v>500 جم</v>
      </c>
      <c r="T10" t="str">
        <v/>
      </c>
    </row>
    <row r="11">
      <c r="A11">
        <v>8</v>
      </c>
      <c r="B11" t="str">
        <v>مزيل عرق ريكسونا بخاخ رجالي 150 مل حماية 48 ساعة</v>
      </c>
      <c r="C11" t="str">
        <v>6221100040081</v>
      </c>
      <c r="D11" t="str">
        <v/>
      </c>
      <c r="E11" t="str">
        <v>قطعة</v>
      </c>
      <c r="F11">
        <v>75</v>
      </c>
      <c r="G11">
        <v>59</v>
      </c>
      <c r="H11">
        <v>0</v>
      </c>
      <c r="I11">
        <v>7</v>
      </c>
      <c r="J11">
        <f>F11-G11</f>
        <v>16</v>
      </c>
      <c r="K11" s="1">
        <f>IF(G11&gt;0, (F11-G11)/G11, 0)</f>
        <v>0.2712</v>
      </c>
      <c r="L11" s="2">
        <f>H11*G11</f>
        <v>0</v>
      </c>
      <c r="M11" s="2">
        <f>H11*F11</f>
        <v>0</v>
      </c>
      <c r="N11" s="2">
        <f>M11-L11</f>
        <v>0</v>
      </c>
      <c r="O11" t="str">
        <f>IF(H11&lt;=0, "نفد من المخزن", IF(H11&lt;=I11, "قارب على النفاد", "متوفر بالمخزن"))</f>
        <v>نفد من المخزن</v>
      </c>
      <c r="P11">
        <v>0</v>
      </c>
      <c r="Q11" t="str">
        <v>PHR-0039</v>
      </c>
      <c r="R11" t="str">
        <v/>
      </c>
      <c r="S11" t="str">
        <v>150 مل</v>
      </c>
      <c r="T11" t="str">
        <v/>
      </c>
    </row>
    <row r="12">
      <c r="A12">
        <v>9</v>
      </c>
      <c r="B12" t="str">
        <v>مزيل عرق نيفيا رول أون حريمي 50 مل حماية جافة</v>
      </c>
      <c r="C12" t="str">
        <v>6221100040098</v>
      </c>
      <c r="D12" t="str">
        <v/>
      </c>
      <c r="E12" t="str">
        <v>قطعة</v>
      </c>
      <c r="F12">
        <v>55</v>
      </c>
      <c r="G12">
        <v>42</v>
      </c>
      <c r="H12">
        <v>0</v>
      </c>
      <c r="I12">
        <v>8</v>
      </c>
      <c r="J12">
        <f>F12-G12</f>
        <v>13</v>
      </c>
      <c r="K12" s="1">
        <f>IF(G12&gt;0, (F12-G12)/G12, 0)</f>
        <v>0.3095</v>
      </c>
      <c r="L12" s="2">
        <f>H12*G12</f>
        <v>0</v>
      </c>
      <c r="M12" s="2">
        <f>H12*F12</f>
        <v>0</v>
      </c>
      <c r="N12" s="2">
        <f>M12-L12</f>
        <v>0</v>
      </c>
      <c r="O12" t="str">
        <f>IF(H12&lt;=0, "نفد من المخزن", IF(H12&lt;=I12, "قارب على النفاد", "متوفر بالمخزن"))</f>
        <v>نفد من المخزن</v>
      </c>
      <c r="P12">
        <v>0</v>
      </c>
      <c r="Q12" t="str">
        <v>PHR-0040</v>
      </c>
      <c r="R12" t="str">
        <v/>
      </c>
      <c r="S12" t="str">
        <v>50 مل</v>
      </c>
      <c r="T12" t="str">
        <v/>
      </c>
    </row>
    <row r="13">
      <c r="A13">
        <v>10</v>
      </c>
      <c r="B13" t="str">
        <v>معجون أسنان سنسوداين للأسنان الحساسة 75 مل</v>
      </c>
      <c r="C13" t="str">
        <v>6221100040104</v>
      </c>
      <c r="D13" t="str">
        <v/>
      </c>
      <c r="E13" t="str">
        <v>قطعة</v>
      </c>
      <c r="F13">
        <v>65</v>
      </c>
      <c r="G13">
        <v>52</v>
      </c>
      <c r="H13">
        <v>0</v>
      </c>
      <c r="I13">
        <v>7</v>
      </c>
      <c r="J13">
        <f>F13-G13</f>
        <v>13</v>
      </c>
      <c r="K13" s="1">
        <f>IF(G13&gt;0, (F13-G13)/G13, 0)</f>
        <v>0.25</v>
      </c>
      <c r="L13" s="2">
        <f>H13*G13</f>
        <v>0</v>
      </c>
      <c r="M13" s="2">
        <f>H13*F13</f>
        <v>0</v>
      </c>
      <c r="N13" s="2">
        <f>M13-L13</f>
        <v>0</v>
      </c>
      <c r="O13" t="str">
        <f>IF(H13&lt;=0, "نفد من المخزن", IF(H13&lt;=I13, "قارب على النفاد", "متوفر بالمخزن"))</f>
        <v>نفد من المخزن</v>
      </c>
      <c r="P13">
        <v>0</v>
      </c>
      <c r="Q13" t="str">
        <v>PHR-0041</v>
      </c>
      <c r="R13" t="str">
        <v/>
      </c>
      <c r="S13" t="str">
        <v>75 مل</v>
      </c>
      <c r="T13" t="str">
        <v/>
      </c>
    </row>
    <row r="14">
      <c r="A14">
        <v>11</v>
      </c>
      <c r="B14" t="str">
        <v>موس حلاقة جيليت بلو 3 شفرات متحركة كيس 4 قطع</v>
      </c>
      <c r="C14" t="str">
        <v>6221100040111</v>
      </c>
      <c r="D14" t="str">
        <v/>
      </c>
      <c r="E14" t="str">
        <v>قطعة</v>
      </c>
      <c r="F14">
        <v>55</v>
      </c>
      <c r="G14">
        <v>42</v>
      </c>
      <c r="H14">
        <v>0</v>
      </c>
      <c r="I14">
        <v>8</v>
      </c>
      <c r="J14">
        <f>F14-G14</f>
        <v>13</v>
      </c>
      <c r="K14" s="1">
        <f>IF(G14&gt;0, (F14-G14)/G14, 0)</f>
        <v>0.3095</v>
      </c>
      <c r="L14" s="2">
        <f>H14*G14</f>
        <v>0</v>
      </c>
      <c r="M14" s="2">
        <f>H14*F14</f>
        <v>0</v>
      </c>
      <c r="N14" s="2">
        <f>M14-L14</f>
        <v>0</v>
      </c>
      <c r="O14" t="str">
        <f>IF(H14&lt;=0, "نفد من المخزن", IF(H14&lt;=I14, "قارب على النفاد", "متوفر بالمخزن"))</f>
        <v>نفد من المخزن</v>
      </c>
      <c r="P14">
        <v>0</v>
      </c>
      <c r="Q14" t="str">
        <v>PHR-0042</v>
      </c>
      <c r="R14" t="str">
        <v/>
      </c>
      <c r="S14" t="str">
        <v/>
      </c>
      <c r="T14" t="str">
        <v/>
      </c>
    </row>
    <row r="15">
      <c r="A15" t="str">
        <v>الإجمالي</v>
      </c>
      <c r="B15" t="str">
        <v>إجمالي 11 صنف مسجل</v>
      </c>
      <c r="C15" t="str">
        <v/>
      </c>
      <c r="D15" t="str">
        <v/>
      </c>
      <c r="E15" t="str">
        <v/>
      </c>
      <c r="F15" s="2">
        <f>AVERAGE(F4:F14)</f>
      </c>
      <c r="G15" s="2">
        <f>AVERAGE(G4:G14)</f>
      </c>
      <c r="H15" s="3">
        <f>SUM(H4:H14)</f>
      </c>
      <c r="I15" t="str">
        <v/>
      </c>
      <c r="J15" s="2">
        <f>AVERAGE(J4:J14)</f>
      </c>
      <c r="K15" s="1">
        <f>IF(L15&gt;0, N15/L15, 0)</f>
      </c>
      <c r="L15" s="2">
        <f>SUM(L4:L14)</f>
      </c>
      <c r="M15" s="2">
        <f>SUM(M4:M14)</f>
      </c>
      <c r="N15" s="2">
        <f>SUM(N4:N14)</f>
      </c>
      <c r="O15" t="str">
        <v>محسوب بمعادلات إكسل</v>
      </c>
      <c r="P15" t="str">
        <v/>
      </c>
      <c r="Q15" t="str">
        <v/>
      </c>
      <c r="R15" t="str">
        <v/>
      </c>
      <c r="S15" t="str">
        <v/>
      </c>
      <c r="T15" t="str">
        <v/>
      </c>
    </row>
  </sheetData>
  <mergeCells count="2">
    <mergeCell ref="A1:T1"/>
    <mergeCell ref="A2:T2"/>
  </mergeCells>
  <ignoredErrors>
    <ignoredError numberStoredAsText="1" sqref="A1:T1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أدوية ومسكنات شائعة</vt:lpstr>
      <vt:lpstr>مستلزمات وإسعافات</vt:lpstr>
      <vt:lpstr>عناية بالأم والطفل</vt:lpstr>
      <vt:lpstr>تجميل وعناية بالبشرة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