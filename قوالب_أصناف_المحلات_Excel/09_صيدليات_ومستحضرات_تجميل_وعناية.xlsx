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أدوية ومسكنات شائعة وفيتامينات" sheetId="1" r:id="rId1"/>
    <sheet name="أدوية الأطفال والرضع" sheetId="2" r:id="rId2"/>
    <sheet name="أدوية الأمراض المزمنة والضغط و" sheetId="3" r:id="rId3"/>
    <sheet name="مضادات حيوية ومطهرات بكتيرية" sheetId="4" r:id="rId4"/>
    <sheet name="أدوية الجهاز الهضمي والمعدة وا" sheetId="5" r:id="rId5"/>
    <sheet name="مستلزمات وإسعافات" sheetId="6" r:id="rId6"/>
    <sheet name="عناية بالأم والطفل" sheetId="7" r:id="rId7"/>
    <sheet name="تجميل وعناية بالبشرة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4" fontId="0" fillId="0" borderId="0" xfId="0" applyNumberFormat="1"/>
    <xf numFmtId="10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64"/>
  <sheetViews>
    <sheetView workbookViewId="0"/>
  </sheetViews>
  <cols>
    <col min="1" max="1" width="6.83203125" customWidth="1"/>
    <col min="2" max="2" width="18.83203125" customWidth="1"/>
    <col min="3" max="3" width="45.83203125" customWidth="1"/>
    <col min="4" max="4" width="42.83203125" customWidth="1"/>
    <col min="5" max="5" width="18.83203125" customWidth="1"/>
    <col min="6" max="6" width="16.83203125" customWidth="1"/>
    <col min="7" max="7" width="25.83203125" customWidth="1"/>
    <col min="8" max="8" width="32.83203125" customWidth="1"/>
    <col min="9" max="9" width="24.83203125" customWidth="1"/>
    <col min="10" max="10" width="16.83203125" customWidth="1"/>
    <col min="11" max="11" width="18.83203125" customWidth="1"/>
    <col min="12" max="12" width="18.83203125" customWidth="1"/>
    <col min="13" max="13" width="16.83203125" customWidth="1"/>
    <col min="14" max="14" width="16.83203125" customWidth="1"/>
    <col min="15" max="15" width="16.83203125" customWidth="1"/>
    <col min="16" max="16" width="14.83203125" customWidth="1"/>
    <col min="17" max="17" width="18.83203125" customWidth="1"/>
    <col min="18" max="18" width="18.83203125" customWidth="1"/>
    <col min="19" max="19" width="18.83203125" customWidth="1"/>
    <col min="20" max="20" width="16.83203125" customWidth="1"/>
    <col min="21" max="21" width="22.83203125" customWidth="1"/>
    <col min="22" max="22" width="24.83203125" customWidth="1"/>
    <col min="23" max="23" width="15.83203125" customWidth="1"/>
    <col min="24" max="24" width="18.83203125" customWidth="1"/>
    <col min="25" max="25" width="18.83203125" customWidth="1"/>
    <col min="26" max="26" width="18.83203125" customWidth="1"/>
    <col min="27" max="27" width="14.83203125" customWidth="1"/>
    <col min="28" max="28" width="16.83203125" customWidth="1"/>
  </cols>
  <sheetData>
    <row r="1">
      <c r="A1" t="str">
        <v>رفيق POS - قائمة أصناف قسم: [أدوية ومسكنات شائعة وفيتامينات]</v>
      </c>
    </row>
    <row r="2">
      <c r="A2" t="str">
        <v>تعليمات هامة: الأعمدة المميزة بنجمة (*) إلزامية | يتضمن النموذج كافة البيانات السريرية والصيدلية المعتمدة | المعادلات المالية والمخزنية تتحدث تلقائياً</v>
      </c>
    </row>
    <row r="3">
      <c r="A3" t="str">
        <v>م</v>
      </c>
      <c r="B3" t="str">
        <v>باركود الدواء *</v>
      </c>
      <c r="C3" t="str">
        <v>الاسم التجاري (عربي / إنجليزي) *</v>
      </c>
      <c r="D3" t="str">
        <v>الاسم العلمي (المادة الفعالة والتركيبة) *</v>
      </c>
      <c r="E3" t="str">
        <v>الشكل الدوائي (Dosage Form)</v>
      </c>
      <c r="F3" t="str">
        <v>التركيز والحجم</v>
      </c>
      <c r="G3" t="str">
        <v>الشركة المصنعة (Manufacturer)</v>
      </c>
      <c r="H3" t="str">
        <v>المجموعة العلاجية (Therapeutic Class)</v>
      </c>
      <c r="I3" t="str">
        <v>مكان التخزين / الرف / الدرج</v>
      </c>
      <c r="J3" t="str">
        <v>الوحدة الأساسية (علبة / قطعة)</v>
      </c>
      <c r="K3" t="str">
        <v>سعر الجمهور الرسمي (ج.م) *</v>
      </c>
      <c r="L3" t="str">
        <v>سعر التكلفة / الشراء (ج.م) *</v>
      </c>
      <c r="M3" t="str">
        <v>الرصيد الافتتاحي (علب)</v>
      </c>
      <c r="N3" t="str">
        <v>حد الطلب الأدنى</v>
      </c>
      <c r="O3" t="str">
        <v>هامش ربح العلبة (ج.م)</v>
      </c>
      <c r="P3" t="str">
        <v>نسبة الربح (%)</v>
      </c>
      <c r="Q3" t="str">
        <v>إجمالي قيمة التكلفة (ج.م)</v>
      </c>
      <c r="R3" t="str">
        <v>إجمالي القيمة البيعية (ج.م)</v>
      </c>
      <c r="S3" t="str">
        <v>إجمالي الربح المتوقع (ج.م)</v>
      </c>
      <c r="T3" t="str">
        <v>حالة المخزون التلقائية</v>
      </c>
      <c r="U3" t="str">
        <v>طريقة الاستخدام (Route)</v>
      </c>
      <c r="V3" t="str">
        <v>فئة أمان الحمل والرضاعة</v>
      </c>
      <c r="W3" t="str">
        <v>مضاد حيوي (نعم / لا)</v>
      </c>
      <c r="X3" t="str">
        <v>سلسلة التبريد / ثلاجة (نعم / لا)</v>
      </c>
      <c r="Y3" t="str">
        <v>نوع الوصفة والصرف (Rx Status)</v>
      </c>
      <c r="Z3" t="str">
        <v>عدد الوحدات / الأشرطة بالعلبة</v>
      </c>
      <c r="AA3" t="str">
        <v>نسبة الضريبة (%)</v>
      </c>
      <c r="AB3" t="str">
        <v>كود الصنف الداخلي (SKU)</v>
      </c>
    </row>
    <row r="4">
      <c r="A4">
        <v>1</v>
      </c>
      <c r="B4" t="str">
        <v>6220001009633</v>
      </c>
      <c r="C4" t="str">
        <v>بنادول اكسترا اوبتيزورب 48 قرص (panadol extra optizorb 48 f.c. tabs)</v>
      </c>
      <c r="D4" t="str">
        <v>caffeine+paracetamol(acetaminophen)</v>
      </c>
      <c r="E4" t="str">
        <v>أقراص</v>
      </c>
      <c r="F4" t="str">
        <v>قياسي</v>
      </c>
      <c r="G4" t="str">
        <v>glaxo smithkline</v>
      </c>
      <c r="H4" t="str">
        <v>مسكنات وخافضات حرارة ومضادات التهاب</v>
      </c>
      <c r="I4" t="str">
        <v>رف A1 - مسكنات وخافضات حرارة</v>
      </c>
      <c r="J4" t="str">
        <v>علبة</v>
      </c>
      <c r="K4">
        <v>116</v>
      </c>
      <c r="L4">
        <v>89.32</v>
      </c>
      <c r="M4">
        <v>20</v>
      </c>
      <c r="N4">
        <v>5</v>
      </c>
      <c r="O4" s="1">
        <f>K4-L4</f>
        <v>26.68</v>
      </c>
      <c r="P4" s="2">
        <f>IF(L4&gt;0,O4/L4,0)</f>
        <v>0.2987</v>
      </c>
      <c r="Q4" s="1">
        <f>L4*M4</f>
        <v>1786.4</v>
      </c>
      <c r="R4" s="1">
        <f>K4*M4</f>
        <v>2320</v>
      </c>
      <c r="S4" s="1">
        <f>R4-Q4</f>
        <v>533.6</v>
      </c>
      <c r="T4" t="str">
        <f>IF(M4=0,"نافد",IF(M4&lt;=N4,"قرب ينفد","متوفر"))</f>
        <v>متوفر</v>
      </c>
      <c r="U4" t="str">
        <v>فموي (Oral)</v>
      </c>
      <c r="V4" t="str">
        <v>فئة C (بحذر وإشراف طبي)</v>
      </c>
      <c r="W4" t="str">
        <v>لا</v>
      </c>
      <c r="X4" t="str">
        <v>لا</v>
      </c>
      <c r="Y4" t="str">
        <v>صرف مباشر (OTC)</v>
      </c>
      <c r="Z4">
        <v>4</v>
      </c>
      <c r="AA4">
        <v>0</v>
      </c>
      <c r="AB4" t="str">
        <v>MED-0001</v>
      </c>
    </row>
    <row r="5">
      <c r="A5">
        <v>2</v>
      </c>
      <c r="B5" t="str">
        <v>6220001009640</v>
      </c>
      <c r="C5" t="str">
        <v>بنادول اكسترا اوبتيزورب 24 قرص (panadol extra optizorb 24 f.c. tabs)</v>
      </c>
      <c r="D5" t="str">
        <v>caffeine+paracetamol(acetaminophen)</v>
      </c>
      <c r="E5" t="str">
        <v>أقراص</v>
      </c>
      <c r="F5" t="str">
        <v>قياسي</v>
      </c>
      <c r="G5" t="str">
        <v>glaxo smithkline</v>
      </c>
      <c r="H5" t="str">
        <v>مسكنات وخافضات حرارة ومضادات التهاب</v>
      </c>
      <c r="I5" t="str">
        <v>رف A1 - مسكنات وخافضات حرارة</v>
      </c>
      <c r="J5" t="str">
        <v>علبة</v>
      </c>
      <c r="K5">
        <v>58</v>
      </c>
      <c r="L5">
        <v>44.66</v>
      </c>
      <c r="M5">
        <v>20</v>
      </c>
      <c r="N5">
        <v>5</v>
      </c>
      <c r="O5" s="1">
        <f>K5-L5</f>
        <v>13.34</v>
      </c>
      <c r="P5" s="2">
        <f>IF(L5&gt;0,O5/L5,0)</f>
        <v>0.2987</v>
      </c>
      <c r="Q5" s="1">
        <f>L5*M5</f>
        <v>893.2</v>
      </c>
      <c r="R5" s="1">
        <f>K5*M5</f>
        <v>1160</v>
      </c>
      <c r="S5" s="1">
        <f>R5-Q5</f>
        <v>266.8</v>
      </c>
      <c r="T5" t="str">
        <f>IF(M5=0,"نافد",IF(M5&lt;=N5,"قرب ينفد","متوفر"))</f>
        <v>متوفر</v>
      </c>
      <c r="U5" t="str">
        <v>فموي (Oral)</v>
      </c>
      <c r="V5" t="str">
        <v>فئة C (بحذر وإشراف طبي)</v>
      </c>
      <c r="W5" t="str">
        <v>لا</v>
      </c>
      <c r="X5" t="str">
        <v>لا</v>
      </c>
      <c r="Y5" t="str">
        <v>صرف مباشر (OTC)</v>
      </c>
      <c r="Z5">
        <v>2</v>
      </c>
      <c r="AA5">
        <v>0</v>
      </c>
      <c r="AB5" t="str">
        <v>MED-0002</v>
      </c>
    </row>
    <row r="6">
      <c r="A6">
        <v>3</v>
      </c>
      <c r="B6" t="str">
        <v>6223013532250</v>
      </c>
      <c r="C6" t="str">
        <v>بانادول اكيوت هيد كولد 20 قرص كومتركس سابقا (panadol acute head cold 20 f.c.tabs)</v>
      </c>
      <c r="D6" t="str">
        <v>brompheniramine+paracetamol(acetaminophen)+pseudoephedrine</v>
      </c>
      <c r="E6" t="str">
        <v>أقراص</v>
      </c>
      <c r="F6" t="str">
        <v>قياسي</v>
      </c>
      <c r="G6" t="str">
        <v>glaxo smithkline</v>
      </c>
      <c r="H6" t="str">
        <v>مسكنات وخافضات حرارة ومضادات التهاب</v>
      </c>
      <c r="I6" t="str">
        <v>رف A1 - مسكنات وخافضات حرارة</v>
      </c>
      <c r="J6" t="str">
        <v>علبة</v>
      </c>
      <c r="K6">
        <v>62</v>
      </c>
      <c r="L6">
        <v>47.74</v>
      </c>
      <c r="M6">
        <v>20</v>
      </c>
      <c r="N6">
        <v>5</v>
      </c>
      <c r="O6" s="1">
        <f>K6-L6</f>
        <v>14.26</v>
      </c>
      <c r="P6" s="2">
        <f>IF(L6&gt;0,O6/L6,0)</f>
        <v>0.2987</v>
      </c>
      <c r="Q6" s="1">
        <f>L6*M6</f>
        <v>954.8</v>
      </c>
      <c r="R6" s="1">
        <f>K6*M6</f>
        <v>1240</v>
      </c>
      <c r="S6" s="1">
        <f>R6-Q6</f>
        <v>285.2</v>
      </c>
      <c r="T6" t="str">
        <f>IF(M6=0,"نافد",IF(M6&lt;=N6,"قرب ينفد","متوفر"))</f>
        <v>متوفر</v>
      </c>
      <c r="U6" t="str">
        <v>فموي (Oral)</v>
      </c>
      <c r="V6" t="str">
        <v>فئة C (بحذر وإشراف طبي)</v>
      </c>
      <c r="W6" t="str">
        <v>لا</v>
      </c>
      <c r="X6" t="str">
        <v>لا</v>
      </c>
      <c r="Y6" t="str">
        <v>صرف مباشر (OTC)</v>
      </c>
      <c r="Z6">
        <v>2</v>
      </c>
      <c r="AA6">
        <v>0</v>
      </c>
      <c r="AB6" t="str">
        <v>MED-0003</v>
      </c>
    </row>
    <row r="7">
      <c r="A7">
        <v>4</v>
      </c>
      <c r="B7" t="str">
        <v>6220001042401</v>
      </c>
      <c r="C7" t="str">
        <v>بانادول ادفانس 500مجم 24 قرص (panadol advance 500 mg 24 f.c.tabs)</v>
      </c>
      <c r="D7" t="str">
        <v>paracetamol(acetaminophen)</v>
      </c>
      <c r="E7" t="str">
        <v>أقراص</v>
      </c>
      <c r="F7" t="str">
        <v>500مجم</v>
      </c>
      <c r="G7" t="str">
        <v>alexandria &gt; glaxo smithkline</v>
      </c>
      <c r="H7" t="str">
        <v>مسكنات وخافضات حرارة ومضادات التهاب</v>
      </c>
      <c r="I7" t="str">
        <v>رف A1 - مسكنات وخافضات حرارة</v>
      </c>
      <c r="J7" t="str">
        <v>علبة</v>
      </c>
      <c r="K7">
        <v>46</v>
      </c>
      <c r="L7">
        <v>35.42</v>
      </c>
      <c r="M7">
        <v>20</v>
      </c>
      <c r="N7">
        <v>5</v>
      </c>
      <c r="O7" s="1">
        <f>K7-L7</f>
        <v>10.58</v>
      </c>
      <c r="P7" s="2">
        <f>IF(L7&gt;0,O7/L7,0)</f>
        <v>0.2987</v>
      </c>
      <c r="Q7" s="1">
        <f>L7*M7</f>
        <v>708.4</v>
      </c>
      <c r="R7" s="1">
        <f>K7*M7</f>
        <v>920</v>
      </c>
      <c r="S7" s="1">
        <f>R7-Q7</f>
        <v>211.6</v>
      </c>
      <c r="T7" t="str">
        <f>IF(M7=0,"نافد",IF(M7&lt;=N7,"قرب ينفد","متوفر"))</f>
        <v>متوفر</v>
      </c>
      <c r="U7" t="str">
        <v>فموي (Oral)</v>
      </c>
      <c r="V7" t="str">
        <v>فئة B (آمن إلى حد كبير)</v>
      </c>
      <c r="W7" t="str">
        <v>لا</v>
      </c>
      <c r="X7" t="str">
        <v>لا</v>
      </c>
      <c r="Y7" t="str">
        <v>صرف مباشر (OTC)</v>
      </c>
      <c r="Z7">
        <v>2</v>
      </c>
      <c r="AA7">
        <v>0</v>
      </c>
      <c r="AB7" t="str">
        <v>MED-0004</v>
      </c>
    </row>
    <row r="8">
      <c r="A8">
        <v>5</v>
      </c>
      <c r="B8" t="str">
        <v>5010214587124</v>
      </c>
      <c r="C8" t="str">
        <v>بانادول بيبي شراب للرضع 100 مل (panadol baby infant 100ml)</v>
      </c>
      <c r="D8" t="str">
        <v>paracetamol(acetaminophen)</v>
      </c>
      <c r="E8" t="str">
        <v>شراب</v>
      </c>
      <c r="F8" t="str">
        <v>100 مل</v>
      </c>
      <c r="G8" t="str">
        <v>alexandria &gt; glaxo smithkline</v>
      </c>
      <c r="H8" t="str">
        <v>مسكنات وخافضات حرارة ومضادات التهاب</v>
      </c>
      <c r="I8" t="str">
        <v>رف A1 - مسكنات وخافضات حرارة</v>
      </c>
      <c r="J8" t="str">
        <v>قطعة</v>
      </c>
      <c r="K8">
        <v>40</v>
      </c>
      <c r="L8">
        <v>30.8</v>
      </c>
      <c r="M8">
        <v>20</v>
      </c>
      <c r="N8">
        <v>5</v>
      </c>
      <c r="O8" s="1">
        <f>K8-L8</f>
        <v>9.2</v>
      </c>
      <c r="P8" s="2">
        <f>IF(L8&gt;0,O8/L8,0)</f>
        <v>0.2987</v>
      </c>
      <c r="Q8" s="1">
        <f>L8*M8</f>
        <v>616</v>
      </c>
      <c r="R8" s="1">
        <f>K8*M8</f>
        <v>800</v>
      </c>
      <c r="S8" s="1">
        <f>R8-Q8</f>
        <v>184</v>
      </c>
      <c r="T8" t="str">
        <f>IF(M8=0,"نافد",IF(M8&lt;=N8,"قرب ينفد","متوفر"))</f>
        <v>متوفر</v>
      </c>
      <c r="U8" t="str">
        <v>فموي (Oral)</v>
      </c>
      <c r="V8" t="str">
        <v>فئة B (آمن إلى حد كبير)</v>
      </c>
      <c r="W8" t="str">
        <v>لا</v>
      </c>
      <c r="X8" t="str">
        <v>لا</v>
      </c>
      <c r="Y8" t="str">
        <v>صرف مباشر (OTC)</v>
      </c>
      <c r="Z8">
        <v>1</v>
      </c>
      <c r="AA8">
        <v>0</v>
      </c>
      <c r="AB8" t="str">
        <v>MED-0005</v>
      </c>
    </row>
    <row r="9">
      <c r="A9">
        <v>6</v>
      </c>
      <c r="B9" t="str">
        <v>6222010610800</v>
      </c>
      <c r="C9" t="str">
        <v>بانادول كولد اند فلو داي 24 قرص (panadol cold &amp; flu day 24 f.c. tabs)</v>
      </c>
      <c r="D9" t="str">
        <v>caffeine+paracetamol(acetaminophen)+phenylephrine hydrochloride</v>
      </c>
      <c r="E9" t="str">
        <v>أقراص</v>
      </c>
      <c r="F9" t="str">
        <v>قياسي</v>
      </c>
      <c r="G9" t="str">
        <v>alexandria &gt; glaxo smithkline</v>
      </c>
      <c r="H9" t="str">
        <v>مسكنات وخافضات حرارة ومضادات التهاب</v>
      </c>
      <c r="I9" t="str">
        <v>رف A1 - مسكنات وخافضات حرارة</v>
      </c>
      <c r="J9" t="str">
        <v>علبة</v>
      </c>
      <c r="K9">
        <v>76</v>
      </c>
      <c r="L9">
        <v>58.52</v>
      </c>
      <c r="M9">
        <v>20</v>
      </c>
      <c r="N9">
        <v>5</v>
      </c>
      <c r="O9" s="1">
        <f>K9-L9</f>
        <v>17.48</v>
      </c>
      <c r="P9" s="2">
        <f>IF(L9&gt;0,O9/L9,0)</f>
        <v>0.2987</v>
      </c>
      <c r="Q9" s="1">
        <f>L9*M9</f>
        <v>1170.4</v>
      </c>
      <c r="R9" s="1">
        <f>K9*M9</f>
        <v>1520</v>
      </c>
      <c r="S9" s="1">
        <f>R9-Q9</f>
        <v>349.6</v>
      </c>
      <c r="T9" t="str">
        <f>IF(M9=0,"نافد",IF(M9&lt;=N9,"قرب ينفد","متوفر"))</f>
        <v>متوفر</v>
      </c>
      <c r="U9" t="str">
        <v>فموي (Oral)</v>
      </c>
      <c r="V9" t="str">
        <v>فئة C (بحذر وإشراف طبي)</v>
      </c>
      <c r="W9" t="str">
        <v>لا</v>
      </c>
      <c r="X9" t="str">
        <v>لا</v>
      </c>
      <c r="Y9" t="str">
        <v>صرف مباشر (OTC)</v>
      </c>
      <c r="Z9">
        <v>2</v>
      </c>
      <c r="AA9">
        <v>0</v>
      </c>
      <c r="AB9" t="str">
        <v>MED-0006</v>
      </c>
    </row>
    <row r="10">
      <c r="A10">
        <v>7</v>
      </c>
      <c r="B10" t="str">
        <v>6222010611487</v>
      </c>
      <c r="C10" t="str">
        <v>بانادول اكسترا 48 قرص (panadol extra 48 f.c. tabs)</v>
      </c>
      <c r="D10" t="str">
        <v>caffeine+paracetamol(acetaminophen)</v>
      </c>
      <c r="E10" t="str">
        <v>أقراص</v>
      </c>
      <c r="F10" t="str">
        <v>قياسي</v>
      </c>
      <c r="G10" t="str">
        <v>alexandria &gt; glaxo smithkline</v>
      </c>
      <c r="H10" t="str">
        <v>مسكنات وخافضات حرارة ومضادات التهاب</v>
      </c>
      <c r="I10" t="str">
        <v>رف A1 - مسكنات وخافضات حرارة</v>
      </c>
      <c r="J10" t="str">
        <v>علبة</v>
      </c>
      <c r="K10">
        <v>108</v>
      </c>
      <c r="L10">
        <v>83.16</v>
      </c>
      <c r="M10">
        <v>20</v>
      </c>
      <c r="N10">
        <v>5</v>
      </c>
      <c r="O10" s="1">
        <f>K10-L10</f>
        <v>24.84</v>
      </c>
      <c r="P10" s="2">
        <f>IF(L10&gt;0,O10/L10,0)</f>
        <v>0.2987</v>
      </c>
      <c r="Q10" s="1">
        <f>L10*M10</f>
        <v>1663.2</v>
      </c>
      <c r="R10" s="1">
        <f>K10*M10</f>
        <v>2160</v>
      </c>
      <c r="S10" s="1">
        <f>R10-Q10</f>
        <v>496.8</v>
      </c>
      <c r="T10" t="str">
        <f>IF(M10=0,"نافد",IF(M10&lt;=N10,"قرب ينفد","متوفر"))</f>
        <v>متوفر</v>
      </c>
      <c r="U10" t="str">
        <v>فموي (Oral)</v>
      </c>
      <c r="V10" t="str">
        <v>فئة C (بحذر وإشراف طبي)</v>
      </c>
      <c r="W10" t="str">
        <v>لا</v>
      </c>
      <c r="X10" t="str">
        <v>لا</v>
      </c>
      <c r="Y10" t="str">
        <v>صرف مباشر (OTC)</v>
      </c>
      <c r="Z10">
        <v>4</v>
      </c>
      <c r="AA10">
        <v>0</v>
      </c>
      <c r="AB10" t="str">
        <v>MED-0007</v>
      </c>
    </row>
    <row r="11">
      <c r="A11">
        <v>8</v>
      </c>
      <c r="B11" t="str">
        <v>2961544501119</v>
      </c>
      <c r="C11" t="str">
        <v>بانادول جوينت للمفاصل 18 قرص (panadol joint 18 er tabs.)</v>
      </c>
      <c r="D11" t="str">
        <v>paracetamol(acetaminophen)</v>
      </c>
      <c r="E11" t="str">
        <v>أقراص</v>
      </c>
      <c r="F11" t="str">
        <v>قياسي</v>
      </c>
      <c r="G11" t="str">
        <v>alexandria &gt; glaxo smithkline</v>
      </c>
      <c r="H11" t="str">
        <v>مسكنات وخافضات حرارة ومضادات التهاب</v>
      </c>
      <c r="I11" t="str">
        <v>رف A1 - مسكنات وخافضات حرارة</v>
      </c>
      <c r="J11" t="str">
        <v>علبة</v>
      </c>
      <c r="K11">
        <v>28.88</v>
      </c>
      <c r="L11">
        <v>22.24</v>
      </c>
      <c r="M11">
        <v>20</v>
      </c>
      <c r="N11">
        <v>5</v>
      </c>
      <c r="O11" s="1">
        <f>K11-L11</f>
        <v>6.64</v>
      </c>
      <c r="P11" s="2">
        <f>IF(L11&gt;0,O11/L11,0)</f>
        <v>0.2986</v>
      </c>
      <c r="Q11" s="1">
        <f>L11*M11</f>
        <v>444.8</v>
      </c>
      <c r="R11" s="1">
        <f>K11*M11</f>
        <v>577.6</v>
      </c>
      <c r="S11" s="1">
        <f>R11-Q11</f>
        <v>132.8</v>
      </c>
      <c r="T11" t="str">
        <f>IF(M11=0,"نافد",IF(M11&lt;=N11,"قرب ينفد","متوفر"))</f>
        <v>متوفر</v>
      </c>
      <c r="U11" t="str">
        <v>موضعي (Topical)</v>
      </c>
      <c r="V11" t="str">
        <v>فئة B (آمن إلى حد كبير)</v>
      </c>
      <c r="W11" t="str">
        <v>لا</v>
      </c>
      <c r="X11" t="str">
        <v>لا</v>
      </c>
      <c r="Y11" t="str">
        <v>صرف مباشر (OTC)</v>
      </c>
      <c r="Z11">
        <v>3</v>
      </c>
      <c r="AA11">
        <v>0</v>
      </c>
      <c r="AB11" t="str">
        <v>MED-0008</v>
      </c>
    </row>
    <row r="12">
      <c r="A12">
        <v>9</v>
      </c>
      <c r="B12" t="str">
        <v>6222010611333</v>
      </c>
      <c r="C12" t="str">
        <v>بانادول ادفانس 500مجم 48 قرص (panadol advance 500 mg 48 tablets)</v>
      </c>
      <c r="D12" t="str">
        <v>paracetamol(acetaminophen)</v>
      </c>
      <c r="E12" t="str">
        <v>أقراص</v>
      </c>
      <c r="F12" t="str">
        <v>500مجم</v>
      </c>
      <c r="G12" t="str">
        <v>alexandria &gt; glaxo smithkline</v>
      </c>
      <c r="H12" t="str">
        <v>مسكنات وخافضات حرارة ومضادات التهاب</v>
      </c>
      <c r="I12" t="str">
        <v>رف A1 - مسكنات وخافضات حرارة</v>
      </c>
      <c r="J12" t="str">
        <v>علبة</v>
      </c>
      <c r="K12">
        <v>92</v>
      </c>
      <c r="L12">
        <v>70.84</v>
      </c>
      <c r="M12">
        <v>20</v>
      </c>
      <c r="N12">
        <v>5</v>
      </c>
      <c r="O12" s="1">
        <f>K12-L12</f>
        <v>21.16</v>
      </c>
      <c r="P12" s="2">
        <f>IF(L12&gt;0,O12/L12,0)</f>
        <v>0.2987</v>
      </c>
      <c r="Q12" s="1">
        <f>L12*M12</f>
        <v>1416.8</v>
      </c>
      <c r="R12" s="1">
        <f>K12*M12</f>
        <v>1840</v>
      </c>
      <c r="S12" s="1">
        <f>R12-Q12</f>
        <v>423.2</v>
      </c>
      <c r="T12" t="str">
        <f>IF(M12=0,"نافد",IF(M12&lt;=N12,"قرب ينفد","متوفر"))</f>
        <v>متوفر</v>
      </c>
      <c r="U12" t="str">
        <v>فموي (Oral)</v>
      </c>
      <c r="V12" t="str">
        <v>فئة B (آمن إلى حد كبير)</v>
      </c>
      <c r="W12" t="str">
        <v>لا</v>
      </c>
      <c r="X12" t="str">
        <v>لا</v>
      </c>
      <c r="Y12" t="str">
        <v>صرف مباشر (OTC)</v>
      </c>
      <c r="Z12">
        <v>4</v>
      </c>
      <c r="AA12">
        <v>0</v>
      </c>
      <c r="AB12" t="str">
        <v>MED-0009</v>
      </c>
    </row>
    <row r="13">
      <c r="A13">
        <v>10</v>
      </c>
      <c r="B13" t="str">
        <v>6222010611296</v>
      </c>
      <c r="C13" t="str">
        <v>بانادول كولد اند فلو فايبور ريليز استنشاق 10 اكياس (panadol cold &amp; flu vapour release 10 sachets)</v>
      </c>
      <c r="D13" t="str">
        <v>paracetamol(acetaminophen)+phenylepherine</v>
      </c>
      <c r="E13" t="str">
        <v>أكياس بودرة</v>
      </c>
      <c r="F13" t="str">
        <v>قياسي</v>
      </c>
      <c r="G13" t="str">
        <v>glaxo smithkline</v>
      </c>
      <c r="H13" t="str">
        <v>مسكنات وخافضات حرارة ومضادات التهاب</v>
      </c>
      <c r="I13" t="str">
        <v>رف A1 - مسكنات وخافضات حرارة</v>
      </c>
      <c r="J13" t="str">
        <v>قطعة</v>
      </c>
      <c r="K13">
        <v>130</v>
      </c>
      <c r="L13">
        <v>100.1</v>
      </c>
      <c r="M13">
        <v>20</v>
      </c>
      <c r="N13">
        <v>5</v>
      </c>
      <c r="O13" s="1">
        <f>K13-L13</f>
        <v>29.9</v>
      </c>
      <c r="P13" s="2">
        <f>IF(L13&gt;0,O13/L13,0)</f>
        <v>0.2987</v>
      </c>
      <c r="Q13" s="1">
        <f>L13*M13</f>
        <v>2002</v>
      </c>
      <c r="R13" s="1">
        <f>K13*M13</f>
        <v>2600</v>
      </c>
      <c r="S13" s="1">
        <f>R13-Q13</f>
        <v>598</v>
      </c>
      <c r="T13" t="str">
        <f>IF(M13=0,"نافد",IF(M13&lt;=N13,"قرب ينفد","متوفر"))</f>
        <v>متوفر</v>
      </c>
      <c r="U13" t="str">
        <v>استنشاق (Inhalation)</v>
      </c>
      <c r="V13" t="str">
        <v>فئة B (آمن إلى حد كبير)</v>
      </c>
      <c r="W13" t="str">
        <v>لا</v>
      </c>
      <c r="X13" t="str">
        <v>لا</v>
      </c>
      <c r="Y13" t="str">
        <v>صرف مباشر (OTC)</v>
      </c>
      <c r="Z13">
        <v>1</v>
      </c>
      <c r="AA13">
        <v>0</v>
      </c>
      <c r="AB13" t="str">
        <v>MED-0010</v>
      </c>
    </row>
    <row r="14">
      <c r="A14">
        <v>11</v>
      </c>
      <c r="B14" t="str">
        <v>6220001107438</v>
      </c>
      <c r="C14" t="str">
        <v>بانادول نايت 20 قرص (panadol night 20 f.c. tabs)</v>
      </c>
      <c r="D14" t="str">
        <v>paracetamol(acetaminophen)+diphenhydramine</v>
      </c>
      <c r="E14" t="str">
        <v>أقراص</v>
      </c>
      <c r="F14" t="str">
        <v>قياسي</v>
      </c>
      <c r="G14" t="str">
        <v>glaxo smithkline</v>
      </c>
      <c r="H14" t="str">
        <v>مسكنات وخافضات حرارة ومضادات التهاب</v>
      </c>
      <c r="I14" t="str">
        <v>رف A1 - مسكنات وخافضات حرارة</v>
      </c>
      <c r="J14" t="str">
        <v>علبة</v>
      </c>
      <c r="K14">
        <v>48</v>
      </c>
      <c r="L14">
        <v>36.96</v>
      </c>
      <c r="M14">
        <v>20</v>
      </c>
      <c r="N14">
        <v>5</v>
      </c>
      <c r="O14" s="1">
        <f>K14-L14</f>
        <v>11.04</v>
      </c>
      <c r="P14" s="2">
        <f>IF(L14&gt;0,O14/L14,0)</f>
        <v>0.2987</v>
      </c>
      <c r="Q14" s="1">
        <f>L14*M14</f>
        <v>739.2</v>
      </c>
      <c r="R14" s="1">
        <f>K14*M14</f>
        <v>960</v>
      </c>
      <c r="S14" s="1">
        <f>R14-Q14</f>
        <v>220.8</v>
      </c>
      <c r="T14" t="str">
        <f>IF(M14=0,"نافد",IF(M14&lt;=N14,"قرب ينفد","متوفر"))</f>
        <v>متوفر</v>
      </c>
      <c r="U14" t="str">
        <v>فموي (Oral)</v>
      </c>
      <c r="V14" t="str">
        <v>فئة B (آمن إلى حد كبير)</v>
      </c>
      <c r="W14" t="str">
        <v>لا</v>
      </c>
      <c r="X14" t="str">
        <v>لا</v>
      </c>
      <c r="Y14" t="str">
        <v>صرف مباشر (OTC)</v>
      </c>
      <c r="Z14">
        <v>2</v>
      </c>
      <c r="AA14">
        <v>0</v>
      </c>
      <c r="AB14" t="str">
        <v>MED-0011</v>
      </c>
    </row>
    <row r="15">
      <c r="A15">
        <v>12</v>
      </c>
      <c r="B15" t="str">
        <v>6222010610640</v>
      </c>
      <c r="C15" t="str">
        <v>بانادول اكسترا 24 قرص (panadol extra 24 f.c. tab)</v>
      </c>
      <c r="D15" t="str">
        <v>caffeine+paracetamol(acetaminophen)</v>
      </c>
      <c r="E15" t="str">
        <v>أقراص</v>
      </c>
      <c r="F15" t="str">
        <v>قياسي</v>
      </c>
      <c r="G15" t="str">
        <v>alexandria &gt; glaxo smithkline</v>
      </c>
      <c r="H15" t="str">
        <v>مسكنات وخافضات حرارة ومضادات التهاب</v>
      </c>
      <c r="I15" t="str">
        <v>رف A1 - مسكنات وخافضات حرارة</v>
      </c>
      <c r="J15" t="str">
        <v>علبة</v>
      </c>
      <c r="K15">
        <v>58</v>
      </c>
      <c r="L15">
        <v>44.66</v>
      </c>
      <c r="M15">
        <v>20</v>
      </c>
      <c r="N15">
        <v>5</v>
      </c>
      <c r="O15" s="1">
        <f>K15-L15</f>
        <v>13.34</v>
      </c>
      <c r="P15" s="2">
        <f>IF(L15&gt;0,O15/L15,0)</f>
        <v>0.2987</v>
      </c>
      <c r="Q15" s="1">
        <f>L15*M15</f>
        <v>893.2</v>
      </c>
      <c r="R15" s="1">
        <f>K15*M15</f>
        <v>1160</v>
      </c>
      <c r="S15" s="1">
        <f>R15-Q15</f>
        <v>266.8</v>
      </c>
      <c r="T15" t="str">
        <f>IF(M15=0,"نافد",IF(M15&lt;=N15,"قرب ينفد","متوفر"))</f>
        <v>متوفر</v>
      </c>
      <c r="U15" t="str">
        <v>فموي (Oral)</v>
      </c>
      <c r="V15" t="str">
        <v>فئة C (بحذر وإشراف طبي)</v>
      </c>
      <c r="W15" t="str">
        <v>لا</v>
      </c>
      <c r="X15" t="str">
        <v>لا</v>
      </c>
      <c r="Y15" t="str">
        <v>صرف مباشر (OTC)</v>
      </c>
      <c r="Z15">
        <v>2</v>
      </c>
      <c r="AA15">
        <v>0</v>
      </c>
      <c r="AB15" t="str">
        <v>MED-0012</v>
      </c>
    </row>
    <row r="16">
      <c r="A16">
        <v>13</v>
      </c>
      <c r="B16" t="str">
        <v>6222010611319</v>
      </c>
      <c r="C16" t="str">
        <v>بانادول جوينت للمفاصل اي ار 24 قرص (panadol joint 24 er tabs)</v>
      </c>
      <c r="D16" t="str">
        <v>paracetamol(acetaminophen)</v>
      </c>
      <c r="E16" t="str">
        <v>أقراص</v>
      </c>
      <c r="F16" t="str">
        <v>قياسي</v>
      </c>
      <c r="G16" t="str">
        <v>alexandria &gt; glaxo smithkline</v>
      </c>
      <c r="H16" t="str">
        <v>مسكنات وخافضات حرارة ومضادات التهاب</v>
      </c>
      <c r="I16" t="str">
        <v>رف A1 - مسكنات وخافضات حرارة</v>
      </c>
      <c r="J16" t="str">
        <v>علبة</v>
      </c>
      <c r="K16">
        <v>67</v>
      </c>
      <c r="L16">
        <v>51.59</v>
      </c>
      <c r="M16">
        <v>20</v>
      </c>
      <c r="N16">
        <v>5</v>
      </c>
      <c r="O16" s="1">
        <f>K16-L16</f>
        <v>15.41</v>
      </c>
      <c r="P16" s="2">
        <f>IF(L16&gt;0,O16/L16,0)</f>
        <v>0.2987</v>
      </c>
      <c r="Q16" s="1">
        <f>L16*M16</f>
        <v>1031.8</v>
      </c>
      <c r="R16" s="1">
        <f>K16*M16</f>
        <v>1340</v>
      </c>
      <c r="S16" s="1">
        <f>R16-Q16</f>
        <v>308.2</v>
      </c>
      <c r="T16" t="str">
        <f>IF(M16=0,"نافد",IF(M16&lt;=N16,"قرب ينفد","متوفر"))</f>
        <v>متوفر</v>
      </c>
      <c r="U16" t="str">
        <v>موضعي (Topical)</v>
      </c>
      <c r="V16" t="str">
        <v>فئة B (آمن إلى حد كبير)</v>
      </c>
      <c r="W16" t="str">
        <v>لا</v>
      </c>
      <c r="X16" t="str">
        <v>لا</v>
      </c>
      <c r="Y16" t="str">
        <v>صرف مباشر (OTC)</v>
      </c>
      <c r="Z16">
        <v>2</v>
      </c>
      <c r="AA16">
        <v>0</v>
      </c>
      <c r="AB16" t="str">
        <v>MED-0013</v>
      </c>
    </row>
    <row r="17">
      <c r="A17">
        <v>14</v>
      </c>
      <c r="B17" t="str">
        <v>6223013531765</v>
      </c>
      <c r="C17" t="str">
        <v>بانادول مايجرين 30 قرص (panadol migraine 30 tabs)</v>
      </c>
      <c r="D17" t="str">
        <v>acetylsalicylic acid+caffeine+paracetamol(acetaminophen)</v>
      </c>
      <c r="E17" t="str">
        <v>أقراص</v>
      </c>
      <c r="F17" t="str">
        <v>قياسي</v>
      </c>
      <c r="G17" t="str">
        <v>alexandria &gt; glaxo smithkline</v>
      </c>
      <c r="H17" t="str">
        <v>مسكنات وخافضات حرارة ومضادات التهاب</v>
      </c>
      <c r="I17" t="str">
        <v>رف A1 - مسكنات وخافضات حرارة</v>
      </c>
      <c r="J17" t="str">
        <v>علبة</v>
      </c>
      <c r="K17">
        <v>51</v>
      </c>
      <c r="L17">
        <v>39.27</v>
      </c>
      <c r="M17">
        <v>20</v>
      </c>
      <c r="N17">
        <v>5</v>
      </c>
      <c r="O17" s="1">
        <f>K17-L17</f>
        <v>11.73</v>
      </c>
      <c r="P17" s="2">
        <f>IF(L17&gt;0,O17/L17,0)</f>
        <v>0.2987</v>
      </c>
      <c r="Q17" s="1">
        <f>L17*M17</f>
        <v>785.4</v>
      </c>
      <c r="R17" s="1">
        <f>K17*M17</f>
        <v>1020</v>
      </c>
      <c r="S17" s="1">
        <f>R17-Q17</f>
        <v>234.6</v>
      </c>
      <c r="T17" t="str">
        <f>IF(M17=0,"نافد",IF(M17&lt;=N17,"قرب ينفد","متوفر"))</f>
        <v>متوفر</v>
      </c>
      <c r="U17" t="str">
        <v>فموي (Oral)</v>
      </c>
      <c r="V17" t="str">
        <v>فئة C (بحذر وإشراف طبي)</v>
      </c>
      <c r="W17" t="str">
        <v>لا</v>
      </c>
      <c r="X17" t="str">
        <v>لا</v>
      </c>
      <c r="Y17" t="str">
        <v>صرف مباشر (OTC)</v>
      </c>
      <c r="Z17">
        <v>3</v>
      </c>
      <c r="AA17">
        <v>0</v>
      </c>
      <c r="AB17" t="str">
        <v>MED-0014</v>
      </c>
    </row>
    <row r="18">
      <c r="A18">
        <v>15</v>
      </c>
      <c r="B18" t="str">
        <v>6222010610787</v>
      </c>
      <c r="C18" t="str">
        <v>بانادول ساينس ريليف بي 24 قرص (panadol sinus relief pe 24 tablets)</v>
      </c>
      <c r="D18" t="str">
        <v>paracetamol(acetaminophen)+phenylepherine</v>
      </c>
      <c r="E18" t="str">
        <v>أقراص</v>
      </c>
      <c r="F18" t="str">
        <v>قياسي</v>
      </c>
      <c r="G18" t="str">
        <v>alexandria &gt; glaxo smithkline</v>
      </c>
      <c r="H18" t="str">
        <v>مسكنات وخافضات حرارة ومضادات التهاب</v>
      </c>
      <c r="I18" t="str">
        <v>رف A1 - مسكنات وخافضات حرارة</v>
      </c>
      <c r="J18" t="str">
        <v>علبة</v>
      </c>
      <c r="K18">
        <v>46</v>
      </c>
      <c r="L18">
        <v>35.42</v>
      </c>
      <c r="M18">
        <v>20</v>
      </c>
      <c r="N18">
        <v>5</v>
      </c>
      <c r="O18" s="1">
        <f>K18-L18</f>
        <v>10.58</v>
      </c>
      <c r="P18" s="2">
        <f>IF(L18&gt;0,O18/L18,0)</f>
        <v>0.2987</v>
      </c>
      <c r="Q18" s="1">
        <f>L18*M18</f>
        <v>708.4</v>
      </c>
      <c r="R18" s="1">
        <f>K18*M18</f>
        <v>920</v>
      </c>
      <c r="S18" s="1">
        <f>R18-Q18</f>
        <v>211.6</v>
      </c>
      <c r="T18" t="str">
        <f>IF(M18=0,"نافد",IF(M18&lt;=N18,"قرب ينفد","متوفر"))</f>
        <v>متوفر</v>
      </c>
      <c r="U18" t="str">
        <v>فموي (Oral)</v>
      </c>
      <c r="V18" t="str">
        <v>فئة B (آمن إلى حد كبير)</v>
      </c>
      <c r="W18" t="str">
        <v>لا</v>
      </c>
      <c r="X18" t="str">
        <v>لا</v>
      </c>
      <c r="Y18" t="str">
        <v>صرف مباشر (OTC)</v>
      </c>
      <c r="Z18">
        <v>2</v>
      </c>
      <c r="AA18">
        <v>0</v>
      </c>
      <c r="AB18" t="str">
        <v>MED-0015</v>
      </c>
    </row>
    <row r="19">
      <c r="A19">
        <v>16</v>
      </c>
      <c r="B19" t="str">
        <v>6223002641703</v>
      </c>
      <c r="C19" t="str">
        <v>كتافلام 25 مجم 20 قرص (cataflam 25 mg 20 sugar c.tabs)</v>
      </c>
      <c r="D19" t="str">
        <v>diclofenac potassium</v>
      </c>
      <c r="E19" t="str">
        <v>أقراص</v>
      </c>
      <c r="F19" t="str">
        <v>25 مجم</v>
      </c>
      <c r="G19" t="str">
        <v>novartis</v>
      </c>
      <c r="H19" t="str">
        <v>مسكنات وخافضات حرارة ومضادات التهاب</v>
      </c>
      <c r="I19" t="str">
        <v>رف A1 - مسكنات وخافضات حرارة</v>
      </c>
      <c r="J19" t="str">
        <v>علبة</v>
      </c>
      <c r="K19">
        <v>34</v>
      </c>
      <c r="L19">
        <v>26.18</v>
      </c>
      <c r="M19">
        <v>20</v>
      </c>
      <c r="N19">
        <v>5</v>
      </c>
      <c r="O19" s="1">
        <f>K19-L19</f>
        <v>7.82</v>
      </c>
      <c r="P19" s="2">
        <f>IF(L19&gt;0,O19/L19,0)</f>
        <v>0.2987</v>
      </c>
      <c r="Q19" s="1">
        <f>L19*M19</f>
        <v>523.6</v>
      </c>
      <c r="R19" s="1">
        <f>K19*M19</f>
        <v>680</v>
      </c>
      <c r="S19" s="1">
        <f>R19-Q19</f>
        <v>156.4</v>
      </c>
      <c r="T19" t="str">
        <f>IF(M19=0,"نافد",IF(M19&lt;=N19,"قرب ينفد","متوفر"))</f>
        <v>متوفر</v>
      </c>
      <c r="U19" t="str">
        <v>فموي (Oral)</v>
      </c>
      <c r="V19" t="str">
        <v>فئة B (آمن إلى حد كبير)</v>
      </c>
      <c r="W19" t="str">
        <v>لا</v>
      </c>
      <c r="X19" t="str">
        <v>لا</v>
      </c>
      <c r="Y19" t="str">
        <v>صرف مباشر (OTC)</v>
      </c>
      <c r="Z19">
        <v>2</v>
      </c>
      <c r="AA19">
        <v>0</v>
      </c>
      <c r="AB19" t="str">
        <v>MED-0016</v>
      </c>
    </row>
    <row r="20">
      <c r="A20">
        <v>17</v>
      </c>
      <c r="B20" t="str">
        <v>6223002641895</v>
      </c>
      <c r="C20" t="str">
        <v>كتافلام 50مجم 20 قرص (cataflam 50 mg 20 sugar c.tabs)</v>
      </c>
      <c r="D20" t="str">
        <v>diclofenac potassium</v>
      </c>
      <c r="E20" t="str">
        <v>أقراص</v>
      </c>
      <c r="F20" t="str">
        <v>50مجم</v>
      </c>
      <c r="G20" t="str">
        <v>novartis</v>
      </c>
      <c r="H20" t="str">
        <v>مسكنات وخافضات حرارة ومضادات التهاب</v>
      </c>
      <c r="I20" t="str">
        <v>رف A1 - مسكنات وخافضات حرارة</v>
      </c>
      <c r="J20" t="str">
        <v>علبة</v>
      </c>
      <c r="K20">
        <v>86</v>
      </c>
      <c r="L20">
        <v>66.22</v>
      </c>
      <c r="M20">
        <v>20</v>
      </c>
      <c r="N20">
        <v>5</v>
      </c>
      <c r="O20" s="1">
        <f>K20-L20</f>
        <v>19.78</v>
      </c>
      <c r="P20" s="2">
        <f>IF(L20&gt;0,O20/L20,0)</f>
        <v>0.2987</v>
      </c>
      <c r="Q20" s="1">
        <f>L20*M20</f>
        <v>1324.4</v>
      </c>
      <c r="R20" s="1">
        <f>K20*M20</f>
        <v>1720</v>
      </c>
      <c r="S20" s="1">
        <f>R20-Q20</f>
        <v>395.6</v>
      </c>
      <c r="T20" t="str">
        <f>IF(M20=0,"نافد",IF(M20&lt;=N20,"قرب ينفد","متوفر"))</f>
        <v>متوفر</v>
      </c>
      <c r="U20" t="str">
        <v>فموي (Oral)</v>
      </c>
      <c r="V20" t="str">
        <v>فئة B (آمن إلى حد كبير)</v>
      </c>
      <c r="W20" t="str">
        <v>لا</v>
      </c>
      <c r="X20" t="str">
        <v>لا</v>
      </c>
      <c r="Y20" t="str">
        <v>صرف مباشر (OTC)</v>
      </c>
      <c r="Z20">
        <v>2</v>
      </c>
      <c r="AA20">
        <v>0</v>
      </c>
      <c r="AB20" t="str">
        <v>MED-0017</v>
      </c>
    </row>
    <row r="21">
      <c r="A21">
        <v>18</v>
      </c>
      <c r="B21" t="str">
        <v>6223002641840</v>
      </c>
      <c r="C21" t="str">
        <v>كتافلام 75مجم/3 مل 6 امبولات (cataflam 75mg/3ml 6 amp)</v>
      </c>
      <c r="D21" t="str">
        <v>diclofenac potassium</v>
      </c>
      <c r="E21" t="str">
        <v>حقن</v>
      </c>
      <c r="F21" t="str">
        <v>75مجم</v>
      </c>
      <c r="G21" t="str">
        <v>novartis</v>
      </c>
      <c r="H21" t="str">
        <v>مسكنات وخافضات حرارة ومضادات التهاب</v>
      </c>
      <c r="I21" t="str">
        <v>رف A1 - مسكنات وخافضات حرارة</v>
      </c>
      <c r="J21" t="str">
        <v>قطعة</v>
      </c>
      <c r="K21">
        <v>120</v>
      </c>
      <c r="L21">
        <v>92.4</v>
      </c>
      <c r="M21">
        <v>20</v>
      </c>
      <c r="N21">
        <v>5</v>
      </c>
      <c r="O21" s="1">
        <f>K21-L21</f>
        <v>27.6</v>
      </c>
      <c r="P21" s="2">
        <f>IF(L21&gt;0,O21/L21,0)</f>
        <v>0.2987</v>
      </c>
      <c r="Q21" s="1">
        <f>L21*M21</f>
        <v>1848</v>
      </c>
      <c r="R21" s="1">
        <f>K21*M21</f>
        <v>2400</v>
      </c>
      <c r="S21" s="1">
        <f>R21-Q21</f>
        <v>552</v>
      </c>
      <c r="T21" t="str">
        <f>IF(M21=0,"نافد",IF(M21&lt;=N21,"قرب ينفد","متوفر"))</f>
        <v>متوفر</v>
      </c>
      <c r="U21" t="str">
        <v>حقن عضل / وريد (Parenteral)</v>
      </c>
      <c r="V21" t="str">
        <v>فئة B (آمن إلى حد كبير)</v>
      </c>
      <c r="W21" t="str">
        <v>لا</v>
      </c>
      <c r="X21" t="str">
        <v>لا</v>
      </c>
      <c r="Y21" t="str">
        <v>روشتة طبية (Rx)</v>
      </c>
      <c r="Z21">
        <v>6</v>
      </c>
      <c r="AA21">
        <v>0</v>
      </c>
      <c r="AB21" t="str">
        <v>MED-0018</v>
      </c>
    </row>
    <row r="22">
      <c r="A22">
        <v>19</v>
      </c>
      <c r="B22" t="str">
        <v>6223002640799</v>
      </c>
      <c r="C22" t="str">
        <v>كتافلام 15مجم/مل نقط بالفم 15 مل (cataflam 15mg/ml oral drops 15 ml)</v>
      </c>
      <c r="D22" t="str">
        <v>diclofenac potassium</v>
      </c>
      <c r="E22" t="str">
        <v>نقط (فم / عين / أذن)</v>
      </c>
      <c r="F22" t="str">
        <v>15مجم</v>
      </c>
      <c r="G22" t="str">
        <v>novartis</v>
      </c>
      <c r="H22" t="str">
        <v>مسكنات وخافضات حرارة ومضادات التهاب</v>
      </c>
      <c r="I22" t="str">
        <v>رف A1 - مسكنات وخافضات حرارة</v>
      </c>
      <c r="J22" t="str">
        <v>قطعة</v>
      </c>
      <c r="K22">
        <v>10</v>
      </c>
      <c r="L22">
        <v>7.7</v>
      </c>
      <c r="M22">
        <v>20</v>
      </c>
      <c r="N22">
        <v>5</v>
      </c>
      <c r="O22" s="1">
        <f>K22-L22</f>
        <v>2.3</v>
      </c>
      <c r="P22" s="2">
        <f>IF(L22&gt;0,O22/L22,0)</f>
        <v>0.2987</v>
      </c>
      <c r="Q22" s="1">
        <f>L22*M22</f>
        <v>154</v>
      </c>
      <c r="R22" s="1">
        <f>K22*M22</f>
        <v>200</v>
      </c>
      <c r="S22" s="1">
        <f>R22-Q22</f>
        <v>46</v>
      </c>
      <c r="T22" t="str">
        <f>IF(M22=0,"نافد",IF(M22&lt;=N22,"قرب ينفد","متوفر"))</f>
        <v>متوفر</v>
      </c>
      <c r="U22" t="str">
        <v>قطرة عين / أذن (Drops)</v>
      </c>
      <c r="V22" t="str">
        <v>فئة B (آمن إلى حد كبير)</v>
      </c>
      <c r="W22" t="str">
        <v>لا</v>
      </c>
      <c r="X22" t="str">
        <v>لا</v>
      </c>
      <c r="Y22" t="str">
        <v>صرف مباشر (OTC)</v>
      </c>
      <c r="Z22">
        <v>1</v>
      </c>
      <c r="AA22">
        <v>0</v>
      </c>
      <c r="AB22" t="str">
        <v>MED-0019</v>
      </c>
    </row>
    <row r="23">
      <c r="A23">
        <v>20</v>
      </c>
      <c r="B23" t="str">
        <v>6223002641079</v>
      </c>
      <c r="C23" t="str">
        <v>كتافلام 75مجم لبوس 5 اقماع (cataflam 75mg 5 supp)</v>
      </c>
      <c r="D23" t="str">
        <v>diclofenac potassium</v>
      </c>
      <c r="E23" t="str">
        <v>لبوس / تحاميل</v>
      </c>
      <c r="F23" t="str">
        <v>75مجم</v>
      </c>
      <c r="G23" t="str">
        <v>novartis</v>
      </c>
      <c r="H23" t="str">
        <v>مسكنات وخافضات حرارة ومضادات التهاب</v>
      </c>
      <c r="I23" t="str">
        <v>رف A1 - مسكنات وخافضات حرارة</v>
      </c>
      <c r="J23" t="str">
        <v>قطعة</v>
      </c>
      <c r="K23">
        <v>13.25</v>
      </c>
      <c r="L23">
        <v>10.2</v>
      </c>
      <c r="M23">
        <v>20</v>
      </c>
      <c r="N23">
        <v>5</v>
      </c>
      <c r="O23" s="1">
        <f>K23-L23</f>
        <v>3.05</v>
      </c>
      <c r="P23" s="2">
        <f>IF(L23&gt;0,O23/L23,0)</f>
        <v>0.299</v>
      </c>
      <c r="Q23" s="1">
        <f>L23*M23</f>
        <v>204</v>
      </c>
      <c r="R23" s="1">
        <f>K23*M23</f>
        <v>265</v>
      </c>
      <c r="S23" s="1">
        <f>R23-Q23</f>
        <v>61</v>
      </c>
      <c r="T23" t="str">
        <f>IF(M23=0,"نافد",IF(M23&lt;=N23,"قرب ينفد","متوفر"))</f>
        <v>متوفر</v>
      </c>
      <c r="U23" t="str">
        <v>لبوس / شرجي (Rectal)</v>
      </c>
      <c r="V23" t="str">
        <v>فئة B (آمن إلى حد كبير)</v>
      </c>
      <c r="W23" t="str">
        <v>لا</v>
      </c>
      <c r="X23" t="str">
        <v>لا</v>
      </c>
      <c r="Y23" t="str">
        <v>صرف مباشر (OTC)</v>
      </c>
      <c r="Z23">
        <v>1</v>
      </c>
      <c r="AA23">
        <v>0</v>
      </c>
      <c r="AB23" t="str">
        <v>MED-0020</v>
      </c>
    </row>
    <row r="24">
      <c r="A24">
        <v>21</v>
      </c>
      <c r="B24" t="str">
        <v>8002660039354</v>
      </c>
      <c r="C24" t="str">
        <v>بروفين 100مجم/5مل معلق 150 مل (brufen 100mg/5ml syrup 150ml)</v>
      </c>
      <c r="D24" t="str">
        <v>ibuprofen</v>
      </c>
      <c r="E24" t="str">
        <v>معلق</v>
      </c>
      <c r="F24" t="str">
        <v>100مجم</v>
      </c>
      <c r="G24" t="str">
        <v>kahira &gt; abbott laboratories</v>
      </c>
      <c r="H24" t="str">
        <v>مسكنات وخافضات حرارة ومضادات التهاب</v>
      </c>
      <c r="I24" t="str">
        <v>رف A1 - مسكنات وخافضات حرارة</v>
      </c>
      <c r="J24" t="str">
        <v>قطعة</v>
      </c>
      <c r="K24">
        <v>44</v>
      </c>
      <c r="L24">
        <v>33.88</v>
      </c>
      <c r="M24">
        <v>20</v>
      </c>
      <c r="N24">
        <v>5</v>
      </c>
      <c r="O24" s="1">
        <f>K24-L24</f>
        <v>10.12</v>
      </c>
      <c r="P24" s="2">
        <f>IF(L24&gt;0,O24/L24,0)</f>
        <v>0.2987</v>
      </c>
      <c r="Q24" s="1">
        <f>L24*M24</f>
        <v>677.6</v>
      </c>
      <c r="R24" s="1">
        <f>K24*M24</f>
        <v>880</v>
      </c>
      <c r="S24" s="1">
        <f>R24-Q24</f>
        <v>202.4</v>
      </c>
      <c r="T24" t="str">
        <f>IF(M24=0,"نافد",IF(M24&lt;=N24,"قرب ينفد","متوفر"))</f>
        <v>متوفر</v>
      </c>
      <c r="U24" t="str">
        <v>فموي (Oral)</v>
      </c>
      <c r="V24" t="str">
        <v>فئة B (آمن إلى حد كبير)</v>
      </c>
      <c r="W24" t="str">
        <v>لا</v>
      </c>
      <c r="X24" t="str">
        <v>لا</v>
      </c>
      <c r="Y24" t="str">
        <v>صرف مباشر (OTC)</v>
      </c>
      <c r="Z24">
        <v>1</v>
      </c>
      <c r="AA24">
        <v>0</v>
      </c>
      <c r="AB24" t="str">
        <v>MED-0021</v>
      </c>
    </row>
    <row r="25">
      <c r="A25">
        <v>22</v>
      </c>
      <c r="B25" t="str">
        <v>8002660038265</v>
      </c>
      <c r="C25" t="str">
        <v>بروفين 400مجم 30 قرص (brufen 400mg 30 tab)</v>
      </c>
      <c r="D25" t="str">
        <v>ibuprofen</v>
      </c>
      <c r="E25" t="str">
        <v>أقراص</v>
      </c>
      <c r="F25" t="str">
        <v>400مجم</v>
      </c>
      <c r="G25" t="str">
        <v>kahira &gt; abbott laboratories</v>
      </c>
      <c r="H25" t="str">
        <v>مسكنات وخافضات حرارة ومضادات التهاب</v>
      </c>
      <c r="I25" t="str">
        <v>رف A1 - مسكنات وخافضات حرارة</v>
      </c>
      <c r="J25" t="str">
        <v>علبة</v>
      </c>
      <c r="K25">
        <v>78</v>
      </c>
      <c r="L25">
        <v>60.06</v>
      </c>
      <c r="M25">
        <v>20</v>
      </c>
      <c r="N25">
        <v>5</v>
      </c>
      <c r="O25" s="1">
        <f>K25-L25</f>
        <v>17.94</v>
      </c>
      <c r="P25" s="2">
        <f>IF(L25&gt;0,O25/L25,0)</f>
        <v>0.2987</v>
      </c>
      <c r="Q25" s="1">
        <f>L25*M25</f>
        <v>1201.2</v>
      </c>
      <c r="R25" s="1">
        <f>K25*M25</f>
        <v>1560</v>
      </c>
      <c r="S25" s="1">
        <f>R25-Q25</f>
        <v>358.8</v>
      </c>
      <c r="T25" t="str">
        <f>IF(M25=0,"نافد",IF(M25&lt;=N25,"قرب ينفد","متوفر"))</f>
        <v>متوفر</v>
      </c>
      <c r="U25" t="str">
        <v>فموي (Oral)</v>
      </c>
      <c r="V25" t="str">
        <v>فئة B (آمن إلى حد كبير)</v>
      </c>
      <c r="W25" t="str">
        <v>لا</v>
      </c>
      <c r="X25" t="str">
        <v>لا</v>
      </c>
      <c r="Y25" t="str">
        <v>صرف مباشر (OTC)</v>
      </c>
      <c r="Z25">
        <v>3</v>
      </c>
      <c r="AA25">
        <v>0</v>
      </c>
      <c r="AB25" t="str">
        <v>MED-0022</v>
      </c>
    </row>
    <row r="26">
      <c r="A26">
        <v>23</v>
      </c>
      <c r="B26" t="str">
        <v>6221068905760</v>
      </c>
      <c r="C26" t="str">
        <v>بروفين 600مجم فوار 20 كيس (brufen 600mg 20 eff. gr. in sachets)</v>
      </c>
      <c r="D26" t="str">
        <v>ibuprofen</v>
      </c>
      <c r="E26" t="str">
        <v>فوار</v>
      </c>
      <c r="F26" t="str">
        <v>600مجم</v>
      </c>
      <c r="G26" t="str">
        <v>kahira &gt; abbott laboratories</v>
      </c>
      <c r="H26" t="str">
        <v>مسكنات وخافضات حرارة ومضادات التهاب</v>
      </c>
      <c r="I26" t="str">
        <v>رف A1 - مسكنات وخافضات حرارة</v>
      </c>
      <c r="J26" t="str">
        <v>قطعة</v>
      </c>
      <c r="K26">
        <v>120</v>
      </c>
      <c r="L26">
        <v>92.4</v>
      </c>
      <c r="M26">
        <v>20</v>
      </c>
      <c r="N26">
        <v>5</v>
      </c>
      <c r="O26" s="1">
        <f>K26-L26</f>
        <v>27.6</v>
      </c>
      <c r="P26" s="2">
        <f>IF(L26&gt;0,O26/L26,0)</f>
        <v>0.2987</v>
      </c>
      <c r="Q26" s="1">
        <f>L26*M26</f>
        <v>1848</v>
      </c>
      <c r="R26" s="1">
        <f>K26*M26</f>
        <v>2400</v>
      </c>
      <c r="S26" s="1">
        <f>R26-Q26</f>
        <v>552</v>
      </c>
      <c r="T26" t="str">
        <f>IF(M26=0,"نافد",IF(M26&lt;=N26,"قرب ينفد","متوفر"))</f>
        <v>متوفر</v>
      </c>
      <c r="U26" t="str">
        <v>فموي (Oral)</v>
      </c>
      <c r="V26" t="str">
        <v>فئة B (آمن إلى حد كبير)</v>
      </c>
      <c r="W26" t="str">
        <v>لا</v>
      </c>
      <c r="X26" t="str">
        <v>لا</v>
      </c>
      <c r="Y26" t="str">
        <v>صرف مباشر (OTC)</v>
      </c>
      <c r="Z26">
        <v>1</v>
      </c>
      <c r="AA26">
        <v>0</v>
      </c>
      <c r="AB26" t="str">
        <v>MED-0023</v>
      </c>
    </row>
    <row r="27">
      <c r="A27">
        <v>24</v>
      </c>
      <c r="B27" t="str">
        <v>6220001027989</v>
      </c>
      <c r="C27" t="str">
        <v>ميبابروفين 300مجم 5 اقماع لبوس (mepabrufen 300mg 5 supp)</v>
      </c>
      <c r="D27" t="str">
        <v>ibuprofen</v>
      </c>
      <c r="E27" t="str">
        <v>لبوس / تحاميل</v>
      </c>
      <c r="F27" t="str">
        <v>300مجم</v>
      </c>
      <c r="G27" t="str">
        <v>mepaco</v>
      </c>
      <c r="H27" t="str">
        <v>مسكنات وخافضات حرارة ومضادات التهاب</v>
      </c>
      <c r="I27" t="str">
        <v>رف A1 - مسكنات وخافضات حرارة</v>
      </c>
      <c r="J27" t="str">
        <v>قطعة</v>
      </c>
      <c r="K27">
        <v>3.5</v>
      </c>
      <c r="L27">
        <v>2.7</v>
      </c>
      <c r="M27">
        <v>20</v>
      </c>
      <c r="N27">
        <v>5</v>
      </c>
      <c r="O27" s="1">
        <f>K27-L27</f>
        <v>0.8</v>
      </c>
      <c r="P27" s="2">
        <f>IF(L27&gt;0,O27/L27,0)</f>
        <v>0.2963</v>
      </c>
      <c r="Q27" s="1">
        <f>L27*M27</f>
        <v>54</v>
      </c>
      <c r="R27" s="1">
        <f>K27*M27</f>
        <v>70</v>
      </c>
      <c r="S27" s="1">
        <f>R27-Q27</f>
        <v>16</v>
      </c>
      <c r="T27" t="str">
        <f>IF(M27=0,"نافد",IF(M27&lt;=N27,"قرب ينفد","متوفر"))</f>
        <v>متوفر</v>
      </c>
      <c r="U27" t="str">
        <v>لبوس / شرجي (Rectal)</v>
      </c>
      <c r="V27" t="str">
        <v>فئة B (آمن إلى حد كبير)</v>
      </c>
      <c r="W27" t="str">
        <v>لا</v>
      </c>
      <c r="X27" t="str">
        <v>لا</v>
      </c>
      <c r="Y27" t="str">
        <v>صرف مباشر (OTC)</v>
      </c>
      <c r="Z27">
        <v>1</v>
      </c>
      <c r="AA27">
        <v>0</v>
      </c>
      <c r="AB27" t="str">
        <v>MED-0024</v>
      </c>
    </row>
    <row r="28">
      <c r="A28">
        <v>25</v>
      </c>
      <c r="B28" t="str">
        <v>8002660037688</v>
      </c>
      <c r="C28" t="str">
        <v>بروفين 600مجم فوار 10 اكياس (brufen 600mg 10 eff. gr. in sachets)</v>
      </c>
      <c r="D28" t="str">
        <v>ibuprofen</v>
      </c>
      <c r="E28" t="str">
        <v>فوار</v>
      </c>
      <c r="F28" t="str">
        <v>600مجم</v>
      </c>
      <c r="G28" t="str">
        <v>kahira &gt; abbott laboratories</v>
      </c>
      <c r="H28" t="str">
        <v>مسكنات وخافضات حرارة ومضادات التهاب</v>
      </c>
      <c r="I28" t="str">
        <v>رف A1 - مسكنات وخافضات حرارة</v>
      </c>
      <c r="J28" t="str">
        <v>قطعة</v>
      </c>
      <c r="K28">
        <v>60</v>
      </c>
      <c r="L28">
        <v>46.2</v>
      </c>
      <c r="M28">
        <v>20</v>
      </c>
      <c r="N28">
        <v>5</v>
      </c>
      <c r="O28" s="1">
        <f>K28-L28</f>
        <v>13.8</v>
      </c>
      <c r="P28" s="2">
        <f>IF(L28&gt;0,O28/L28,0)</f>
        <v>0.2987</v>
      </c>
      <c r="Q28" s="1">
        <f>L28*M28</f>
        <v>924</v>
      </c>
      <c r="R28" s="1">
        <f>K28*M28</f>
        <v>1200</v>
      </c>
      <c r="S28" s="1">
        <f>R28-Q28</f>
        <v>276</v>
      </c>
      <c r="T28" t="str">
        <f>IF(M28=0,"نافد",IF(M28&lt;=N28,"قرب ينفد","متوفر"))</f>
        <v>متوفر</v>
      </c>
      <c r="U28" t="str">
        <v>فموي (Oral)</v>
      </c>
      <c r="V28" t="str">
        <v>فئة B (آمن إلى حد كبير)</v>
      </c>
      <c r="W28" t="str">
        <v>لا</v>
      </c>
      <c r="X28" t="str">
        <v>لا</v>
      </c>
      <c r="Y28" t="str">
        <v>صرف مباشر (OTC)</v>
      </c>
      <c r="Z28">
        <v>10</v>
      </c>
      <c r="AA28">
        <v>0</v>
      </c>
      <c r="AB28" t="str">
        <v>MED-0025</v>
      </c>
    </row>
    <row r="29">
      <c r="A29">
        <v>26</v>
      </c>
      <c r="B29" t="str">
        <v>8002660038234</v>
      </c>
      <c r="C29" t="str">
        <v>بروفين 200مجم 30 قرص (brufen 200mg 30 tab)</v>
      </c>
      <c r="D29" t="str">
        <v>ibuprofen</v>
      </c>
      <c r="E29" t="str">
        <v>أقراص</v>
      </c>
      <c r="F29" t="str">
        <v>200مجم</v>
      </c>
      <c r="G29" t="str">
        <v>kahira &gt; abbott laboratories</v>
      </c>
      <c r="H29" t="str">
        <v>مسكنات وخافضات حرارة ومضادات التهاب</v>
      </c>
      <c r="I29" t="str">
        <v>رف A1 - مسكنات وخافضات حرارة</v>
      </c>
      <c r="J29" t="str">
        <v>علبة</v>
      </c>
      <c r="K29">
        <v>48</v>
      </c>
      <c r="L29">
        <v>36.96</v>
      </c>
      <c r="M29">
        <v>20</v>
      </c>
      <c r="N29">
        <v>5</v>
      </c>
      <c r="O29" s="1">
        <f>K29-L29</f>
        <v>11.04</v>
      </c>
      <c r="P29" s="2">
        <f>IF(L29&gt;0,O29/L29,0)</f>
        <v>0.2987</v>
      </c>
      <c r="Q29" s="1">
        <f>L29*M29</f>
        <v>739.2</v>
      </c>
      <c r="R29" s="1">
        <f>K29*M29</f>
        <v>960</v>
      </c>
      <c r="S29" s="1">
        <f>R29-Q29</f>
        <v>220.8</v>
      </c>
      <c r="T29" t="str">
        <f>IF(M29=0,"نافد",IF(M29&lt;=N29,"قرب ينفد","متوفر"))</f>
        <v>متوفر</v>
      </c>
      <c r="U29" t="str">
        <v>فموي (Oral)</v>
      </c>
      <c r="V29" t="str">
        <v>فئة B (آمن إلى حد كبير)</v>
      </c>
      <c r="W29" t="str">
        <v>لا</v>
      </c>
      <c r="X29" t="str">
        <v>لا</v>
      </c>
      <c r="Y29" t="str">
        <v>صرف مباشر (OTC)</v>
      </c>
      <c r="Z29">
        <v>3</v>
      </c>
      <c r="AA29">
        <v>0</v>
      </c>
      <c r="AB29" t="str">
        <v>MED-0026</v>
      </c>
    </row>
    <row r="30">
      <c r="A30">
        <v>27</v>
      </c>
      <c r="B30" t="str">
        <v>6220001061914</v>
      </c>
      <c r="C30" t="str">
        <v>بروفين 600مجم 30 قرص (brufen 600mg 30 tab)</v>
      </c>
      <c r="D30" t="str">
        <v>ibuprofen</v>
      </c>
      <c r="E30" t="str">
        <v>أقراص</v>
      </c>
      <c r="F30" t="str">
        <v>600مجم</v>
      </c>
      <c r="G30" t="str">
        <v>kahira &gt; abbott laboratories</v>
      </c>
      <c r="H30" t="str">
        <v>مسكنات وخافضات حرارة ومضادات التهاب</v>
      </c>
      <c r="I30" t="str">
        <v>رف A1 - مسكنات وخافضات حرارة</v>
      </c>
      <c r="J30" t="str">
        <v>علبة</v>
      </c>
      <c r="K30">
        <v>99</v>
      </c>
      <c r="L30">
        <v>76.23</v>
      </c>
      <c r="M30">
        <v>20</v>
      </c>
      <c r="N30">
        <v>5</v>
      </c>
      <c r="O30" s="1">
        <f>K30-L30</f>
        <v>22.77</v>
      </c>
      <c r="P30" s="2">
        <f>IF(L30&gt;0,O30/L30,0)</f>
        <v>0.2987</v>
      </c>
      <c r="Q30" s="1">
        <f>L30*M30</f>
        <v>1524.6</v>
      </c>
      <c r="R30" s="1">
        <f>K30*M30</f>
        <v>1980</v>
      </c>
      <c r="S30" s="1">
        <f>R30-Q30</f>
        <v>455.4</v>
      </c>
      <c r="T30" t="str">
        <f>IF(M30=0,"نافد",IF(M30&lt;=N30,"قرب ينفد","متوفر"))</f>
        <v>متوفر</v>
      </c>
      <c r="U30" t="str">
        <v>فموي (Oral)</v>
      </c>
      <c r="V30" t="str">
        <v>فئة B (آمن إلى حد كبير)</v>
      </c>
      <c r="W30" t="str">
        <v>لا</v>
      </c>
      <c r="X30" t="str">
        <v>لا</v>
      </c>
      <c r="Y30" t="str">
        <v>صرف مباشر (OTC)</v>
      </c>
      <c r="Z30">
        <v>3</v>
      </c>
      <c r="AA30">
        <v>0</v>
      </c>
      <c r="AB30" t="str">
        <v>MED-0027</v>
      </c>
    </row>
    <row r="31">
      <c r="A31">
        <v>28</v>
      </c>
      <c r="B31" t="str">
        <v>8002660038661</v>
      </c>
      <c r="C31" t="str">
        <v>بروفين كولد 10 اقراص (brufen cold 20 f.c. tabs)</v>
      </c>
      <c r="D31" t="str">
        <v>ibuprofen+pseudoephedrine</v>
      </c>
      <c r="E31" t="str">
        <v>أقراص</v>
      </c>
      <c r="F31" t="str">
        <v>قياسي</v>
      </c>
      <c r="G31" t="str">
        <v>kahira &gt; abbott laboratories</v>
      </c>
      <c r="H31" t="str">
        <v>مسكنات وخافضات حرارة ومضادات التهاب</v>
      </c>
      <c r="I31" t="str">
        <v>رف A1 - مسكنات وخافضات حرارة</v>
      </c>
      <c r="J31" t="str">
        <v>علبة</v>
      </c>
      <c r="K31">
        <v>54</v>
      </c>
      <c r="L31">
        <v>41.58</v>
      </c>
      <c r="M31">
        <v>20</v>
      </c>
      <c r="N31">
        <v>5</v>
      </c>
      <c r="O31" s="1">
        <f>K31-L31</f>
        <v>12.42</v>
      </c>
      <c r="P31" s="2">
        <f>IF(L31&gt;0,O31/L31,0)</f>
        <v>0.2987</v>
      </c>
      <c r="Q31" s="1">
        <f>L31*M31</f>
        <v>831.6</v>
      </c>
      <c r="R31" s="1">
        <f>K31*M31</f>
        <v>1080</v>
      </c>
      <c r="S31" s="1">
        <f>R31-Q31</f>
        <v>248.4</v>
      </c>
      <c r="T31" t="str">
        <f>IF(M31=0,"نافد",IF(M31&lt;=N31,"قرب ينفد","متوفر"))</f>
        <v>متوفر</v>
      </c>
      <c r="U31" t="str">
        <v>فموي (Oral)</v>
      </c>
      <c r="V31" t="str">
        <v>فئة C (بحذر وإشراف طبي)</v>
      </c>
      <c r="W31" t="str">
        <v>لا</v>
      </c>
      <c r="X31" t="str">
        <v>لا</v>
      </c>
      <c r="Y31" t="str">
        <v>صرف مباشر (OTC)</v>
      </c>
      <c r="Z31">
        <v>2</v>
      </c>
      <c r="AA31">
        <v>0</v>
      </c>
      <c r="AB31" t="str">
        <v>MED-0028</v>
      </c>
    </row>
    <row r="32">
      <c r="A32">
        <v>29</v>
      </c>
      <c r="B32" t="str">
        <v>6221068917039</v>
      </c>
      <c r="C32" t="str">
        <v>بروفين فلو 10 اقراص (brufen flu 10 f.c. tabs)</v>
      </c>
      <c r="D32" t="str">
        <v>ibuprofen+pseudoephedrine</v>
      </c>
      <c r="E32" t="str">
        <v>أقراص</v>
      </c>
      <c r="F32" t="str">
        <v>قياسي</v>
      </c>
      <c r="G32" t="str">
        <v>kahira &gt; abbott laboratories</v>
      </c>
      <c r="H32" t="str">
        <v>مسكنات وخافضات حرارة ومضادات التهاب</v>
      </c>
      <c r="I32" t="str">
        <v>رف A1 - مسكنات وخافضات حرارة</v>
      </c>
      <c r="J32" t="str">
        <v>علبة</v>
      </c>
      <c r="K32">
        <v>19</v>
      </c>
      <c r="L32">
        <v>14.63</v>
      </c>
      <c r="M32">
        <v>20</v>
      </c>
      <c r="N32">
        <v>5</v>
      </c>
      <c r="O32" s="1">
        <f>K32-L32</f>
        <v>4.37</v>
      </c>
      <c r="P32" s="2">
        <f>IF(L32&gt;0,O32/L32,0)</f>
        <v>0.2987</v>
      </c>
      <c r="Q32" s="1">
        <f>L32*M32</f>
        <v>292.6</v>
      </c>
      <c r="R32" s="1">
        <f>K32*M32</f>
        <v>380</v>
      </c>
      <c r="S32" s="1">
        <f>R32-Q32</f>
        <v>87.4</v>
      </c>
      <c r="T32" t="str">
        <f>IF(M32=0,"نافد",IF(M32&lt;=N32,"قرب ينفد","متوفر"))</f>
        <v>متوفر</v>
      </c>
      <c r="U32" t="str">
        <v>فموي (Oral)</v>
      </c>
      <c r="V32" t="str">
        <v>فئة C (بحذر وإشراف طبي)</v>
      </c>
      <c r="W32" t="str">
        <v>لا</v>
      </c>
      <c r="X32" t="str">
        <v>لا</v>
      </c>
      <c r="Y32" t="str">
        <v>صرف مباشر (OTC)</v>
      </c>
      <c r="Z32">
        <v>1</v>
      </c>
      <c r="AA32">
        <v>0</v>
      </c>
      <c r="AB32" t="str">
        <v>MED-0029</v>
      </c>
    </row>
    <row r="33">
      <c r="A33">
        <v>30</v>
      </c>
      <c r="B33" t="str">
        <v>6221068907054</v>
      </c>
      <c r="C33" t="str">
        <v>بروفين فلو 60 مل معلق (brufen flu susp 60 ml)</v>
      </c>
      <c r="D33" t="str">
        <v>ibuprofen+pseudoephedrine</v>
      </c>
      <c r="E33" t="str">
        <v>معلق</v>
      </c>
      <c r="F33" t="str">
        <v>60 مل</v>
      </c>
      <c r="G33" t="str">
        <v>kahira &gt; abbott laboratories</v>
      </c>
      <c r="H33" t="str">
        <v>مسكنات وخافضات حرارة ومضادات التهاب</v>
      </c>
      <c r="I33" t="str">
        <v>رف A1 - مسكنات وخافضات حرارة</v>
      </c>
      <c r="J33" t="str">
        <v>قطعة</v>
      </c>
      <c r="K33">
        <v>34</v>
      </c>
      <c r="L33">
        <v>26.18</v>
      </c>
      <c r="M33">
        <v>20</v>
      </c>
      <c r="N33">
        <v>5</v>
      </c>
      <c r="O33" s="1">
        <f>K33-L33</f>
        <v>7.82</v>
      </c>
      <c r="P33" s="2">
        <f>IF(L33&gt;0,O33/L33,0)</f>
        <v>0.2987</v>
      </c>
      <c r="Q33" s="1">
        <f>L33*M33</f>
        <v>523.6</v>
      </c>
      <c r="R33" s="1">
        <f>K33*M33</f>
        <v>680</v>
      </c>
      <c r="S33" s="1">
        <f>R33-Q33</f>
        <v>156.4</v>
      </c>
      <c r="T33" t="str">
        <f>IF(M33=0,"نافد",IF(M33&lt;=N33,"قرب ينفد","متوفر"))</f>
        <v>متوفر</v>
      </c>
      <c r="U33" t="str">
        <v>فموي (Oral)</v>
      </c>
      <c r="V33" t="str">
        <v>فئة C (بحذر وإشراف طبي)</v>
      </c>
      <c r="W33" t="str">
        <v>لا</v>
      </c>
      <c r="X33" t="str">
        <v>لا</v>
      </c>
      <c r="Y33" t="str">
        <v>صرف مباشر (OTC)</v>
      </c>
      <c r="Z33">
        <v>1</v>
      </c>
      <c r="AA33">
        <v>0</v>
      </c>
      <c r="AB33" t="str">
        <v>MED-0030</v>
      </c>
    </row>
    <row r="34">
      <c r="A34">
        <v>31</v>
      </c>
      <c r="B34" t="str">
        <v>8002660037671</v>
      </c>
      <c r="C34" t="str">
        <v>بروفين ريتارد 800مجم 20 قرص ممتد المفعول (brufen retard 800 mg 20 modified r. f.c.tabs)</v>
      </c>
      <c r="D34" t="str">
        <v>ibuprofen</v>
      </c>
      <c r="E34" t="str">
        <v>أقراص</v>
      </c>
      <c r="F34" t="str">
        <v>800مجم</v>
      </c>
      <c r="G34" t="str">
        <v>kahira &gt; abbott laboratories</v>
      </c>
      <c r="H34" t="str">
        <v>مسكنات وخافضات حرارة ومضادات التهاب</v>
      </c>
      <c r="I34" t="str">
        <v>رف A1 - مسكنات وخافضات حرارة</v>
      </c>
      <c r="J34" t="str">
        <v>علبة</v>
      </c>
      <c r="K34">
        <v>106</v>
      </c>
      <c r="L34">
        <v>81.62</v>
      </c>
      <c r="M34">
        <v>20</v>
      </c>
      <c r="N34">
        <v>5</v>
      </c>
      <c r="O34" s="1">
        <f>K34-L34</f>
        <v>24.38</v>
      </c>
      <c r="P34" s="2">
        <f>IF(L34&gt;0,O34/L34,0)</f>
        <v>0.2987</v>
      </c>
      <c r="Q34" s="1">
        <f>L34*M34</f>
        <v>1632.4</v>
      </c>
      <c r="R34" s="1">
        <f>K34*M34</f>
        <v>2120</v>
      </c>
      <c r="S34" s="1">
        <f>R34-Q34</f>
        <v>487.6</v>
      </c>
      <c r="T34" t="str">
        <f>IF(M34=0,"نافد",IF(M34&lt;=N34,"قرب ينفد","متوفر"))</f>
        <v>متوفر</v>
      </c>
      <c r="U34" t="str">
        <v>فموي (Oral)</v>
      </c>
      <c r="V34" t="str">
        <v>فئة B (آمن إلى حد كبير)</v>
      </c>
      <c r="W34" t="str">
        <v>لا</v>
      </c>
      <c r="X34" t="str">
        <v>لا</v>
      </c>
      <c r="Y34" t="str">
        <v>صرف مباشر (OTC)</v>
      </c>
      <c r="Z34">
        <v>2</v>
      </c>
      <c r="AA34">
        <v>0</v>
      </c>
      <c r="AB34" t="str">
        <v>MED-0031</v>
      </c>
    </row>
    <row r="35">
      <c r="A35">
        <v>32</v>
      </c>
      <c r="B35" t="str">
        <v>6223002212163</v>
      </c>
      <c r="C35" t="str">
        <v>ميبابروفين 20 قرص (mepabrufen 20 tab)</v>
      </c>
      <c r="D35" t="str">
        <v>ibuprofen+paracetamol(acetaminophen)</v>
      </c>
      <c r="E35" t="str">
        <v>أقراص</v>
      </c>
      <c r="F35" t="str">
        <v>قياسي</v>
      </c>
      <c r="G35" t="str">
        <v>mepaco</v>
      </c>
      <c r="H35" t="str">
        <v>مسكنات وخافضات حرارة ومضادات التهاب</v>
      </c>
      <c r="I35" t="str">
        <v>رف A1 - مسكنات وخافضات حرارة</v>
      </c>
      <c r="J35" t="str">
        <v>علبة</v>
      </c>
      <c r="K35">
        <v>7</v>
      </c>
      <c r="L35">
        <v>5.39</v>
      </c>
      <c r="M35">
        <v>20</v>
      </c>
      <c r="N35">
        <v>5</v>
      </c>
      <c r="O35" s="1">
        <f>K35-L35</f>
        <v>1.61</v>
      </c>
      <c r="P35" s="2">
        <f>IF(L35&gt;0,O35/L35,0)</f>
        <v>0.2987</v>
      </c>
      <c r="Q35" s="1">
        <f>L35*M35</f>
        <v>107.8</v>
      </c>
      <c r="R35" s="1">
        <f>K35*M35</f>
        <v>140</v>
      </c>
      <c r="S35" s="1">
        <f>R35-Q35</f>
        <v>32.2</v>
      </c>
      <c r="T35" t="str">
        <f>IF(M35=0,"نافد",IF(M35&lt;=N35,"قرب ينفد","متوفر"))</f>
        <v>متوفر</v>
      </c>
      <c r="U35" t="str">
        <v>فموي (Oral)</v>
      </c>
      <c r="V35" t="str">
        <v>فئة B (آمن إلى حد كبير)</v>
      </c>
      <c r="W35" t="str">
        <v>لا</v>
      </c>
      <c r="X35" t="str">
        <v>لا</v>
      </c>
      <c r="Y35" t="str">
        <v>صرف مباشر (OTC)</v>
      </c>
      <c r="Z35">
        <v>2</v>
      </c>
      <c r="AA35">
        <v>0</v>
      </c>
      <c r="AB35" t="str">
        <v>MED-0032</v>
      </c>
    </row>
    <row r="36">
      <c r="A36">
        <v>33</v>
      </c>
      <c r="B36" t="str">
        <v>6220001097173</v>
      </c>
      <c r="C36" t="str">
        <v>ميبابروفين 500مجم 5 اقماع لبوس (mepabrufen 500mg 5 supp)</v>
      </c>
      <c r="D36" t="str">
        <v>ibuprofen</v>
      </c>
      <c r="E36" t="str">
        <v>لبوس / تحاميل</v>
      </c>
      <c r="F36" t="str">
        <v>500مجم</v>
      </c>
      <c r="G36" t="str">
        <v>mepaco</v>
      </c>
      <c r="H36" t="str">
        <v>مسكنات وخافضات حرارة ومضادات التهاب</v>
      </c>
      <c r="I36" t="str">
        <v>رف A1 - مسكنات وخافضات حرارة</v>
      </c>
      <c r="J36" t="str">
        <v>قطعة</v>
      </c>
      <c r="K36">
        <v>4.5</v>
      </c>
      <c r="L36">
        <v>3.46</v>
      </c>
      <c r="M36">
        <v>20</v>
      </c>
      <c r="N36">
        <v>5</v>
      </c>
      <c r="O36" s="1">
        <f>K36-L36</f>
        <v>1.04</v>
      </c>
      <c r="P36" s="2">
        <f>IF(L36&gt;0,O36/L36,0)</f>
        <v>0.3006</v>
      </c>
      <c r="Q36" s="1">
        <f>L36*M36</f>
        <v>69.2</v>
      </c>
      <c r="R36" s="1">
        <f>K36*M36</f>
        <v>90</v>
      </c>
      <c r="S36" s="1">
        <f>R36-Q36</f>
        <v>20.8</v>
      </c>
      <c r="T36" t="str">
        <f>IF(M36=0,"نافد",IF(M36&lt;=N36,"قرب ينفد","متوفر"))</f>
        <v>متوفر</v>
      </c>
      <c r="U36" t="str">
        <v>لبوس / شرجي (Rectal)</v>
      </c>
      <c r="V36" t="str">
        <v>فئة B (آمن إلى حد كبير)</v>
      </c>
      <c r="W36" t="str">
        <v>لا</v>
      </c>
      <c r="X36" t="str">
        <v>لا</v>
      </c>
      <c r="Y36" t="str">
        <v>صرف مباشر (OTC)</v>
      </c>
      <c r="Z36">
        <v>1</v>
      </c>
      <c r="AA36">
        <v>0</v>
      </c>
      <c r="AB36" t="str">
        <v>MED-0033</v>
      </c>
    </row>
    <row r="37">
      <c r="A37">
        <v>34</v>
      </c>
      <c r="B37" t="str">
        <v>6220001104390</v>
      </c>
      <c r="C37" t="str">
        <v>بروفين فلو 20 قرص (brufen flu 20 f.c. tabs)</v>
      </c>
      <c r="D37" t="str">
        <v>ibuprofen+pseudoephedrine</v>
      </c>
      <c r="E37" t="str">
        <v>أقراص</v>
      </c>
      <c r="F37" t="str">
        <v>قياسي</v>
      </c>
      <c r="G37" t="str">
        <v>kahira &gt; abbott laboratories</v>
      </c>
      <c r="H37" t="str">
        <v>مسكنات وخافضات حرارة ومضادات التهاب</v>
      </c>
      <c r="I37" t="str">
        <v>رف A1 - مسكنات وخافضات حرارة</v>
      </c>
      <c r="J37" t="str">
        <v>علبة</v>
      </c>
      <c r="K37">
        <v>40</v>
      </c>
      <c r="L37">
        <v>30.8</v>
      </c>
      <c r="M37">
        <v>20</v>
      </c>
      <c r="N37">
        <v>5</v>
      </c>
      <c r="O37" s="1">
        <f>K37-L37</f>
        <v>9.2</v>
      </c>
      <c r="P37" s="2">
        <f>IF(L37&gt;0,O37/L37,0)</f>
        <v>0.2987</v>
      </c>
      <c r="Q37" s="1">
        <f>L37*M37</f>
        <v>616</v>
      </c>
      <c r="R37" s="1">
        <f>K37*M37</f>
        <v>800</v>
      </c>
      <c r="S37" s="1">
        <f>R37-Q37</f>
        <v>184</v>
      </c>
      <c r="T37" t="str">
        <f>IF(M37=0,"نافد",IF(M37&lt;=N37,"قرب ينفد","متوفر"))</f>
        <v>متوفر</v>
      </c>
      <c r="U37" t="str">
        <v>فموي (Oral)</v>
      </c>
      <c r="V37" t="str">
        <v>فئة C (بحذر وإشراف طبي)</v>
      </c>
      <c r="W37" t="str">
        <v>لا</v>
      </c>
      <c r="X37" t="str">
        <v>لا</v>
      </c>
      <c r="Y37" t="str">
        <v>صرف مباشر (OTC)</v>
      </c>
      <c r="Z37">
        <v>2</v>
      </c>
      <c r="AA37">
        <v>0</v>
      </c>
      <c r="AB37" t="str">
        <v>MED-0034</v>
      </c>
    </row>
    <row r="38">
      <c r="A38">
        <v>35</v>
      </c>
      <c r="B38" t="str">
        <v>6221068907085</v>
      </c>
      <c r="C38" t="str">
        <v>بروفين كولد 10 قرص (brufen cold 10 f.c. tabs)</v>
      </c>
      <c r="D38" t="str">
        <v>ibuprofen+pseudoephedrine</v>
      </c>
      <c r="E38" t="str">
        <v>أقراص</v>
      </c>
      <c r="F38" t="str">
        <v>قياسي</v>
      </c>
      <c r="G38" t="str">
        <v>kahira &gt; abbott laboratories</v>
      </c>
      <c r="H38" t="str">
        <v>مسكنات وخافضات حرارة ومضادات التهاب</v>
      </c>
      <c r="I38" t="str">
        <v>رف A1 - مسكنات وخافضات حرارة</v>
      </c>
      <c r="J38" t="str">
        <v>علبة</v>
      </c>
      <c r="K38">
        <v>27</v>
      </c>
      <c r="L38">
        <v>20.79</v>
      </c>
      <c r="M38">
        <v>20</v>
      </c>
      <c r="N38">
        <v>5</v>
      </c>
      <c r="O38" s="1">
        <f>K38-L38</f>
        <v>6.21</v>
      </c>
      <c r="P38" s="2">
        <f>IF(L38&gt;0,O38/L38,0)</f>
        <v>0.2987</v>
      </c>
      <c r="Q38" s="1">
        <f>L38*M38</f>
        <v>415.8</v>
      </c>
      <c r="R38" s="1">
        <f>K38*M38</f>
        <v>540</v>
      </c>
      <c r="S38" s="1">
        <f>R38-Q38</f>
        <v>124.2</v>
      </c>
      <c r="T38" t="str">
        <f>IF(M38=0,"نافد",IF(M38&lt;=N38,"قرب ينفد","متوفر"))</f>
        <v>متوفر</v>
      </c>
      <c r="U38" t="str">
        <v>فموي (Oral)</v>
      </c>
      <c r="V38" t="str">
        <v>فئة C (بحذر وإشراف طبي)</v>
      </c>
      <c r="W38" t="str">
        <v>لا</v>
      </c>
      <c r="X38" t="str">
        <v>لا</v>
      </c>
      <c r="Y38" t="str">
        <v>صرف مباشر (OTC)</v>
      </c>
      <c r="Z38">
        <v>1</v>
      </c>
      <c r="AA38">
        <v>0</v>
      </c>
      <c r="AB38" t="str">
        <v>MED-0035</v>
      </c>
    </row>
    <row r="39">
      <c r="A39">
        <v>36</v>
      </c>
      <c r="B39" t="str">
        <v>6221068402993</v>
      </c>
      <c r="C39" t="str">
        <v>اسيتابروفين معلق 100 مل (acetaprofen susp 100 ml)</v>
      </c>
      <c r="D39" t="str">
        <v>ibuprofen+paracetamol</v>
      </c>
      <c r="E39" t="str">
        <v>معلق</v>
      </c>
      <c r="F39" t="str">
        <v>100 مل</v>
      </c>
      <c r="G39" t="str">
        <v>kahira</v>
      </c>
      <c r="H39" t="str">
        <v>مسكنات وخافضات حرارة ومضادات التهاب</v>
      </c>
      <c r="I39" t="str">
        <v>رف A1 - مسكنات وخافضات حرارة</v>
      </c>
      <c r="J39" t="str">
        <v>قطعة</v>
      </c>
      <c r="K39">
        <v>5</v>
      </c>
      <c r="L39">
        <v>3.85</v>
      </c>
      <c r="M39">
        <v>20</v>
      </c>
      <c r="N39">
        <v>5</v>
      </c>
      <c r="O39" s="1">
        <f>K39-L39</f>
        <v>1.15</v>
      </c>
      <c r="P39" s="2">
        <f>IF(L39&gt;0,O39/L39,0)</f>
        <v>0.2987</v>
      </c>
      <c r="Q39" s="1">
        <f>L39*M39</f>
        <v>77</v>
      </c>
      <c r="R39" s="1">
        <f>K39*M39</f>
        <v>100</v>
      </c>
      <c r="S39" s="1">
        <f>R39-Q39</f>
        <v>23</v>
      </c>
      <c r="T39" t="str">
        <f>IF(M39=0,"نافد",IF(M39&lt;=N39,"قرب ينفد","متوفر"))</f>
        <v>متوفر</v>
      </c>
      <c r="U39" t="str">
        <v>فموي (Oral)</v>
      </c>
      <c r="V39" t="str">
        <v>فئة B (آمن إلى حد كبير)</v>
      </c>
      <c r="W39" t="str">
        <v>لا</v>
      </c>
      <c r="X39" t="str">
        <v>لا</v>
      </c>
      <c r="Y39" t="str">
        <v>صرف مباشر (OTC)</v>
      </c>
      <c r="Z39">
        <v>1</v>
      </c>
      <c r="AA39">
        <v>0</v>
      </c>
      <c r="AB39" t="str">
        <v>MED-0036</v>
      </c>
    </row>
    <row r="40">
      <c r="A40">
        <v>37</v>
      </c>
      <c r="B40" t="str">
        <v>6220001000210</v>
      </c>
      <c r="C40" t="str">
        <v>اسيتابروفين معلق 120 مل (acetaprofen susp 120 ml)</v>
      </c>
      <c r="D40" t="str">
        <v>ibuprofen+paracetamol</v>
      </c>
      <c r="E40" t="str">
        <v>معلق</v>
      </c>
      <c r="F40" t="str">
        <v>120 مل</v>
      </c>
      <c r="G40" t="str">
        <v>kahira</v>
      </c>
      <c r="H40" t="str">
        <v>مسكنات وخافضات حرارة ومضادات التهاب</v>
      </c>
      <c r="I40" t="str">
        <v>رف A1 - مسكنات وخافضات حرارة</v>
      </c>
      <c r="J40" t="str">
        <v>قطعة</v>
      </c>
      <c r="K40">
        <v>6.75</v>
      </c>
      <c r="L40">
        <v>5.2</v>
      </c>
      <c r="M40">
        <v>20</v>
      </c>
      <c r="N40">
        <v>5</v>
      </c>
      <c r="O40" s="1">
        <f>K40-L40</f>
        <v>1.55</v>
      </c>
      <c r="P40" s="2">
        <f>IF(L40&gt;0,O40/L40,0)</f>
        <v>0.2981</v>
      </c>
      <c r="Q40" s="1">
        <f>L40*M40</f>
        <v>104</v>
      </c>
      <c r="R40" s="1">
        <f>K40*M40</f>
        <v>135</v>
      </c>
      <c r="S40" s="1">
        <f>R40-Q40</f>
        <v>31</v>
      </c>
      <c r="T40" t="str">
        <f>IF(M40=0,"نافد",IF(M40&lt;=N40,"قرب ينفد","متوفر"))</f>
        <v>متوفر</v>
      </c>
      <c r="U40" t="str">
        <v>فموي (Oral)</v>
      </c>
      <c r="V40" t="str">
        <v>فئة B (آمن إلى حد كبير)</v>
      </c>
      <c r="W40" t="str">
        <v>لا</v>
      </c>
      <c r="X40" t="str">
        <v>لا</v>
      </c>
      <c r="Y40" t="str">
        <v>صرف مباشر (OTC)</v>
      </c>
      <c r="Z40">
        <v>1</v>
      </c>
      <c r="AA40">
        <v>0</v>
      </c>
      <c r="AB40" t="str">
        <v>MED-0037</v>
      </c>
    </row>
    <row r="41">
      <c r="A41">
        <v>38</v>
      </c>
      <c r="B41" t="str">
        <v>6223003990350</v>
      </c>
      <c r="C41" t="str">
        <v>باي بروفينيد 150مجم 20 قرص (bi-profenid 150mg 20 scored tabs)</v>
      </c>
      <c r="D41" t="str">
        <v>ketoprofen</v>
      </c>
      <c r="E41" t="str">
        <v>أقراص</v>
      </c>
      <c r="F41" t="str">
        <v>150مجم</v>
      </c>
      <c r="G41" t="str">
        <v>sanofi</v>
      </c>
      <c r="H41" t="str">
        <v>مسكنات وخافضات حرارة ومضادات التهاب</v>
      </c>
      <c r="I41" t="str">
        <v>رف A1 - مسكنات وخافضات حرارة</v>
      </c>
      <c r="J41" t="str">
        <v>علبة</v>
      </c>
      <c r="K41">
        <v>54</v>
      </c>
      <c r="L41">
        <v>41.58</v>
      </c>
      <c r="M41">
        <v>20</v>
      </c>
      <c r="N41">
        <v>5</v>
      </c>
      <c r="O41" s="1">
        <f>K41-L41</f>
        <v>12.42</v>
      </c>
      <c r="P41" s="2">
        <f>IF(L41&gt;0,O41/L41,0)</f>
        <v>0.2987</v>
      </c>
      <c r="Q41" s="1">
        <f>L41*M41</f>
        <v>831.6</v>
      </c>
      <c r="R41" s="1">
        <f>K41*M41</f>
        <v>1080</v>
      </c>
      <c r="S41" s="1">
        <f>R41-Q41</f>
        <v>248.4</v>
      </c>
      <c r="T41" t="str">
        <f>IF(M41=0,"نافد",IF(M41&lt;=N41,"قرب ينفد","متوفر"))</f>
        <v>متوفر</v>
      </c>
      <c r="U41" t="str">
        <v>فموي (Oral)</v>
      </c>
      <c r="V41" t="str">
        <v>فئة B (آمن إلى حد كبير)</v>
      </c>
      <c r="W41" t="str">
        <v>لا</v>
      </c>
      <c r="X41" t="str">
        <v>لا</v>
      </c>
      <c r="Y41" t="str">
        <v>صرف مباشر (OTC)</v>
      </c>
      <c r="Z41">
        <v>2</v>
      </c>
      <c r="AA41">
        <v>0</v>
      </c>
      <c r="AB41" t="str">
        <v>MED-0038</v>
      </c>
    </row>
    <row r="42">
      <c r="A42">
        <v>39</v>
      </c>
      <c r="B42" t="str">
        <v>6220001022076</v>
      </c>
      <c r="C42" t="str">
        <v>فينوبروفين 600مجم 30كبسولة (fenoprofen 600mg 30 caps)</v>
      </c>
      <c r="D42" t="str">
        <v>fenoprofen</v>
      </c>
      <c r="E42" t="str">
        <v>كبسولات</v>
      </c>
      <c r="F42" t="str">
        <v>600مجم</v>
      </c>
      <c r="G42" t="str">
        <v>western pharmaceuticals industries</v>
      </c>
      <c r="H42" t="str">
        <v>مسكنات وخافضات حرارة ومضادات التهاب</v>
      </c>
      <c r="I42" t="str">
        <v>رف A1 - مسكنات وخافضات حرارة</v>
      </c>
      <c r="J42" t="str">
        <v>علبة</v>
      </c>
      <c r="K42">
        <v>36</v>
      </c>
      <c r="L42">
        <v>27.72</v>
      </c>
      <c r="M42">
        <v>20</v>
      </c>
      <c r="N42">
        <v>5</v>
      </c>
      <c r="O42" s="1">
        <f>K42-L42</f>
        <v>8.28</v>
      </c>
      <c r="P42" s="2">
        <f>IF(L42&gt;0,O42/L42,0)</f>
        <v>0.2987</v>
      </c>
      <c r="Q42" s="1">
        <f>L42*M42</f>
        <v>554.4</v>
      </c>
      <c r="R42" s="1">
        <f>K42*M42</f>
        <v>720</v>
      </c>
      <c r="S42" s="1">
        <f>R42-Q42</f>
        <v>165.6</v>
      </c>
      <c r="T42" t="str">
        <f>IF(M42=0,"نافد",IF(M42&lt;=N42,"قرب ينفد","متوفر"))</f>
        <v>متوفر</v>
      </c>
      <c r="U42" t="str">
        <v>فموي (Oral)</v>
      </c>
      <c r="V42" t="str">
        <v>فئة B (آمن إلى حد كبير)</v>
      </c>
      <c r="W42" t="str">
        <v>لا</v>
      </c>
      <c r="X42" t="str">
        <v>لا</v>
      </c>
      <c r="Y42" t="str">
        <v>صرف مباشر (OTC)</v>
      </c>
      <c r="Z42">
        <v>3</v>
      </c>
      <c r="AA42">
        <v>0</v>
      </c>
      <c r="AB42" t="str">
        <v>MED-0039</v>
      </c>
    </row>
    <row r="43">
      <c r="A43">
        <v>40</v>
      </c>
      <c r="B43" t="str">
        <v>6224000794156</v>
      </c>
      <c r="C43" t="str">
        <v>جيسكابروفين 25 مجم 20 قرص (geskaprofen 25mg 20 f.c. tabs)</v>
      </c>
      <c r="D43" t="str">
        <v>dexketoprofen</v>
      </c>
      <c r="E43" t="str">
        <v>أقراص</v>
      </c>
      <c r="F43" t="str">
        <v>25 مجم</v>
      </c>
      <c r="G43" t="str">
        <v>future pharmaceutical industries (fpi) &gt; utopia pharmaceuticals company</v>
      </c>
      <c r="H43" t="str">
        <v>مسكنات وخافضات حرارة ومضادات التهاب</v>
      </c>
      <c r="I43" t="str">
        <v>رف A1 - مسكنات وخافضات حرارة</v>
      </c>
      <c r="J43" t="str">
        <v>علبة</v>
      </c>
      <c r="K43">
        <v>52</v>
      </c>
      <c r="L43">
        <v>40.04</v>
      </c>
      <c r="M43">
        <v>20</v>
      </c>
      <c r="N43">
        <v>5</v>
      </c>
      <c r="O43" s="1">
        <f>K43-L43</f>
        <v>11.96</v>
      </c>
      <c r="P43" s="2">
        <f>IF(L43&gt;0,O43/L43,0)</f>
        <v>0.2987</v>
      </c>
      <c r="Q43" s="1">
        <f>L43*M43</f>
        <v>800.8</v>
      </c>
      <c r="R43" s="1">
        <f>K43*M43</f>
        <v>1040</v>
      </c>
      <c r="S43" s="1">
        <f>R43-Q43</f>
        <v>239.2</v>
      </c>
      <c r="T43" t="str">
        <f>IF(M43=0,"نافد",IF(M43&lt;=N43,"قرب ينفد","متوفر"))</f>
        <v>متوفر</v>
      </c>
      <c r="U43" t="str">
        <v>فموي (Oral)</v>
      </c>
      <c r="V43" t="str">
        <v>فئة B (آمن إلى حد كبير)</v>
      </c>
      <c r="W43" t="str">
        <v>لا</v>
      </c>
      <c r="X43" t="str">
        <v>لا</v>
      </c>
      <c r="Y43" t="str">
        <v>صرف مباشر (OTC)</v>
      </c>
      <c r="Z43">
        <v>2</v>
      </c>
      <c r="AA43">
        <v>0</v>
      </c>
      <c r="AB43" t="str">
        <v>MED-0040</v>
      </c>
    </row>
    <row r="44">
      <c r="A44">
        <v>41</v>
      </c>
      <c r="B44" t="str">
        <v>6220001026852</v>
      </c>
      <c r="C44" t="str">
        <v>سانوبروفين 14 كيس (sanoprovin 14 sachet)</v>
      </c>
      <c r="D44" t="str">
        <v>lactoferrin</v>
      </c>
      <c r="E44" t="str">
        <v>أكياس بودرة</v>
      </c>
      <c r="F44" t="str">
        <v>قياسي</v>
      </c>
      <c r="G44" t="str">
        <v>company</v>
      </c>
      <c r="H44" t="str">
        <v>فيتامينات ومعادن ومكملات غذائية</v>
      </c>
      <c r="I44" t="str">
        <v>رف F1 - فيتامينات ومكملات</v>
      </c>
      <c r="J44" t="str">
        <v>قطعة</v>
      </c>
      <c r="K44">
        <v>150</v>
      </c>
      <c r="L44">
        <v>115.5</v>
      </c>
      <c r="M44">
        <v>20</v>
      </c>
      <c r="N44">
        <v>5</v>
      </c>
      <c r="O44" s="1">
        <f>K44-L44</f>
        <v>34.5</v>
      </c>
      <c r="P44" s="2">
        <f>IF(L44&gt;0,O44/L44,0)</f>
        <v>0.2987</v>
      </c>
      <c r="Q44" s="1">
        <f>L44*M44</f>
        <v>2310</v>
      </c>
      <c r="R44" s="1">
        <f>K44*M44</f>
        <v>3000</v>
      </c>
      <c r="S44" s="1">
        <f>R44-Q44</f>
        <v>690</v>
      </c>
      <c r="T44" t="str">
        <f>IF(M44=0,"نافد",IF(M44&lt;=N44,"قرب ينفد","متوفر"))</f>
        <v>متوفر</v>
      </c>
      <c r="U44" t="str">
        <v>فموي (Oral)</v>
      </c>
      <c r="V44" t="str">
        <v>فئة B (آمن إلى حد كبير)</v>
      </c>
      <c r="W44" t="str">
        <v>لا</v>
      </c>
      <c r="X44" t="str">
        <v>لا</v>
      </c>
      <c r="Y44" t="str">
        <v>صرف مباشر (OTC)</v>
      </c>
      <c r="Z44">
        <v>1</v>
      </c>
      <c r="AA44">
        <v>0</v>
      </c>
      <c r="AB44" t="str">
        <v>MED-0041</v>
      </c>
    </row>
    <row r="45">
      <c r="A45">
        <v>42</v>
      </c>
      <c r="B45" t="str">
        <v>6221042024012</v>
      </c>
      <c r="C45" t="str">
        <v>ايبوبروفين 400مجم 10 اقراص (ibuprofen 400mg 10 tab)</v>
      </c>
      <c r="D45" t="str">
        <v>ibuprofen</v>
      </c>
      <c r="E45" t="str">
        <v>أقراص</v>
      </c>
      <c r="F45" t="str">
        <v>400مجم</v>
      </c>
      <c r="G45" t="str">
        <v>sedico</v>
      </c>
      <c r="H45" t="str">
        <v>مسكنات وخافضات حرارة ومضادات التهاب</v>
      </c>
      <c r="I45" t="str">
        <v>رف A1 - مسكنات وخافضات حرارة</v>
      </c>
      <c r="J45" t="str">
        <v>علبة</v>
      </c>
      <c r="K45">
        <v>17</v>
      </c>
      <c r="L45">
        <v>13.09</v>
      </c>
      <c r="M45">
        <v>20</v>
      </c>
      <c r="N45">
        <v>5</v>
      </c>
      <c r="O45" s="1">
        <f>K45-L45</f>
        <v>3.91</v>
      </c>
      <c r="P45" s="2">
        <f>IF(L45&gt;0,O45/L45,0)</f>
        <v>0.2987</v>
      </c>
      <c r="Q45" s="1">
        <f>L45*M45</f>
        <v>261.8</v>
      </c>
      <c r="R45" s="1">
        <f>K45*M45</f>
        <v>340</v>
      </c>
      <c r="S45" s="1">
        <f>R45-Q45</f>
        <v>78.2</v>
      </c>
      <c r="T45" t="str">
        <f>IF(M45=0,"نافد",IF(M45&lt;=N45,"قرب ينفد","متوفر"))</f>
        <v>متوفر</v>
      </c>
      <c r="U45" t="str">
        <v>فموي (Oral)</v>
      </c>
      <c r="V45" t="str">
        <v>فئة B (آمن إلى حد كبير)</v>
      </c>
      <c r="W45" t="str">
        <v>لا</v>
      </c>
      <c r="X45" t="str">
        <v>لا</v>
      </c>
      <c r="Y45" t="str">
        <v>صرف مباشر (OTC)</v>
      </c>
      <c r="Z45">
        <v>1</v>
      </c>
      <c r="AA45">
        <v>0</v>
      </c>
      <c r="AB45" t="str">
        <v>MED-0042</v>
      </c>
    </row>
    <row r="46">
      <c r="A46">
        <v>43</v>
      </c>
      <c r="B46" t="str">
        <v>6221094000057</v>
      </c>
      <c r="C46" t="str">
        <v>مينتوبروفين جل 40جم (mentoprofen gel 40 gm)</v>
      </c>
      <c r="D46" t="str">
        <v>camphor+ketoprofen+menthol</v>
      </c>
      <c r="E46" t="str">
        <v>جل موضعي</v>
      </c>
      <c r="F46" t="str">
        <v>40 g</v>
      </c>
      <c r="G46" t="str">
        <v>pharopharma</v>
      </c>
      <c r="H46" t="str">
        <v>مسكنات وخافضات حرارة ومضادات التهاب</v>
      </c>
      <c r="I46" t="str">
        <v>رف A1 - مسكنات وخافضات حرارة</v>
      </c>
      <c r="J46" t="str">
        <v>قطعة</v>
      </c>
      <c r="K46">
        <v>10</v>
      </c>
      <c r="L46">
        <v>7.7</v>
      </c>
      <c r="M46">
        <v>20</v>
      </c>
      <c r="N46">
        <v>5</v>
      </c>
      <c r="O46" s="1">
        <f>K46-L46</f>
        <v>2.3</v>
      </c>
      <c r="P46" s="2">
        <f>IF(L46&gt;0,O46/L46,0)</f>
        <v>0.2987</v>
      </c>
      <c r="Q46" s="1">
        <f>L46*M46</f>
        <v>154</v>
      </c>
      <c r="R46" s="1">
        <f>K46*M46</f>
        <v>200</v>
      </c>
      <c r="S46" s="1">
        <f>R46-Q46</f>
        <v>46</v>
      </c>
      <c r="T46" t="str">
        <f>IF(M46=0,"نافد",IF(M46&lt;=N46,"قرب ينفد","متوفر"))</f>
        <v>متوفر</v>
      </c>
      <c r="U46" t="str">
        <v>موضعي (Topical)</v>
      </c>
      <c r="V46" t="str">
        <v>فئة C (بحذر وإشراف طبي)</v>
      </c>
      <c r="W46" t="str">
        <v>لا</v>
      </c>
      <c r="X46" t="str">
        <v>لا</v>
      </c>
      <c r="Y46" t="str">
        <v>صرف مباشر (OTC)</v>
      </c>
      <c r="Z46">
        <v>1</v>
      </c>
      <c r="AA46">
        <v>0</v>
      </c>
      <c r="AB46" t="str">
        <v>MED-0043</v>
      </c>
    </row>
    <row r="47">
      <c r="A47">
        <v>44</v>
      </c>
      <c r="B47" t="str">
        <v>6220001070695</v>
      </c>
      <c r="C47" t="str">
        <v>ديكسكيتوبروفين 25 مجم 20 قرص (dexketoprofen 25 mg 20 scored f.c.tab)</v>
      </c>
      <c r="D47" t="str">
        <v>dexketoprofen</v>
      </c>
      <c r="E47" t="str">
        <v>أقراص</v>
      </c>
      <c r="F47" t="str">
        <v>25 مجم</v>
      </c>
      <c r="G47" t="str">
        <v>marcyrl co. &gt; bahrain pharma</v>
      </c>
      <c r="H47" t="str">
        <v>مسكنات وخافضات حرارة ومضادات التهاب</v>
      </c>
      <c r="I47" t="str">
        <v>رف A1 - مسكنات وخافضات حرارة</v>
      </c>
      <c r="J47" t="str">
        <v>علبة</v>
      </c>
      <c r="K47">
        <v>24</v>
      </c>
      <c r="L47">
        <v>18.48</v>
      </c>
      <c r="M47">
        <v>20</v>
      </c>
      <c r="N47">
        <v>5</v>
      </c>
      <c r="O47" s="1">
        <f>K47-L47</f>
        <v>5.52</v>
      </c>
      <c r="P47" s="2">
        <f>IF(L47&gt;0,O47/L47,0)</f>
        <v>0.2987</v>
      </c>
      <c r="Q47" s="1">
        <f>L47*M47</f>
        <v>369.6</v>
      </c>
      <c r="R47" s="1">
        <f>K47*M47</f>
        <v>480</v>
      </c>
      <c r="S47" s="1">
        <f>R47-Q47</f>
        <v>110.4</v>
      </c>
      <c r="T47" t="str">
        <f>IF(M47=0,"نافد",IF(M47&lt;=N47,"قرب ينفد","متوفر"))</f>
        <v>متوفر</v>
      </c>
      <c r="U47" t="str">
        <v>فموي (Oral)</v>
      </c>
      <c r="V47" t="str">
        <v>فئة B (آمن إلى حد كبير)</v>
      </c>
      <c r="W47" t="str">
        <v>لا</v>
      </c>
      <c r="X47" t="str">
        <v>لا</v>
      </c>
      <c r="Y47" t="str">
        <v>صرف مباشر (OTC)</v>
      </c>
      <c r="Z47">
        <v>2</v>
      </c>
      <c r="AA47">
        <v>0</v>
      </c>
      <c r="AB47" t="str">
        <v>MED-0044</v>
      </c>
    </row>
    <row r="48">
      <c r="A48">
        <v>45</v>
      </c>
      <c r="B48" t="str">
        <v>6220001074792</v>
      </c>
      <c r="C48" t="str">
        <v>ايميبروفين 100 مجم / 2 مل 3 امبولات (emiprofen 100mg/2ml 3 amp. for i.m. inj)</v>
      </c>
      <c r="D48" t="str">
        <v>ketoprofen</v>
      </c>
      <c r="E48" t="str">
        <v>حقن</v>
      </c>
      <c r="F48" t="str">
        <v>100 مجم</v>
      </c>
      <c r="G48" t="str">
        <v>eimc</v>
      </c>
      <c r="H48" t="str">
        <v>مسكنات وخافضات حرارة ومضادات التهاب</v>
      </c>
      <c r="I48" t="str">
        <v>رف A1 - مسكنات وخافضات حرارة</v>
      </c>
      <c r="J48" t="str">
        <v>قطعة</v>
      </c>
      <c r="K48">
        <v>5</v>
      </c>
      <c r="L48">
        <v>3.85</v>
      </c>
      <c r="M48">
        <v>20</v>
      </c>
      <c r="N48">
        <v>5</v>
      </c>
      <c r="O48" s="1">
        <f>K48-L48</f>
        <v>1.15</v>
      </c>
      <c r="P48" s="2">
        <f>IF(L48&gt;0,O48/L48,0)</f>
        <v>0.2987</v>
      </c>
      <c r="Q48" s="1">
        <f>L48*M48</f>
        <v>77</v>
      </c>
      <c r="R48" s="1">
        <f>K48*M48</f>
        <v>100</v>
      </c>
      <c r="S48" s="1">
        <f>R48-Q48</f>
        <v>23</v>
      </c>
      <c r="T48" t="str">
        <f>IF(M48=0,"نافد",IF(M48&lt;=N48,"قرب ينفد","متوفر"))</f>
        <v>متوفر</v>
      </c>
      <c r="U48" t="str">
        <v>حقن عضل / وريد (Parenteral)</v>
      </c>
      <c r="V48" t="str">
        <v>فئة B (آمن إلى حد كبير)</v>
      </c>
      <c r="W48" t="str">
        <v>لا</v>
      </c>
      <c r="X48" t="str">
        <v>لا</v>
      </c>
      <c r="Y48" t="str">
        <v>روشتة طبية (Rx)</v>
      </c>
      <c r="Z48">
        <v>3</v>
      </c>
      <c r="AA48">
        <v>0</v>
      </c>
      <c r="AB48" t="str">
        <v>MED-0045</v>
      </c>
    </row>
    <row r="49">
      <c r="A49">
        <v>46</v>
      </c>
      <c r="B49" t="str">
        <v>6224007308110</v>
      </c>
      <c r="C49" t="str">
        <v>فينوبروفين 300مجم 30 كبسولة (fenoprofen 300mg 30 caps)</v>
      </c>
      <c r="D49" t="str">
        <v>fenoprofen</v>
      </c>
      <c r="E49" t="str">
        <v>كبسولات</v>
      </c>
      <c r="F49" t="str">
        <v>300مجم</v>
      </c>
      <c r="G49" t="str">
        <v>western pharmaceuticals industries</v>
      </c>
      <c r="H49" t="str">
        <v>مسكنات وخافضات حرارة ومضادات التهاب</v>
      </c>
      <c r="I49" t="str">
        <v>رف A1 - مسكنات وخافضات حرارة</v>
      </c>
      <c r="J49" t="str">
        <v>علبة</v>
      </c>
      <c r="K49">
        <v>27</v>
      </c>
      <c r="L49">
        <v>20.79</v>
      </c>
      <c r="M49">
        <v>20</v>
      </c>
      <c r="N49">
        <v>5</v>
      </c>
      <c r="O49" s="1">
        <f>K49-L49</f>
        <v>6.21</v>
      </c>
      <c r="P49" s="2">
        <f>IF(L49&gt;0,O49/L49,0)</f>
        <v>0.2987</v>
      </c>
      <c r="Q49" s="1">
        <f>L49*M49</f>
        <v>415.8</v>
      </c>
      <c r="R49" s="1">
        <f>K49*M49</f>
        <v>540</v>
      </c>
      <c r="S49" s="1">
        <f>R49-Q49</f>
        <v>124.2</v>
      </c>
      <c r="T49" t="str">
        <f>IF(M49=0,"نافد",IF(M49&lt;=N49,"قرب ينفد","متوفر"))</f>
        <v>متوفر</v>
      </c>
      <c r="U49" t="str">
        <v>فموي (Oral)</v>
      </c>
      <c r="V49" t="str">
        <v>فئة B (آمن إلى حد كبير)</v>
      </c>
      <c r="W49" t="str">
        <v>لا</v>
      </c>
      <c r="X49" t="str">
        <v>لا</v>
      </c>
      <c r="Y49" t="str">
        <v>صرف مباشر (OTC)</v>
      </c>
      <c r="Z49">
        <v>3</v>
      </c>
      <c r="AA49">
        <v>0</v>
      </c>
      <c r="AB49" t="str">
        <v>MED-0046</v>
      </c>
    </row>
    <row r="50">
      <c r="A50">
        <v>47</v>
      </c>
      <c r="B50" t="str">
        <v>6220001087419</v>
      </c>
      <c r="C50" t="str">
        <v>ايبوبروفين 100مجم/5مل معلق 120 مل (ibuprofen 100mg/5ml susp. 120 ml)</v>
      </c>
      <c r="D50" t="str">
        <v>ibuprofen</v>
      </c>
      <c r="E50" t="str">
        <v>معلق</v>
      </c>
      <c r="F50" t="str">
        <v>100مجم</v>
      </c>
      <c r="G50" t="str">
        <v>sedico</v>
      </c>
      <c r="H50" t="str">
        <v>مسكنات وخافضات حرارة ومضادات التهاب</v>
      </c>
      <c r="I50" t="str">
        <v>رف A1 - مسكنات وخافضات حرارة</v>
      </c>
      <c r="J50" t="str">
        <v>قطعة</v>
      </c>
      <c r="K50">
        <v>28</v>
      </c>
      <c r="L50">
        <v>21.56</v>
      </c>
      <c r="M50">
        <v>20</v>
      </c>
      <c r="N50">
        <v>5</v>
      </c>
      <c r="O50" s="1">
        <f>K50-L50</f>
        <v>6.44</v>
      </c>
      <c r="P50" s="2">
        <f>IF(L50&gt;0,O50/L50,0)</f>
        <v>0.2987</v>
      </c>
      <c r="Q50" s="1">
        <f>L50*M50</f>
        <v>431.2</v>
      </c>
      <c r="R50" s="1">
        <f>K50*M50</f>
        <v>560</v>
      </c>
      <c r="S50" s="1">
        <f>R50-Q50</f>
        <v>128.8</v>
      </c>
      <c r="T50" t="str">
        <f>IF(M50=0,"نافد",IF(M50&lt;=N50,"قرب ينفد","متوفر"))</f>
        <v>متوفر</v>
      </c>
      <c r="U50" t="str">
        <v>فموي (Oral)</v>
      </c>
      <c r="V50" t="str">
        <v>فئة B (آمن إلى حد كبير)</v>
      </c>
      <c r="W50" t="str">
        <v>لا</v>
      </c>
      <c r="X50" t="str">
        <v>لا</v>
      </c>
      <c r="Y50" t="str">
        <v>صرف مباشر (OTC)</v>
      </c>
      <c r="Z50">
        <v>1</v>
      </c>
      <c r="AA50">
        <v>0</v>
      </c>
      <c r="AB50" t="str">
        <v>MED-0047</v>
      </c>
    </row>
    <row r="51">
      <c r="A51">
        <v>48</v>
      </c>
      <c r="B51" t="str">
        <v>6220001096558</v>
      </c>
      <c r="C51" t="str">
        <v>ماكسي بروفين 600مجم 10 قرص (maxiprofen 600mg 10 tab)</v>
      </c>
      <c r="D51" t="str">
        <v>ibuprofen</v>
      </c>
      <c r="E51" t="str">
        <v>أقراص</v>
      </c>
      <c r="F51" t="str">
        <v>600مجم</v>
      </c>
      <c r="G51" t="str">
        <v>pharopharma</v>
      </c>
      <c r="H51" t="str">
        <v>مسكنات وخافضات حرارة ومضادات التهاب</v>
      </c>
      <c r="I51" t="str">
        <v>رف A1 - مسكنات وخافضات حرارة</v>
      </c>
      <c r="J51" t="str">
        <v>علبة</v>
      </c>
      <c r="K51">
        <v>4.75</v>
      </c>
      <c r="L51">
        <v>3.66</v>
      </c>
      <c r="M51">
        <v>20</v>
      </c>
      <c r="N51">
        <v>5</v>
      </c>
      <c r="O51" s="1">
        <f>K51-L51</f>
        <v>1.09</v>
      </c>
      <c r="P51" s="2">
        <f>IF(L51&gt;0,O51/L51,0)</f>
        <v>0.2978</v>
      </c>
      <c r="Q51" s="1">
        <f>L51*M51</f>
        <v>73.2</v>
      </c>
      <c r="R51" s="1">
        <f>K51*M51</f>
        <v>95</v>
      </c>
      <c r="S51" s="1">
        <f>R51-Q51</f>
        <v>21.8</v>
      </c>
      <c r="T51" t="str">
        <f>IF(M51=0,"نافد",IF(M51&lt;=N51,"قرب ينفد","متوفر"))</f>
        <v>متوفر</v>
      </c>
      <c r="U51" t="str">
        <v>فموي (Oral)</v>
      </c>
      <c r="V51" t="str">
        <v>فئة B (آمن إلى حد كبير)</v>
      </c>
      <c r="W51" t="str">
        <v>لا</v>
      </c>
      <c r="X51" t="str">
        <v>لا</v>
      </c>
      <c r="Y51" t="str">
        <v>صرف مباشر (OTC)</v>
      </c>
      <c r="Z51">
        <v>1</v>
      </c>
      <c r="AA51">
        <v>0</v>
      </c>
      <c r="AB51" t="str">
        <v>MED-0048</v>
      </c>
    </row>
    <row r="52">
      <c r="A52">
        <v>49</v>
      </c>
      <c r="B52" t="str">
        <v>6220001096565</v>
      </c>
      <c r="C52" t="str">
        <v>ماكسيبروفين ريتارد 800مجم 10 اقراص اس ار (maxiprofen retard 800mg s.r 10 tab)</v>
      </c>
      <c r="D52" t="str">
        <v>ibuprofen</v>
      </c>
      <c r="E52" t="str">
        <v>أقراص</v>
      </c>
      <c r="F52" t="str">
        <v>800مجم</v>
      </c>
      <c r="G52" t="str">
        <v>pharopharma</v>
      </c>
      <c r="H52" t="str">
        <v>مسكنات وخافضات حرارة ومضادات التهاب</v>
      </c>
      <c r="I52" t="str">
        <v>رف A1 - مسكنات وخافضات حرارة</v>
      </c>
      <c r="J52" t="str">
        <v>علبة</v>
      </c>
      <c r="K52">
        <v>8</v>
      </c>
      <c r="L52">
        <v>6.16</v>
      </c>
      <c r="M52">
        <v>20</v>
      </c>
      <c r="N52">
        <v>5</v>
      </c>
      <c r="O52" s="1">
        <f>K52-L52</f>
        <v>1.84</v>
      </c>
      <c r="P52" s="2">
        <f>IF(L52&gt;0,O52/L52,0)</f>
        <v>0.2987</v>
      </c>
      <c r="Q52" s="1">
        <f>L52*M52</f>
        <v>123.2</v>
      </c>
      <c r="R52" s="1">
        <f>K52*M52</f>
        <v>160</v>
      </c>
      <c r="S52" s="1">
        <f>R52-Q52</f>
        <v>36.8</v>
      </c>
      <c r="T52" t="str">
        <f>IF(M52=0,"نافد",IF(M52&lt;=N52,"قرب ينفد","متوفر"))</f>
        <v>متوفر</v>
      </c>
      <c r="U52" t="str">
        <v>فموي (Oral)</v>
      </c>
      <c r="V52" t="str">
        <v>فئة B (آمن إلى حد كبير)</v>
      </c>
      <c r="W52" t="str">
        <v>لا</v>
      </c>
      <c r="X52" t="str">
        <v>لا</v>
      </c>
      <c r="Y52" t="str">
        <v>صرف مباشر (OTC)</v>
      </c>
      <c r="Z52">
        <v>1</v>
      </c>
      <c r="AA52">
        <v>0</v>
      </c>
      <c r="AB52" t="str">
        <v>MED-0049</v>
      </c>
    </row>
    <row r="53">
      <c r="A53">
        <v>50</v>
      </c>
      <c r="B53" t="str">
        <v>6221094113573</v>
      </c>
      <c r="C53" t="str">
        <v>منتوبروفين جل 20 جرام (mentoprofen gel 20 gm)</v>
      </c>
      <c r="D53" t="str">
        <v>camphor+ketoprofen+menthol</v>
      </c>
      <c r="E53" t="str">
        <v>جل موضعي</v>
      </c>
      <c r="F53" t="str">
        <v>20 g</v>
      </c>
      <c r="G53" t="str">
        <v>pharopharma</v>
      </c>
      <c r="H53" t="str">
        <v>مسكنات وخافضات حرارة ومضادات التهاب</v>
      </c>
      <c r="I53" t="str">
        <v>رف A1 - مسكنات وخافضات حرارة</v>
      </c>
      <c r="J53" t="str">
        <v>قطعة</v>
      </c>
      <c r="K53">
        <v>4.75</v>
      </c>
      <c r="L53">
        <v>3.66</v>
      </c>
      <c r="M53">
        <v>20</v>
      </c>
      <c r="N53">
        <v>5</v>
      </c>
      <c r="O53" s="1">
        <f>K53-L53</f>
        <v>1.09</v>
      </c>
      <c r="P53" s="2">
        <f>IF(L53&gt;0,O53/L53,0)</f>
        <v>0.2978</v>
      </c>
      <c r="Q53" s="1">
        <f>L53*M53</f>
        <v>73.2</v>
      </c>
      <c r="R53" s="1">
        <f>K53*M53</f>
        <v>95</v>
      </c>
      <c r="S53" s="1">
        <f>R53-Q53</f>
        <v>21.8</v>
      </c>
      <c r="T53" t="str">
        <f>IF(M53=0,"نافد",IF(M53&lt;=N53,"قرب ينفد","متوفر"))</f>
        <v>متوفر</v>
      </c>
      <c r="U53" t="str">
        <v>موضعي (Topical)</v>
      </c>
      <c r="V53" t="str">
        <v>فئة C (بحذر وإشراف طبي)</v>
      </c>
      <c r="W53" t="str">
        <v>لا</v>
      </c>
      <c r="X53" t="str">
        <v>لا</v>
      </c>
      <c r="Y53" t="str">
        <v>صرف مباشر (OTC)</v>
      </c>
      <c r="Z53">
        <v>1</v>
      </c>
      <c r="AA53">
        <v>0</v>
      </c>
      <c r="AB53" t="str">
        <v>MED-0050</v>
      </c>
    </row>
    <row r="54">
      <c r="A54">
        <v>51</v>
      </c>
      <c r="B54" t="str">
        <v>6220001100507</v>
      </c>
      <c r="C54" t="str">
        <v>نابروفين 250مجم 10 اقراص (naprofen 250mg 10 tab)</v>
      </c>
      <c r="D54" t="str">
        <v>naproxen</v>
      </c>
      <c r="E54" t="str">
        <v>أقراص</v>
      </c>
      <c r="F54" t="str">
        <v>250مجم</v>
      </c>
      <c r="G54" t="str">
        <v>el nile.</v>
      </c>
      <c r="H54" t="str">
        <v>مسكنات وخافضات حرارة ومضادات التهاب</v>
      </c>
      <c r="I54" t="str">
        <v>رف A1 - مسكنات وخافضات حرارة</v>
      </c>
      <c r="J54" t="str">
        <v>علبة</v>
      </c>
      <c r="K54">
        <v>3.65</v>
      </c>
      <c r="L54">
        <v>2.81</v>
      </c>
      <c r="M54">
        <v>20</v>
      </c>
      <c r="N54">
        <v>5</v>
      </c>
      <c r="O54" s="1">
        <f>K54-L54</f>
        <v>0.84</v>
      </c>
      <c r="P54" s="2">
        <f>IF(L54&gt;0,O54/L54,0)</f>
        <v>0.2989</v>
      </c>
      <c r="Q54" s="1">
        <f>L54*M54</f>
        <v>56.2</v>
      </c>
      <c r="R54" s="1">
        <f>K54*M54</f>
        <v>73</v>
      </c>
      <c r="S54" s="1">
        <f>R54-Q54</f>
        <v>16.8</v>
      </c>
      <c r="T54" t="str">
        <f>IF(M54=0,"نافد",IF(M54&lt;=N54,"قرب ينفد","متوفر"))</f>
        <v>متوفر</v>
      </c>
      <c r="U54" t="str">
        <v>فموي (Oral)</v>
      </c>
      <c r="V54" t="str">
        <v>فئة B (آمن إلى حد كبير)</v>
      </c>
      <c r="W54" t="str">
        <v>لا</v>
      </c>
      <c r="X54" t="str">
        <v>لا</v>
      </c>
      <c r="Y54" t="str">
        <v>صرف مباشر (OTC)</v>
      </c>
      <c r="Z54">
        <v>1</v>
      </c>
      <c r="AA54">
        <v>0</v>
      </c>
      <c r="AB54" t="str">
        <v>MED-0051</v>
      </c>
    </row>
    <row r="55">
      <c r="A55">
        <v>52</v>
      </c>
      <c r="B55" t="str">
        <v>6221077014316</v>
      </c>
      <c r="C55" t="str">
        <v>نابروفين 500 مجم 10 اقراص (naprofen 500mg 10 tab)</v>
      </c>
      <c r="D55" t="str">
        <v>naproxen</v>
      </c>
      <c r="E55" t="str">
        <v>أقراص</v>
      </c>
      <c r="F55" t="str">
        <v>500 مجم</v>
      </c>
      <c r="G55" t="str">
        <v>el nile.</v>
      </c>
      <c r="H55" t="str">
        <v>مسكنات وخافضات حرارة ومضادات التهاب</v>
      </c>
      <c r="I55" t="str">
        <v>رف A1 - مسكنات وخافضات حرارة</v>
      </c>
      <c r="J55" t="str">
        <v>علبة</v>
      </c>
      <c r="K55">
        <v>12</v>
      </c>
      <c r="L55">
        <v>9.24</v>
      </c>
      <c r="M55">
        <v>20</v>
      </c>
      <c r="N55">
        <v>5</v>
      </c>
      <c r="O55" s="1">
        <f>K55-L55</f>
        <v>2.76</v>
      </c>
      <c r="P55" s="2">
        <f>IF(L55&gt;0,O55/L55,0)</f>
        <v>0.2987</v>
      </c>
      <c r="Q55" s="1">
        <f>L55*M55</f>
        <v>184.8</v>
      </c>
      <c r="R55" s="1">
        <f>K55*M55</f>
        <v>240</v>
      </c>
      <c r="S55" s="1">
        <f>R55-Q55</f>
        <v>55.2</v>
      </c>
      <c r="T55" t="str">
        <f>IF(M55=0,"نافد",IF(M55&lt;=N55,"قرب ينفد","متوفر"))</f>
        <v>متوفر</v>
      </c>
      <c r="U55" t="str">
        <v>فموي (Oral)</v>
      </c>
      <c r="V55" t="str">
        <v>فئة B (آمن إلى حد كبير)</v>
      </c>
      <c r="W55" t="str">
        <v>لا</v>
      </c>
      <c r="X55" t="str">
        <v>لا</v>
      </c>
      <c r="Y55" t="str">
        <v>صرف مباشر (OTC)</v>
      </c>
      <c r="Z55">
        <v>1</v>
      </c>
      <c r="AA55">
        <v>0</v>
      </c>
      <c r="AB55" t="str">
        <v>MED-0052</v>
      </c>
    </row>
    <row r="56">
      <c r="A56">
        <v>53</v>
      </c>
      <c r="B56" t="str">
        <v>6220001102501</v>
      </c>
      <c r="C56" t="str">
        <v>نيسابروفين 25مجم 30 اقراص (nisaprofen 25 mg 30 f.c.tab)</v>
      </c>
      <c r="D56" t="str">
        <v>dexketoprofen</v>
      </c>
      <c r="E56" t="str">
        <v>أقراص</v>
      </c>
      <c r="F56" t="str">
        <v>25مجم</v>
      </c>
      <c r="G56" t="str">
        <v>sabaa &gt; loxxess-egypt</v>
      </c>
      <c r="H56" t="str">
        <v>مسكنات وخافضات حرارة ومضادات التهاب</v>
      </c>
      <c r="I56" t="str">
        <v>رف A1 - مسكنات وخافضات حرارة</v>
      </c>
      <c r="J56" t="str">
        <v>علبة</v>
      </c>
      <c r="K56">
        <v>36</v>
      </c>
      <c r="L56">
        <v>27.72</v>
      </c>
      <c r="M56">
        <v>20</v>
      </c>
      <c r="N56">
        <v>5</v>
      </c>
      <c r="O56" s="1">
        <f>K56-L56</f>
        <v>8.28</v>
      </c>
      <c r="P56" s="2">
        <f>IF(L56&gt;0,O56/L56,0)</f>
        <v>0.2987</v>
      </c>
      <c r="Q56" s="1">
        <f>L56*M56</f>
        <v>554.4</v>
      </c>
      <c r="R56" s="1">
        <f>K56*M56</f>
        <v>720</v>
      </c>
      <c r="S56" s="1">
        <f>R56-Q56</f>
        <v>165.6</v>
      </c>
      <c r="T56" t="str">
        <f>IF(M56=0,"نافد",IF(M56&lt;=N56,"قرب ينفد","متوفر"))</f>
        <v>متوفر</v>
      </c>
      <c r="U56" t="str">
        <v>فموي (Oral)</v>
      </c>
      <c r="V56" t="str">
        <v>فئة B (آمن إلى حد كبير)</v>
      </c>
      <c r="W56" t="str">
        <v>لا</v>
      </c>
      <c r="X56" t="str">
        <v>لا</v>
      </c>
      <c r="Y56" t="str">
        <v>صرف مباشر (OTC)</v>
      </c>
      <c r="Z56">
        <v>3</v>
      </c>
      <c r="AA56">
        <v>0</v>
      </c>
      <c r="AB56" t="str">
        <v>MED-0053</v>
      </c>
    </row>
    <row r="57">
      <c r="A57">
        <v>54</v>
      </c>
      <c r="B57" t="str">
        <v>6220001103362</v>
      </c>
      <c r="C57" t="str">
        <v>نوفا بروفين 100مجم/5مل شراب معلق 100مل (nova-profen 100mg/5ml oral susp. 100ml)</v>
      </c>
      <c r="D57" t="str">
        <v>ibuprofen</v>
      </c>
      <c r="E57" t="str">
        <v>معلق</v>
      </c>
      <c r="F57" t="str">
        <v>100مجم</v>
      </c>
      <c r="G57" t="str">
        <v>sanofi</v>
      </c>
      <c r="H57" t="str">
        <v>مسكنات وخافضات حرارة ومضادات التهاب</v>
      </c>
      <c r="I57" t="str">
        <v>رف A1 - مسكنات وخافضات حرارة</v>
      </c>
      <c r="J57" t="str">
        <v>قطعة</v>
      </c>
      <c r="K57">
        <v>2.25</v>
      </c>
      <c r="L57">
        <v>1.73</v>
      </c>
      <c r="M57">
        <v>20</v>
      </c>
      <c r="N57">
        <v>5</v>
      </c>
      <c r="O57" s="1">
        <f>K57-L57</f>
        <v>0.52</v>
      </c>
      <c r="P57" s="2">
        <f>IF(L57&gt;0,O57/L57,0)</f>
        <v>0.3006</v>
      </c>
      <c r="Q57" s="1">
        <f>L57*M57</f>
        <v>34.6</v>
      </c>
      <c r="R57" s="1">
        <f>K57*M57</f>
        <v>45</v>
      </c>
      <c r="S57" s="1">
        <f>R57-Q57</f>
        <v>10.4</v>
      </c>
      <c r="T57" t="str">
        <f>IF(M57=0,"نافد",IF(M57&lt;=N57,"قرب ينفد","متوفر"))</f>
        <v>متوفر</v>
      </c>
      <c r="U57" t="str">
        <v>فموي (Oral)</v>
      </c>
      <c r="V57" t="str">
        <v>فئة B (آمن إلى حد كبير)</v>
      </c>
      <c r="W57" t="str">
        <v>لا</v>
      </c>
      <c r="X57" t="str">
        <v>لا</v>
      </c>
      <c r="Y57" t="str">
        <v>صرف مباشر (OTC)</v>
      </c>
      <c r="Z57">
        <v>1</v>
      </c>
      <c r="AA57">
        <v>0</v>
      </c>
      <c r="AB57" t="str">
        <v>MED-0054</v>
      </c>
    </row>
    <row r="58">
      <c r="A58">
        <v>55</v>
      </c>
      <c r="B58" t="str">
        <v>6220001103379</v>
      </c>
      <c r="C58" t="str">
        <v>نوفا-بروفين 200 مجم 30 قرص (nova-profen 200mg 30 tabs)</v>
      </c>
      <c r="D58" t="str">
        <v>ibuprofen</v>
      </c>
      <c r="E58" t="str">
        <v>أقراص</v>
      </c>
      <c r="F58" t="str">
        <v>200 مجم</v>
      </c>
      <c r="G58" t="str">
        <v>sanofi</v>
      </c>
      <c r="H58" t="str">
        <v>مسكنات وخافضات حرارة ومضادات التهاب</v>
      </c>
      <c r="I58" t="str">
        <v>رف A1 - مسكنات وخافضات حرارة</v>
      </c>
      <c r="J58" t="str">
        <v>علبة</v>
      </c>
      <c r="K58">
        <v>9</v>
      </c>
      <c r="L58">
        <v>6.93</v>
      </c>
      <c r="M58">
        <v>20</v>
      </c>
      <c r="N58">
        <v>5</v>
      </c>
      <c r="O58" s="1">
        <f>K58-L58</f>
        <v>2.07</v>
      </c>
      <c r="P58" s="2">
        <f>IF(L58&gt;0,O58/L58,0)</f>
        <v>0.2987</v>
      </c>
      <c r="Q58" s="1">
        <f>L58*M58</f>
        <v>138.6</v>
      </c>
      <c r="R58" s="1">
        <f>K58*M58</f>
        <v>180</v>
      </c>
      <c r="S58" s="1">
        <f>R58-Q58</f>
        <v>41.4</v>
      </c>
      <c r="T58" t="str">
        <f>IF(M58=0,"نافد",IF(M58&lt;=N58,"قرب ينفد","متوفر"))</f>
        <v>متوفر</v>
      </c>
      <c r="U58" t="str">
        <v>فموي (Oral)</v>
      </c>
      <c r="V58" t="str">
        <v>فئة B (آمن إلى حد كبير)</v>
      </c>
      <c r="W58" t="str">
        <v>لا</v>
      </c>
      <c r="X58" t="str">
        <v>لا</v>
      </c>
      <c r="Y58" t="str">
        <v>صرف مباشر (OTC)</v>
      </c>
      <c r="Z58">
        <v>3</v>
      </c>
      <c r="AA58">
        <v>0</v>
      </c>
      <c r="AB58" t="str">
        <v>MED-0055</v>
      </c>
    </row>
    <row r="59">
      <c r="A59">
        <v>56</v>
      </c>
      <c r="B59" t="str">
        <v>6220001103386</v>
      </c>
      <c r="C59" t="str">
        <v>نوفا بروفين 400مجم 30 اقراص (nova-profen 400mg 30 f.c. tablets)</v>
      </c>
      <c r="D59" t="str">
        <v>ibuprofen</v>
      </c>
      <c r="E59" t="str">
        <v>أقراص</v>
      </c>
      <c r="F59" t="str">
        <v>400مجم</v>
      </c>
      <c r="G59" t="str">
        <v>sanofi</v>
      </c>
      <c r="H59" t="str">
        <v>مسكنات وخافضات حرارة ومضادات التهاب</v>
      </c>
      <c r="I59" t="str">
        <v>رف A1 - مسكنات وخافضات حرارة</v>
      </c>
      <c r="J59" t="str">
        <v>علبة</v>
      </c>
      <c r="K59">
        <v>12.75</v>
      </c>
      <c r="L59">
        <v>9.82</v>
      </c>
      <c r="M59">
        <v>20</v>
      </c>
      <c r="N59">
        <v>5</v>
      </c>
      <c r="O59" s="1">
        <f>K59-L59</f>
        <v>2.93</v>
      </c>
      <c r="P59" s="2">
        <f>IF(L59&gt;0,O59/L59,0)</f>
        <v>0.2984</v>
      </c>
      <c r="Q59" s="1">
        <f>L59*M59</f>
        <v>196.4</v>
      </c>
      <c r="R59" s="1">
        <f>K59*M59</f>
        <v>255</v>
      </c>
      <c r="S59" s="1">
        <f>R59-Q59</f>
        <v>58.6</v>
      </c>
      <c r="T59" t="str">
        <f>IF(M59=0,"نافد",IF(M59&lt;=N59,"قرب ينفد","متوفر"))</f>
        <v>متوفر</v>
      </c>
      <c r="U59" t="str">
        <v>فموي (Oral)</v>
      </c>
      <c r="V59" t="str">
        <v>فئة B (آمن إلى حد كبير)</v>
      </c>
      <c r="W59" t="str">
        <v>لا</v>
      </c>
      <c r="X59" t="str">
        <v>لا</v>
      </c>
      <c r="Y59" t="str">
        <v>صرف مباشر (OTC)</v>
      </c>
      <c r="Z59">
        <v>3</v>
      </c>
      <c r="AA59">
        <v>0</v>
      </c>
      <c r="AB59" t="str">
        <v>MED-0056</v>
      </c>
    </row>
    <row r="60">
      <c r="A60">
        <v>57</v>
      </c>
      <c r="B60" t="str">
        <v>6223002976621</v>
      </c>
      <c r="C60" t="str">
        <v>بروفينازون 20 كبسول (profenazone 20 caps)</v>
      </c>
      <c r="D60" t="str">
        <v>chlorzoxazone+ibuprofen</v>
      </c>
      <c r="E60" t="str">
        <v>كبسولات</v>
      </c>
      <c r="F60" t="str">
        <v>قياسي</v>
      </c>
      <c r="G60" t="str">
        <v>adwia</v>
      </c>
      <c r="H60" t="str">
        <v>مسكنات وخافضات حرارة ومضادات التهاب</v>
      </c>
      <c r="I60" t="str">
        <v>رف A1 - مسكنات وخافضات حرارة</v>
      </c>
      <c r="J60" t="str">
        <v>علبة</v>
      </c>
      <c r="K60">
        <v>28</v>
      </c>
      <c r="L60">
        <v>21.56</v>
      </c>
      <c r="M60">
        <v>20</v>
      </c>
      <c r="N60">
        <v>5</v>
      </c>
      <c r="O60" s="1">
        <f>K60-L60</f>
        <v>6.44</v>
      </c>
      <c r="P60" s="2">
        <f>IF(L60&gt;0,O60/L60,0)</f>
        <v>0.2987</v>
      </c>
      <c r="Q60" s="1">
        <f>L60*M60</f>
        <v>431.2</v>
      </c>
      <c r="R60" s="1">
        <f>K60*M60</f>
        <v>560</v>
      </c>
      <c r="S60" s="1">
        <f>R60-Q60</f>
        <v>128.8</v>
      </c>
      <c r="T60" t="str">
        <f>IF(M60=0,"نافد",IF(M60&lt;=N60,"قرب ينفد","متوفر"))</f>
        <v>متوفر</v>
      </c>
      <c r="U60" t="str">
        <v>فموي (Oral)</v>
      </c>
      <c r="V60" t="str">
        <v>فئة C (بحذر وإشراف طبي)</v>
      </c>
      <c r="W60" t="str">
        <v>لا</v>
      </c>
      <c r="X60" t="str">
        <v>لا</v>
      </c>
      <c r="Y60" t="str">
        <v>صرف مباشر (OTC)</v>
      </c>
      <c r="Z60">
        <v>2</v>
      </c>
      <c r="AA60">
        <v>0</v>
      </c>
      <c r="AB60" t="str">
        <v>MED-0057</v>
      </c>
    </row>
    <row r="61">
      <c r="A61">
        <v>58</v>
      </c>
      <c r="B61" t="str">
        <v>6223003991197</v>
      </c>
      <c r="C61" t="str">
        <v>بروفينيد 100مجم 6 لبوس (profenid 100 mg 6 supp)</v>
      </c>
      <c r="D61" t="str">
        <v>ketoprofen</v>
      </c>
      <c r="E61" t="str">
        <v>لبوس / تحاميل</v>
      </c>
      <c r="F61" t="str">
        <v>100مجم</v>
      </c>
      <c r="G61" t="str">
        <v>sanofi</v>
      </c>
      <c r="H61" t="str">
        <v>مسكنات وخافضات حرارة ومضادات التهاب</v>
      </c>
      <c r="I61" t="str">
        <v>رف A1 - مسكنات وخافضات حرارة</v>
      </c>
      <c r="J61" t="str">
        <v>قطعة</v>
      </c>
      <c r="K61">
        <v>8.25</v>
      </c>
      <c r="L61">
        <v>6.35</v>
      </c>
      <c r="M61">
        <v>20</v>
      </c>
      <c r="N61">
        <v>5</v>
      </c>
      <c r="O61" s="1">
        <f>K61-L61</f>
        <v>1.9</v>
      </c>
      <c r="P61" s="2">
        <f>IF(L61&gt;0,O61/L61,0)</f>
        <v>0.2992</v>
      </c>
      <c r="Q61" s="1">
        <f>L61*M61</f>
        <v>127</v>
      </c>
      <c r="R61" s="1">
        <f>K61*M61</f>
        <v>165</v>
      </c>
      <c r="S61" s="1">
        <f>R61-Q61</f>
        <v>38</v>
      </c>
      <c r="T61" t="str">
        <f>IF(M61=0,"نافد",IF(M61&lt;=N61,"قرب ينفد","متوفر"))</f>
        <v>متوفر</v>
      </c>
      <c r="U61" t="str">
        <v>لبوس / شرجي (Rectal)</v>
      </c>
      <c r="V61" t="str">
        <v>فئة B (آمن إلى حد كبير)</v>
      </c>
      <c r="W61" t="str">
        <v>لا</v>
      </c>
      <c r="X61" t="str">
        <v>لا</v>
      </c>
      <c r="Y61" t="str">
        <v>صرف مباشر (OTC)</v>
      </c>
      <c r="Z61">
        <v>1</v>
      </c>
      <c r="AA61">
        <v>0</v>
      </c>
      <c r="AB61" t="str">
        <v>MED-0058</v>
      </c>
    </row>
    <row r="62">
      <c r="A62">
        <v>59</v>
      </c>
      <c r="B62" t="str">
        <v>6223003991166</v>
      </c>
      <c r="C62" t="str">
        <v>بروفينيد 100مجم/2مل 3 امبول (profenid 100mg/2ml 3 amp)</v>
      </c>
      <c r="D62" t="str">
        <v>ketoprofen</v>
      </c>
      <c r="E62" t="str">
        <v>حقن</v>
      </c>
      <c r="F62" t="str">
        <v>100مجم</v>
      </c>
      <c r="G62" t="str">
        <v>sanofi</v>
      </c>
      <c r="H62" t="str">
        <v>مسكنات وخافضات حرارة ومضادات التهاب</v>
      </c>
      <c r="I62" t="str">
        <v>رف A1 - مسكنات وخافضات حرارة</v>
      </c>
      <c r="J62" t="str">
        <v>قطعة</v>
      </c>
      <c r="K62">
        <v>8.25</v>
      </c>
      <c r="L62">
        <v>6.35</v>
      </c>
      <c r="M62">
        <v>20</v>
      </c>
      <c r="N62">
        <v>5</v>
      </c>
      <c r="O62" s="1">
        <f>K62-L62</f>
        <v>1.9</v>
      </c>
      <c r="P62" s="2">
        <f>IF(L62&gt;0,O62/L62,0)</f>
        <v>0.2992</v>
      </c>
      <c r="Q62" s="1">
        <f>L62*M62</f>
        <v>127</v>
      </c>
      <c r="R62" s="1">
        <f>K62*M62</f>
        <v>165</v>
      </c>
      <c r="S62" s="1">
        <f>R62-Q62</f>
        <v>38</v>
      </c>
      <c r="T62" t="str">
        <f>IF(M62=0,"نافد",IF(M62&lt;=N62,"قرب ينفد","متوفر"))</f>
        <v>متوفر</v>
      </c>
      <c r="U62" t="str">
        <v>حقن عضل / وريد (Parenteral)</v>
      </c>
      <c r="V62" t="str">
        <v>فئة B (آمن إلى حد كبير)</v>
      </c>
      <c r="W62" t="str">
        <v>لا</v>
      </c>
      <c r="X62" t="str">
        <v>لا</v>
      </c>
      <c r="Y62" t="str">
        <v>روشتة طبية (Rx)</v>
      </c>
      <c r="Z62">
        <v>3</v>
      </c>
      <c r="AA62">
        <v>0</v>
      </c>
      <c r="AB62" t="str">
        <v>MED-0059</v>
      </c>
    </row>
    <row r="63">
      <c r="A63">
        <v>60</v>
      </c>
      <c r="B63" t="str">
        <v>6223003991777</v>
      </c>
      <c r="C63" t="str">
        <v>بروفينيد 1مجم/مل شراب 100مل (profenid 1mg/ml syrup 100 ml)</v>
      </c>
      <c r="D63" t="str">
        <v>ketoprofen</v>
      </c>
      <c r="E63" t="str">
        <v>شراب</v>
      </c>
      <c r="F63" t="str">
        <v>1مجم</v>
      </c>
      <c r="G63" t="str">
        <v>sanofi</v>
      </c>
      <c r="H63" t="str">
        <v>مسكنات وخافضات حرارة ومضادات التهاب</v>
      </c>
      <c r="I63" t="str">
        <v>رف A1 - مسكنات وخافضات حرارة</v>
      </c>
      <c r="J63" t="str">
        <v>قطعة</v>
      </c>
      <c r="K63">
        <v>9.5</v>
      </c>
      <c r="L63">
        <v>7.32</v>
      </c>
      <c r="M63">
        <v>20</v>
      </c>
      <c r="N63">
        <v>5</v>
      </c>
      <c r="O63" s="1">
        <f>K63-L63</f>
        <v>2.18</v>
      </c>
      <c r="P63" s="2">
        <f>IF(L63&gt;0,O63/L63,0)</f>
        <v>0.2978</v>
      </c>
      <c r="Q63" s="1">
        <f>L63*M63</f>
        <v>146.4</v>
      </c>
      <c r="R63" s="1">
        <f>K63*M63</f>
        <v>190</v>
      </c>
      <c r="S63" s="1">
        <f>R63-Q63</f>
        <v>43.6</v>
      </c>
      <c r="T63" t="str">
        <f>IF(M63=0,"نافد",IF(M63&lt;=N63,"قرب ينفد","متوفر"))</f>
        <v>متوفر</v>
      </c>
      <c r="U63" t="str">
        <v>فموي (Oral)</v>
      </c>
      <c r="V63" t="str">
        <v>فئة B (آمن إلى حد كبير)</v>
      </c>
      <c r="W63" t="str">
        <v>لا</v>
      </c>
      <c r="X63" t="str">
        <v>لا</v>
      </c>
      <c r="Y63" t="str">
        <v>صرف مباشر (OTC)</v>
      </c>
      <c r="Z63">
        <v>1</v>
      </c>
      <c r="AA63">
        <v>0</v>
      </c>
      <c r="AB63" t="str">
        <v>MED-0060</v>
      </c>
    </row>
    <row r="64">
      <c r="A64" t="str">
        <v>الإجمالي</v>
      </c>
      <c r="B64" t="str">
        <v>عدد الأصناف: 60</v>
      </c>
      <c r="C64" t="str">
        <v/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s="1">
        <f>AVERAGE(K4:K63)</f>
        <v>43.27</v>
      </c>
      <c r="L64" s="1">
        <f>AVERAGE(L4:L63)</f>
        <v>33.32</v>
      </c>
      <c r="M64" s="3">
        <f>SUM(M4:M63)</f>
        <v>1200</v>
      </c>
      <c r="N64" s="3">
        <f>SUM(N4:N63)</f>
        <v>300</v>
      </c>
      <c r="O64" s="1">
        <f>AVERAGE(O4:O63)</f>
        <v>9.95</v>
      </c>
      <c r="P64" s="2">
        <f>AVERAGE(P4:P63)</f>
        <v>0.2986</v>
      </c>
      <c r="Q64" s="1">
        <f>SUM(Q4:Q63)</f>
        <v>39984</v>
      </c>
      <c r="R64" s="1">
        <f>SUM(R4:R63)</f>
        <v>51924</v>
      </c>
      <c r="S64" s="1">
        <f>SUM(S4:S63)</f>
        <v>11940</v>
      </c>
      <c r="T64" t="str">
        <v>محسوب بمعادلات إكسل</v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/>
      </c>
      <c r="AA64" t="str">
        <v/>
      </c>
      <c r="AB64" t="str">
        <v/>
      </c>
    </row>
  </sheetData>
  <mergeCells count="2">
    <mergeCell ref="A1:AB1"/>
    <mergeCell ref="A2:AB2"/>
  </mergeCells>
  <ignoredErrors>
    <ignoredError numberStoredAsText="1" sqref="A1:AB6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B49"/>
  <sheetViews>
    <sheetView workbookViewId="0"/>
  </sheetViews>
  <cols>
    <col min="1" max="1" width="6.83203125" customWidth="1"/>
    <col min="2" max="2" width="18.83203125" customWidth="1"/>
    <col min="3" max="3" width="45.83203125" customWidth="1"/>
    <col min="4" max="4" width="42.83203125" customWidth="1"/>
    <col min="5" max="5" width="18.83203125" customWidth="1"/>
    <col min="6" max="6" width="16.83203125" customWidth="1"/>
    <col min="7" max="7" width="25.83203125" customWidth="1"/>
    <col min="8" max="8" width="32.83203125" customWidth="1"/>
    <col min="9" max="9" width="24.83203125" customWidth="1"/>
    <col min="10" max="10" width="16.83203125" customWidth="1"/>
    <col min="11" max="11" width="18.83203125" customWidth="1"/>
    <col min="12" max="12" width="18.83203125" customWidth="1"/>
    <col min="13" max="13" width="16.83203125" customWidth="1"/>
    <col min="14" max="14" width="16.83203125" customWidth="1"/>
    <col min="15" max="15" width="16.83203125" customWidth="1"/>
    <col min="16" max="16" width="14.83203125" customWidth="1"/>
    <col min="17" max="17" width="18.83203125" customWidth="1"/>
    <col min="18" max="18" width="18.83203125" customWidth="1"/>
    <col min="19" max="19" width="18.83203125" customWidth="1"/>
    <col min="20" max="20" width="16.83203125" customWidth="1"/>
    <col min="21" max="21" width="22.83203125" customWidth="1"/>
    <col min="22" max="22" width="24.83203125" customWidth="1"/>
    <col min="23" max="23" width="15.83203125" customWidth="1"/>
    <col min="24" max="24" width="18.83203125" customWidth="1"/>
    <col min="25" max="25" width="18.83203125" customWidth="1"/>
    <col min="26" max="26" width="18.83203125" customWidth="1"/>
    <col min="27" max="27" width="14.83203125" customWidth="1"/>
    <col min="28" max="28" width="16.83203125" customWidth="1"/>
  </cols>
  <sheetData>
    <row r="1">
      <c r="A1" t="str">
        <v>رفيق POS - قائمة أصناف قسم: [أدوية الأطفال والرضع]</v>
      </c>
    </row>
    <row r="2">
      <c r="A2" t="str">
        <v>تعليمات هامة: الأعمدة المميزة بنجمة (*) إلزامية | يتضمن النموذج كافة البيانات السريرية والصيدلية المعتمدة | المعادلات المالية والمخزنية تتحدث تلقائياً</v>
      </c>
    </row>
    <row r="3">
      <c r="A3" t="str">
        <v>م</v>
      </c>
      <c r="B3" t="str">
        <v>باركود الدواء *</v>
      </c>
      <c r="C3" t="str">
        <v>الاسم التجاري (عربي / إنجليزي) *</v>
      </c>
      <c r="D3" t="str">
        <v>الاسم العلمي (المادة الفعالة والتركيبة) *</v>
      </c>
      <c r="E3" t="str">
        <v>الشكل الدوائي (Dosage Form)</v>
      </c>
      <c r="F3" t="str">
        <v>التركيز والحجم</v>
      </c>
      <c r="G3" t="str">
        <v>الشركة المصنعة (Manufacturer)</v>
      </c>
      <c r="H3" t="str">
        <v>المجموعة العلاجية (Therapeutic Class)</v>
      </c>
      <c r="I3" t="str">
        <v>مكان التخزين / الرف / الدرج</v>
      </c>
      <c r="J3" t="str">
        <v>الوحدة الأساسية (علبة / قطعة)</v>
      </c>
      <c r="K3" t="str">
        <v>سعر الجمهور الرسمي (ج.م) *</v>
      </c>
      <c r="L3" t="str">
        <v>سعر التكلفة / الشراء (ج.م) *</v>
      </c>
      <c r="M3" t="str">
        <v>الرصيد الافتتاحي (علب)</v>
      </c>
      <c r="N3" t="str">
        <v>حد الطلب الأدنى</v>
      </c>
      <c r="O3" t="str">
        <v>هامش ربح العلبة (ج.م)</v>
      </c>
      <c r="P3" t="str">
        <v>نسبة الربح (%)</v>
      </c>
      <c r="Q3" t="str">
        <v>إجمالي قيمة التكلفة (ج.م)</v>
      </c>
      <c r="R3" t="str">
        <v>إجمالي القيمة البيعية (ج.م)</v>
      </c>
      <c r="S3" t="str">
        <v>إجمالي الربح المتوقع (ج.م)</v>
      </c>
      <c r="T3" t="str">
        <v>حالة المخزون التلقائية</v>
      </c>
      <c r="U3" t="str">
        <v>طريقة الاستخدام (Route)</v>
      </c>
      <c r="V3" t="str">
        <v>فئة أمان الحمل والرضاعة</v>
      </c>
      <c r="W3" t="str">
        <v>مضاد حيوي (نعم / لا)</v>
      </c>
      <c r="X3" t="str">
        <v>سلسلة التبريد / ثلاجة (نعم / لا)</v>
      </c>
      <c r="Y3" t="str">
        <v>نوع الوصفة والصرف (Rx Status)</v>
      </c>
      <c r="Z3" t="str">
        <v>عدد الوحدات / الأشرطة بالعلبة</v>
      </c>
      <c r="AA3" t="str">
        <v>نسبة الضريبة (%)</v>
      </c>
      <c r="AB3" t="str">
        <v>كود الصنف الداخلي (SKU)</v>
      </c>
    </row>
    <row r="4">
      <c r="A4">
        <v>1</v>
      </c>
      <c r="B4" t="str">
        <v>6221032230201</v>
      </c>
      <c r="C4" t="str">
        <v>سيتال نقط للاطفال 15 مل (cetal 100mg/ml oral drops 15 ml)</v>
      </c>
      <c r="D4" t="str">
        <v>paracetamol(acetaminophen)</v>
      </c>
      <c r="E4" t="str">
        <v>نقط (فم / عين / أذن)</v>
      </c>
      <c r="F4" t="str">
        <v>15 مل</v>
      </c>
      <c r="G4" t="str">
        <v>eipico</v>
      </c>
      <c r="H4" t="str">
        <v>مسكنات وخافضات حرارة ومضادات التهاب</v>
      </c>
      <c r="I4" t="str">
        <v>رف A1 - مسكنات وخافضات حرارة</v>
      </c>
      <c r="J4" t="str">
        <v>قطعة</v>
      </c>
      <c r="K4">
        <v>23</v>
      </c>
      <c r="L4">
        <v>17.71</v>
      </c>
      <c r="M4">
        <v>20</v>
      </c>
      <c r="N4">
        <v>5</v>
      </c>
      <c r="O4" s="1">
        <f>K4-L4</f>
        <v>5.29</v>
      </c>
      <c r="P4" s="2">
        <f>IF(L4&gt;0,O4/L4,0)</f>
        <v>0.2987</v>
      </c>
      <c r="Q4" s="1">
        <f>L4*M4</f>
        <v>354.2</v>
      </c>
      <c r="R4" s="1">
        <f>K4*M4</f>
        <v>460</v>
      </c>
      <c r="S4" s="1">
        <f>R4-Q4</f>
        <v>105.8</v>
      </c>
      <c r="T4" t="str">
        <f>IF(M4=0,"نافد",IF(M4&lt;=N4,"قرب ينفد","متوفر"))</f>
        <v>متوفر</v>
      </c>
      <c r="U4" t="str">
        <v>قطرة عين / أذن (Drops)</v>
      </c>
      <c r="V4" t="str">
        <v>فئة B (آمن إلى حد كبير)</v>
      </c>
      <c r="W4" t="str">
        <v>لا</v>
      </c>
      <c r="X4" t="str">
        <v>لا</v>
      </c>
      <c r="Y4" t="str">
        <v>صرف مباشر (OTC)</v>
      </c>
      <c r="Z4">
        <v>1</v>
      </c>
      <c r="AA4">
        <v>0</v>
      </c>
      <c r="AB4" t="str">
        <v>MED-0061</v>
      </c>
    </row>
    <row r="5">
      <c r="A5">
        <v>2</v>
      </c>
      <c r="B5" t="str">
        <v>6220001024360</v>
      </c>
      <c r="C5" t="str">
        <v>بيبي درينك 12 كيس (baby drink 12 sachets)</v>
      </c>
      <c r="D5" t="str">
        <v>chamomile oil+thyme oil+anise oil+peppermint oil+liquorice</v>
      </c>
      <c r="E5" t="str">
        <v>أكياس بودرة</v>
      </c>
      <c r="F5" t="str">
        <v>قياسي</v>
      </c>
      <c r="G5" t="str">
        <v>pharco</v>
      </c>
      <c r="H5" t="str">
        <v>أدوية ومستحضرات طبية عامة</v>
      </c>
      <c r="I5" t="str">
        <v>رف عام - أدوية ومستحضرات</v>
      </c>
      <c r="J5" t="str">
        <v>قطعة</v>
      </c>
      <c r="K5">
        <v>7</v>
      </c>
      <c r="L5">
        <v>5.39</v>
      </c>
      <c r="M5">
        <v>20</v>
      </c>
      <c r="N5">
        <v>5</v>
      </c>
      <c r="O5" s="1">
        <f>K5-L5</f>
        <v>1.61</v>
      </c>
      <c r="P5" s="2">
        <f>IF(L5&gt;0,O5/L5,0)</f>
        <v>0.2987</v>
      </c>
      <c r="Q5" s="1">
        <f>L5*M5</f>
        <v>107.8</v>
      </c>
      <c r="R5" s="1">
        <f>K5*M5</f>
        <v>140</v>
      </c>
      <c r="S5" s="1">
        <f>R5-Q5</f>
        <v>32.2</v>
      </c>
      <c r="T5" t="str">
        <f>IF(M5=0,"نافد",IF(M5&lt;=N5,"قرب ينفد","متوفر"))</f>
        <v>متوفر</v>
      </c>
      <c r="U5" t="str">
        <v>فموي (Oral)</v>
      </c>
      <c r="V5" t="str">
        <v>فئة C (بحذر وإشراف طبي)</v>
      </c>
      <c r="W5" t="str">
        <v>لا</v>
      </c>
      <c r="X5" t="str">
        <v>لا</v>
      </c>
      <c r="Y5" t="str">
        <v>صرف مباشر (OTC)</v>
      </c>
      <c r="Z5">
        <v>1</v>
      </c>
      <c r="AA5">
        <v>0</v>
      </c>
      <c r="AB5" t="str">
        <v>MED-0062</v>
      </c>
    </row>
    <row r="6">
      <c r="A6">
        <v>3</v>
      </c>
      <c r="B6" t="str">
        <v>50984527</v>
      </c>
      <c r="C6" t="str">
        <v>دينتينوكس 0.33% جل تسنين 10 جم (dentinox 0.33% teething gel 10 gm)</v>
      </c>
      <c r="D6" t="str">
        <v>cetylpyridinium chloride+lidocaine</v>
      </c>
      <c r="E6" t="str">
        <v>جل موضعي</v>
      </c>
      <c r="F6" t="str">
        <v>0.33%</v>
      </c>
      <c r="G6" t="str">
        <v>d d d &gt; interpharma</v>
      </c>
      <c r="H6" t="str">
        <v>أدوية ومستحضرات طبية عامة</v>
      </c>
      <c r="I6" t="str">
        <v>رف عام - أدوية ومستحضرات</v>
      </c>
      <c r="J6" t="str">
        <v>قطعة</v>
      </c>
      <c r="K6">
        <v>45</v>
      </c>
      <c r="L6">
        <v>34.65</v>
      </c>
      <c r="M6">
        <v>20</v>
      </c>
      <c r="N6">
        <v>5</v>
      </c>
      <c r="O6" s="1">
        <f>K6-L6</f>
        <v>10.35</v>
      </c>
      <c r="P6" s="2">
        <f>IF(L6&gt;0,O6/L6,0)</f>
        <v>0.2987</v>
      </c>
      <c r="Q6" s="1">
        <f>L6*M6</f>
        <v>693</v>
      </c>
      <c r="R6" s="1">
        <f>K6*M6</f>
        <v>900</v>
      </c>
      <c r="S6" s="1">
        <f>R6-Q6</f>
        <v>207</v>
      </c>
      <c r="T6" t="str">
        <f>IF(M6=0,"نافد",IF(M6&lt;=N6,"قرب ينفد","متوفر"))</f>
        <v>متوفر</v>
      </c>
      <c r="U6" t="str">
        <v>موضعي (Topical)</v>
      </c>
      <c r="V6" t="str">
        <v>فئة B (آمن إلى حد كبير)</v>
      </c>
      <c r="W6" t="str">
        <v>لا</v>
      </c>
      <c r="X6" t="str">
        <v>لا</v>
      </c>
      <c r="Y6" t="str">
        <v>صرف مباشر (OTC)</v>
      </c>
      <c r="Z6">
        <v>1</v>
      </c>
      <c r="AA6">
        <v>0</v>
      </c>
      <c r="AB6" t="str">
        <v>MED-0063</v>
      </c>
    </row>
    <row r="7">
      <c r="A7">
        <v>4</v>
      </c>
      <c r="B7" t="str">
        <v>6223003992002</v>
      </c>
      <c r="C7" t="str">
        <v>ماكسيلاز شراب 100 مل (maxilase 200 ceip unit/ml syrup 100ml)</v>
      </c>
      <c r="D7" t="str">
        <v>alpha amylase</v>
      </c>
      <c r="E7" t="str">
        <v>شراب</v>
      </c>
      <c r="F7" t="str">
        <v>100 مل</v>
      </c>
      <c r="G7" t="str">
        <v>sanofi</v>
      </c>
      <c r="H7" t="str">
        <v>أدوية ومستحضرات طبية عامة</v>
      </c>
      <c r="I7" t="str">
        <v>رف عام - أدوية ومستحضرات</v>
      </c>
      <c r="J7" t="str">
        <v>قطعة</v>
      </c>
      <c r="K7">
        <v>57</v>
      </c>
      <c r="L7">
        <v>43.89</v>
      </c>
      <c r="M7">
        <v>20</v>
      </c>
      <c r="N7">
        <v>5</v>
      </c>
      <c r="O7" s="1">
        <f>K7-L7</f>
        <v>13.11</v>
      </c>
      <c r="P7" s="2">
        <f>IF(L7&gt;0,O7/L7,0)</f>
        <v>0.2987</v>
      </c>
      <c r="Q7" s="1">
        <f>L7*M7</f>
        <v>877.8</v>
      </c>
      <c r="R7" s="1">
        <f>K7*M7</f>
        <v>1140</v>
      </c>
      <c r="S7" s="1">
        <f>R7-Q7</f>
        <v>262.2</v>
      </c>
      <c r="T7" t="str">
        <f>IF(M7=0,"نافد",IF(M7&lt;=N7,"قرب ينفد","متوفر"))</f>
        <v>متوفر</v>
      </c>
      <c r="U7" t="str">
        <v>فموي (Oral)</v>
      </c>
      <c r="V7" t="str">
        <v>فئة B (آمن إلى حد كبير)</v>
      </c>
      <c r="W7" t="str">
        <v>لا</v>
      </c>
      <c r="X7" t="str">
        <v>لا</v>
      </c>
      <c r="Y7" t="str">
        <v>صرف مباشر (OTC)</v>
      </c>
      <c r="Z7">
        <v>1</v>
      </c>
      <c r="AA7">
        <v>0</v>
      </c>
      <c r="AB7" t="str">
        <v>MED-0064</v>
      </c>
    </row>
    <row r="8">
      <c r="A8">
        <v>5</v>
      </c>
      <c r="B8" t="str">
        <v>6220001096497</v>
      </c>
      <c r="C8" t="str">
        <v>ماكسيلاز 200وحدة شراب 200 مل (maxilase 200 ceip unit/ml syrup 200ml)</v>
      </c>
      <c r="D8" t="str">
        <v>alpha amylase</v>
      </c>
      <c r="E8" t="str">
        <v>شراب</v>
      </c>
      <c r="F8" t="str">
        <v>200 مل</v>
      </c>
      <c r="G8" t="str">
        <v>future pharmaceutical industries (fpi) &gt; sanofi</v>
      </c>
      <c r="H8" t="str">
        <v>أدوية ومستحضرات طبية عامة</v>
      </c>
      <c r="I8" t="str">
        <v>رف عام - أدوية ومستحضرات</v>
      </c>
      <c r="J8" t="str">
        <v>قطعة</v>
      </c>
      <c r="K8">
        <v>97</v>
      </c>
      <c r="L8">
        <v>74.69</v>
      </c>
      <c r="M8">
        <v>20</v>
      </c>
      <c r="N8">
        <v>5</v>
      </c>
      <c r="O8" s="1">
        <f>K8-L8</f>
        <v>22.31</v>
      </c>
      <c r="P8" s="2">
        <f>IF(L8&gt;0,O8/L8,0)</f>
        <v>0.2987</v>
      </c>
      <c r="Q8" s="1">
        <f>L8*M8</f>
        <v>1493.8</v>
      </c>
      <c r="R8" s="1">
        <f>K8*M8</f>
        <v>1940</v>
      </c>
      <c r="S8" s="1">
        <f>R8-Q8</f>
        <v>446.2</v>
      </c>
      <c r="T8" t="str">
        <f>IF(M8=0,"نافد",IF(M8&lt;=N8,"قرب ينفد","متوفر"))</f>
        <v>متوفر</v>
      </c>
      <c r="U8" t="str">
        <v>فموي (Oral)</v>
      </c>
      <c r="V8" t="str">
        <v>فئة B (آمن إلى حد كبير)</v>
      </c>
      <c r="W8" t="str">
        <v>لا</v>
      </c>
      <c r="X8" t="str">
        <v>لا</v>
      </c>
      <c r="Y8" t="str">
        <v>صرف مباشر (OTC)</v>
      </c>
      <c r="Z8">
        <v>1</v>
      </c>
      <c r="AA8">
        <v>0</v>
      </c>
      <c r="AB8" t="str">
        <v>MED-0065</v>
      </c>
    </row>
    <row r="9">
      <c r="A9">
        <v>6</v>
      </c>
      <c r="B9" t="str">
        <v>6220001096503</v>
      </c>
      <c r="C9" t="str">
        <v>ماكسيلاز 3000 وحدة 20 قرص (maxilase 3000 ceip unit 20 tabs)</v>
      </c>
      <c r="D9" t="str">
        <v>alpha amylase</v>
      </c>
      <c r="E9" t="str">
        <v>أقراص</v>
      </c>
      <c r="F9" t="str">
        <v>قياسي</v>
      </c>
      <c r="G9" t="str">
        <v>future pharmaceutical industries (fpi) &gt; sanofi</v>
      </c>
      <c r="H9" t="str">
        <v>أدوية ومستحضرات طبية عامة</v>
      </c>
      <c r="I9" t="str">
        <v>رف عام - أدوية ومستحضرات</v>
      </c>
      <c r="J9" t="str">
        <v>علبة</v>
      </c>
      <c r="K9">
        <v>40</v>
      </c>
      <c r="L9">
        <v>30.8</v>
      </c>
      <c r="M9">
        <v>20</v>
      </c>
      <c r="N9">
        <v>5</v>
      </c>
      <c r="O9" s="1">
        <f>K9-L9</f>
        <v>9.2</v>
      </c>
      <c r="P9" s="2">
        <f>IF(L9&gt;0,O9/L9,0)</f>
        <v>0.2987</v>
      </c>
      <c r="Q9" s="1">
        <f>L9*M9</f>
        <v>616</v>
      </c>
      <c r="R9" s="1">
        <f>K9*M9</f>
        <v>800</v>
      </c>
      <c r="S9" s="1">
        <f>R9-Q9</f>
        <v>184</v>
      </c>
      <c r="T9" t="str">
        <f>IF(M9=0,"نافد",IF(M9&lt;=N9,"قرب ينفد","متوفر"))</f>
        <v>متوفر</v>
      </c>
      <c r="U9" t="str">
        <v>فموي (Oral)</v>
      </c>
      <c r="V9" t="str">
        <v>فئة B (آمن إلى حد كبير)</v>
      </c>
      <c r="W9" t="str">
        <v>لا</v>
      </c>
      <c r="X9" t="str">
        <v>لا</v>
      </c>
      <c r="Y9" t="str">
        <v>صرف مباشر (OTC)</v>
      </c>
      <c r="Z9">
        <v>2</v>
      </c>
      <c r="AA9">
        <v>0</v>
      </c>
      <c r="AB9" t="str">
        <v>MED-0066</v>
      </c>
    </row>
    <row r="10">
      <c r="A10">
        <v>7</v>
      </c>
      <c r="B10" t="str">
        <v>6221508220316</v>
      </c>
      <c r="C10" t="str">
        <v>بيبي فيت نقط بالفم 30 مل (bebe-vit oral drops 30 ml)</v>
      </c>
      <c r="D10" t="str">
        <v>nicotinamide+vitamin a+vitamin b1+vitamin b2+vitamin b6+vitamin c+vitamin d+vitamin e</v>
      </c>
      <c r="E10" t="str">
        <v>نقط (فم / عين / أذن)</v>
      </c>
      <c r="F10" t="str">
        <v>30 مل</v>
      </c>
      <c r="G10" t="str">
        <v>mup</v>
      </c>
      <c r="H10" t="str">
        <v>فيتامينات ومعادن ومكملات غذائية</v>
      </c>
      <c r="I10" t="str">
        <v>رف F1 - فيتامينات ومكملات</v>
      </c>
      <c r="J10" t="str">
        <v>قطعة</v>
      </c>
      <c r="K10">
        <v>25</v>
      </c>
      <c r="L10">
        <v>19.25</v>
      </c>
      <c r="M10">
        <v>20</v>
      </c>
      <c r="N10">
        <v>5</v>
      </c>
      <c r="O10" s="1">
        <f>K10-L10</f>
        <v>5.75</v>
      </c>
      <c r="P10" s="2">
        <f>IF(L10&gt;0,O10/L10,0)</f>
        <v>0.2987</v>
      </c>
      <c r="Q10" s="1">
        <f>L10*M10</f>
        <v>385</v>
      </c>
      <c r="R10" s="1">
        <f>K10*M10</f>
        <v>500</v>
      </c>
      <c r="S10" s="1">
        <f>R10-Q10</f>
        <v>115</v>
      </c>
      <c r="T10" t="str">
        <f>IF(M10=0,"نافد",IF(M10&lt;=N10,"قرب ينفد","متوفر"))</f>
        <v>متوفر</v>
      </c>
      <c r="U10" t="str">
        <v>قطرة عين / أذن (Drops)</v>
      </c>
      <c r="V10" t="str">
        <v>فئة C (بحذر وإشراف طبي)</v>
      </c>
      <c r="W10" t="str">
        <v>لا</v>
      </c>
      <c r="X10" t="str">
        <v>لا</v>
      </c>
      <c r="Y10" t="str">
        <v>صرف مباشر (OTC)</v>
      </c>
      <c r="Z10">
        <v>1</v>
      </c>
      <c r="AA10">
        <v>0</v>
      </c>
      <c r="AB10" t="str">
        <v>MED-0067</v>
      </c>
    </row>
    <row r="11">
      <c r="A11">
        <v>8</v>
      </c>
      <c r="B11" t="str">
        <v>6220001152247</v>
      </c>
      <c r="C11" t="str">
        <v>جينبيبي فيتامين دال 400 وحدة دولية (genebaby d 400 i.u./drop 180 oral drops 5.04 ml)</v>
      </c>
      <c r="D11" t="str">
        <v>cholecalciferol(vitamin d3)</v>
      </c>
      <c r="E11" t="str">
        <v>نقط (فم / عين / أذن)</v>
      </c>
      <c r="F11" t="str">
        <v>5.04 ml</v>
      </c>
      <c r="G11" t="str">
        <v>copad egypt &gt; genesis pharma</v>
      </c>
      <c r="H11" t="str">
        <v>فيتامينات ومعادن ومكملات غذائية</v>
      </c>
      <c r="I11" t="str">
        <v>رف F1 - فيتامينات ومكملات</v>
      </c>
      <c r="J11" t="str">
        <v>قطعة</v>
      </c>
      <c r="K11">
        <v>60</v>
      </c>
      <c r="L11">
        <v>46.2</v>
      </c>
      <c r="M11">
        <v>20</v>
      </c>
      <c r="N11">
        <v>5</v>
      </c>
      <c r="O11" s="1">
        <f>K11-L11</f>
        <v>13.8</v>
      </c>
      <c r="P11" s="2">
        <f>IF(L11&gt;0,O11/L11,0)</f>
        <v>0.2987</v>
      </c>
      <c r="Q11" s="1">
        <f>L11*M11</f>
        <v>924</v>
      </c>
      <c r="R11" s="1">
        <f>K11*M11</f>
        <v>1200</v>
      </c>
      <c r="S11" s="1">
        <f>R11-Q11</f>
        <v>276</v>
      </c>
      <c r="T11" t="str">
        <f>IF(M11=0,"نافد",IF(M11&lt;=N11,"قرب ينفد","متوفر"))</f>
        <v>متوفر</v>
      </c>
      <c r="U11" t="str">
        <v>قطرة عين / أذن (Drops)</v>
      </c>
      <c r="V11" t="str">
        <v>فئة B (آمن إلى حد كبير)</v>
      </c>
      <c r="W11" t="str">
        <v>لا</v>
      </c>
      <c r="X11" t="str">
        <v>لا</v>
      </c>
      <c r="Y11" t="str">
        <v>صرف مباشر (OTC)</v>
      </c>
      <c r="Z11">
        <v>1</v>
      </c>
      <c r="AA11">
        <v>0</v>
      </c>
      <c r="AB11" t="str">
        <v>MED-0068</v>
      </c>
    </row>
    <row r="12">
      <c r="A12">
        <v>9</v>
      </c>
      <c r="B12" t="str">
        <v>6221051041086</v>
      </c>
      <c r="C12" t="str">
        <v>كونجستال شراب للأطفال 120 مل (congestal syrup 120 ml)</v>
      </c>
      <c r="D12" t="str">
        <v>chlorpheniramine+dextromethorphan+paracetamol(acetaminophen)+pseudoephedrine</v>
      </c>
      <c r="E12" t="str">
        <v>شراب</v>
      </c>
      <c r="F12" t="str">
        <v>120 مل</v>
      </c>
      <c r="G12" t="str">
        <v>sigma</v>
      </c>
      <c r="H12" t="str">
        <v>مسكنات وخافضات حرارة ومضادات التهاب</v>
      </c>
      <c r="I12" t="str">
        <v>رف A1 - مسكنات وخافضات حرارة</v>
      </c>
      <c r="J12" t="str">
        <v>قطعة</v>
      </c>
      <c r="K12">
        <v>44</v>
      </c>
      <c r="L12">
        <v>33.88</v>
      </c>
      <c r="M12">
        <v>20</v>
      </c>
      <c r="N12">
        <v>5</v>
      </c>
      <c r="O12" s="1">
        <f>K12-L12</f>
        <v>10.12</v>
      </c>
      <c r="P12" s="2">
        <f>IF(L12&gt;0,O12/L12,0)</f>
        <v>0.2987</v>
      </c>
      <c r="Q12" s="1">
        <f>L12*M12</f>
        <v>677.6</v>
      </c>
      <c r="R12" s="1">
        <f>K12*M12</f>
        <v>880</v>
      </c>
      <c r="S12" s="1">
        <f>R12-Q12</f>
        <v>202.4</v>
      </c>
      <c r="T12" t="str">
        <f>IF(M12=0,"نافد",IF(M12&lt;=N12,"قرب ينفد","متوفر"))</f>
        <v>متوفر</v>
      </c>
      <c r="U12" t="str">
        <v>فموي (Oral)</v>
      </c>
      <c r="V12" t="str">
        <v>فئة C (بحذر وإشراف طبي)</v>
      </c>
      <c r="W12" t="str">
        <v>لا</v>
      </c>
      <c r="X12" t="str">
        <v>لا</v>
      </c>
      <c r="Y12" t="str">
        <v>صرف مباشر (OTC)</v>
      </c>
      <c r="Z12">
        <v>1</v>
      </c>
      <c r="AA12">
        <v>0</v>
      </c>
      <c r="AB12" t="str">
        <v>MED-0069</v>
      </c>
    </row>
    <row r="13">
      <c r="A13">
        <v>10</v>
      </c>
      <c r="B13" t="str">
        <v>5011784004530</v>
      </c>
      <c r="C13" t="str">
        <v>دنتينوكس 2.65% نقط للمغص للاطفال 100 مل (dentinox 2.65% infant colic drops 100 ml)</v>
      </c>
      <c r="D13" t="str">
        <v>antifoam m</v>
      </c>
      <c r="E13" t="str">
        <v>نقط (فم / عين / أذن)</v>
      </c>
      <c r="F13" t="str">
        <v>2.65%</v>
      </c>
      <c r="G13" t="str">
        <v>d d d &gt; interpharma</v>
      </c>
      <c r="H13" t="str">
        <v>أدوية ومستحضرات طبية عامة</v>
      </c>
      <c r="I13" t="str">
        <v>رف عام - أدوية ومستحضرات</v>
      </c>
      <c r="J13" t="str">
        <v>قطعة</v>
      </c>
      <c r="K13">
        <v>103</v>
      </c>
      <c r="L13">
        <v>79.31</v>
      </c>
      <c r="M13">
        <v>20</v>
      </c>
      <c r="N13">
        <v>5</v>
      </c>
      <c r="O13" s="1">
        <f>K13-L13</f>
        <v>23.69</v>
      </c>
      <c r="P13" s="2">
        <f>IF(L13&gt;0,O13/L13,0)</f>
        <v>0.2987</v>
      </c>
      <c r="Q13" s="1">
        <f>L13*M13</f>
        <v>1586.2</v>
      </c>
      <c r="R13" s="1">
        <f>K13*M13</f>
        <v>2060</v>
      </c>
      <c r="S13" s="1">
        <f>R13-Q13</f>
        <v>473.8</v>
      </c>
      <c r="T13" t="str">
        <f>IF(M13=0,"نافد",IF(M13&lt;=N13,"قرب ينفد","متوفر"))</f>
        <v>متوفر</v>
      </c>
      <c r="U13" t="str">
        <v>قطرة عين / أذن (Drops)</v>
      </c>
      <c r="V13" t="str">
        <v>فئة B (آمن إلى حد كبير)</v>
      </c>
      <c r="W13" t="str">
        <v>لا</v>
      </c>
      <c r="X13" t="str">
        <v>لا</v>
      </c>
      <c r="Y13" t="str">
        <v>صرف مباشر (OTC)</v>
      </c>
      <c r="Z13">
        <v>1</v>
      </c>
      <c r="AA13">
        <v>0</v>
      </c>
      <c r="AB13" t="str">
        <v>MED-0070</v>
      </c>
    </row>
    <row r="14">
      <c r="A14">
        <v>11</v>
      </c>
      <c r="B14" t="str">
        <v>6221045008606</v>
      </c>
      <c r="C14" t="str">
        <v>زيرتك شراب 100 مل (zyrtec 0.1% syrup 100ml)</v>
      </c>
      <c r="D14" t="str">
        <v>cetirizine</v>
      </c>
      <c r="E14" t="str">
        <v>شراب</v>
      </c>
      <c r="F14" t="str">
        <v>100 مل</v>
      </c>
      <c r="G14" t="str">
        <v>glaxo smithkline</v>
      </c>
      <c r="H14" t="str">
        <v>مضادات الحساسية والهيستامين</v>
      </c>
      <c r="I14" t="str">
        <v>رف C2 - حساسية وهيستامين</v>
      </c>
      <c r="J14" t="str">
        <v>قطعة</v>
      </c>
      <c r="K14">
        <v>51</v>
      </c>
      <c r="L14">
        <v>39.27</v>
      </c>
      <c r="M14">
        <v>20</v>
      </c>
      <c r="N14">
        <v>5</v>
      </c>
      <c r="O14" s="1">
        <f>K14-L14</f>
        <v>11.73</v>
      </c>
      <c r="P14" s="2">
        <f>IF(L14&gt;0,O14/L14,0)</f>
        <v>0.2987</v>
      </c>
      <c r="Q14" s="1">
        <f>L14*M14</f>
        <v>785.4</v>
      </c>
      <c r="R14" s="1">
        <f>K14*M14</f>
        <v>1020</v>
      </c>
      <c r="S14" s="1">
        <f>R14-Q14</f>
        <v>234.6</v>
      </c>
      <c r="T14" t="str">
        <f>IF(M14=0,"نافد",IF(M14&lt;=N14,"قرب ينفد","متوفر"))</f>
        <v>متوفر</v>
      </c>
      <c r="U14" t="str">
        <v>فموي (Oral)</v>
      </c>
      <c r="V14" t="str">
        <v>فئة C (بحذر وإشراف طبي)</v>
      </c>
      <c r="W14" t="str">
        <v>لا</v>
      </c>
      <c r="X14" t="str">
        <v>لا</v>
      </c>
      <c r="Y14" t="str">
        <v>صرف مباشر (OTC)</v>
      </c>
      <c r="Z14">
        <v>1</v>
      </c>
      <c r="AA14">
        <v>0</v>
      </c>
      <c r="AB14" t="str">
        <v>MED-0071</v>
      </c>
    </row>
    <row r="15">
      <c r="A15">
        <v>12</v>
      </c>
      <c r="B15" t="str">
        <v>6221032250063</v>
      </c>
      <c r="C15" t="str">
        <v>سيتال لبوس 120مجم 5 اقماع (cetal 120 mg 5 infantile supp)</v>
      </c>
      <c r="D15" t="str">
        <v>paracetamol(acetaminophen)</v>
      </c>
      <c r="E15" t="str">
        <v>لبوس / تحاميل</v>
      </c>
      <c r="F15" t="str">
        <v>120مجم</v>
      </c>
      <c r="G15" t="str">
        <v>eipico</v>
      </c>
      <c r="H15" t="str">
        <v>مسكنات وخافضات حرارة ومضادات التهاب</v>
      </c>
      <c r="I15" t="str">
        <v>رف A1 - مسكنات وخافضات حرارة</v>
      </c>
      <c r="J15" t="str">
        <v>قطعة</v>
      </c>
      <c r="K15">
        <v>13</v>
      </c>
      <c r="L15">
        <v>10.01</v>
      </c>
      <c r="M15">
        <v>20</v>
      </c>
      <c r="N15">
        <v>5</v>
      </c>
      <c r="O15" s="1">
        <f>K15-L15</f>
        <v>2.99</v>
      </c>
      <c r="P15" s="2">
        <f>IF(L15&gt;0,O15/L15,0)</f>
        <v>0.2987</v>
      </c>
      <c r="Q15" s="1">
        <f>L15*M15</f>
        <v>200.2</v>
      </c>
      <c r="R15" s="1">
        <f>K15*M15</f>
        <v>260</v>
      </c>
      <c r="S15" s="1">
        <f>R15-Q15</f>
        <v>59.8</v>
      </c>
      <c r="T15" t="str">
        <f>IF(M15=0,"نافد",IF(M15&lt;=N15,"قرب ينفد","متوفر"))</f>
        <v>متوفر</v>
      </c>
      <c r="U15" t="str">
        <v>لبوس / شرجي (Rectal)</v>
      </c>
      <c r="V15" t="str">
        <v>فئة B (آمن إلى حد كبير)</v>
      </c>
      <c r="W15" t="str">
        <v>لا</v>
      </c>
      <c r="X15" t="str">
        <v>لا</v>
      </c>
      <c r="Y15" t="str">
        <v>صرف مباشر (OTC)</v>
      </c>
      <c r="Z15">
        <v>1</v>
      </c>
      <c r="AA15">
        <v>0</v>
      </c>
      <c r="AB15" t="str">
        <v>MED-0072</v>
      </c>
    </row>
    <row r="16">
      <c r="A16">
        <v>13</v>
      </c>
      <c r="B16" t="str">
        <v>6223002147199</v>
      </c>
      <c r="C16" t="str">
        <v>بيبي رينو شراب 100 مل (babyrhino syrup 100ml)</v>
      </c>
      <c r="D16" t="str">
        <v>chlorpheniramine+paracetamol(acetaminophen)+pseudoephedrine</v>
      </c>
      <c r="E16" t="str">
        <v>شراب</v>
      </c>
      <c r="F16" t="str">
        <v>100 مل</v>
      </c>
      <c r="G16" t="str">
        <v>global napi pharmaceuticals</v>
      </c>
      <c r="H16" t="str">
        <v>مسكنات وخافضات حرارة ومضادات التهاب</v>
      </c>
      <c r="I16" t="str">
        <v>رف A1 - مسكنات وخافضات حرارة</v>
      </c>
      <c r="J16" t="str">
        <v>قطعة</v>
      </c>
      <c r="K16">
        <v>7.5</v>
      </c>
      <c r="L16">
        <v>5.78</v>
      </c>
      <c r="M16">
        <v>20</v>
      </c>
      <c r="N16">
        <v>5</v>
      </c>
      <c r="O16" s="1">
        <f>K16-L16</f>
        <v>1.72</v>
      </c>
      <c r="P16" s="2">
        <f>IF(L16&gt;0,O16/L16,0)</f>
        <v>0.2976</v>
      </c>
      <c r="Q16" s="1">
        <f>L16*M16</f>
        <v>115.6</v>
      </c>
      <c r="R16" s="1">
        <f>K16*M16</f>
        <v>150</v>
      </c>
      <c r="S16" s="1">
        <f>R16-Q16</f>
        <v>34.4</v>
      </c>
      <c r="T16" t="str">
        <f>IF(M16=0,"نافد",IF(M16&lt;=N16,"قرب ينفد","متوفر"))</f>
        <v>متوفر</v>
      </c>
      <c r="U16" t="str">
        <v>فموي (Oral)</v>
      </c>
      <c r="V16" t="str">
        <v>فئة C (بحذر وإشراف طبي)</v>
      </c>
      <c r="W16" t="str">
        <v>لا</v>
      </c>
      <c r="X16" t="str">
        <v>لا</v>
      </c>
      <c r="Y16" t="str">
        <v>صرف مباشر (OTC)</v>
      </c>
      <c r="Z16">
        <v>1</v>
      </c>
      <c r="AA16">
        <v>0</v>
      </c>
      <c r="AB16" t="str">
        <v>MED-0073</v>
      </c>
    </row>
    <row r="17">
      <c r="A17">
        <v>14</v>
      </c>
      <c r="B17" t="str">
        <v>6220001052004</v>
      </c>
      <c r="C17" t="str">
        <v>فيزيومير بيبي هايبرتونيك بخاخ للانف 60 مل (physiomer baby hypertonic nasal spray 60ml)</v>
      </c>
      <c r="D17" t="str">
        <v>hypertonic seawater</v>
      </c>
      <c r="E17" t="str">
        <v>بخاخ / استنشاق</v>
      </c>
      <c r="F17" t="str">
        <v>60 مل</v>
      </c>
      <c r="G17" t="str">
        <v>laboratoire de la mer &gt; star international company</v>
      </c>
      <c r="H17" t="str">
        <v>أدوية ومستحضرات طبية عامة</v>
      </c>
      <c r="I17" t="str">
        <v>رف عام - أدوية ومستحضرات</v>
      </c>
      <c r="J17" t="str">
        <v>قطعة</v>
      </c>
      <c r="K17">
        <v>185</v>
      </c>
      <c r="L17">
        <v>142.45</v>
      </c>
      <c r="M17">
        <v>20</v>
      </c>
      <c r="N17">
        <v>5</v>
      </c>
      <c r="O17" s="1">
        <f>K17-L17</f>
        <v>42.55</v>
      </c>
      <c r="P17" s="2">
        <f>IF(L17&gt;0,O17/L17,0)</f>
        <v>0.2987</v>
      </c>
      <c r="Q17" s="1">
        <f>L17*M17</f>
        <v>2849</v>
      </c>
      <c r="R17" s="1">
        <f>K17*M17</f>
        <v>3700</v>
      </c>
      <c r="S17" s="1">
        <f>R17-Q17</f>
        <v>851</v>
      </c>
      <c r="T17" t="str">
        <f>IF(M17=0,"نافد",IF(M17&lt;=N17,"قرب ينفد","متوفر"))</f>
        <v>متوفر</v>
      </c>
      <c r="U17" t="str">
        <v>استنشاق (Inhalation)</v>
      </c>
      <c r="V17" t="str">
        <v>فئة B (آمن إلى حد كبير)</v>
      </c>
      <c r="W17" t="str">
        <v>لا</v>
      </c>
      <c r="X17" t="str">
        <v>لا</v>
      </c>
      <c r="Y17" t="str">
        <v>صرف مباشر (OTC)</v>
      </c>
      <c r="Z17">
        <v>1</v>
      </c>
      <c r="AA17">
        <v>0</v>
      </c>
      <c r="AB17" t="str">
        <v>MED-0074</v>
      </c>
    </row>
    <row r="18">
      <c r="A18">
        <v>15</v>
      </c>
      <c r="B18" t="str">
        <v>3564300031234</v>
      </c>
      <c r="C18" t="str">
        <v>فيزيومير بخاخ رضع 115 مل (physiomer baby mist nasal spray 115ml)</v>
      </c>
      <c r="D18" t="str">
        <v>natural undiluted and isotonic seawater</v>
      </c>
      <c r="E18" t="str">
        <v>بخاخ / استنشاق</v>
      </c>
      <c r="F18" t="str">
        <v>115 مل</v>
      </c>
      <c r="G18" t="str">
        <v>laboratoire de la mer &gt; star international company</v>
      </c>
      <c r="H18" t="str">
        <v>أدوية ومستحضرات طبية عامة</v>
      </c>
      <c r="I18" t="str">
        <v>رف عام - أدوية ومستحضرات</v>
      </c>
      <c r="J18" t="str">
        <v>قطعة</v>
      </c>
      <c r="K18">
        <v>400</v>
      </c>
      <c r="L18">
        <v>308</v>
      </c>
      <c r="M18">
        <v>20</v>
      </c>
      <c r="N18">
        <v>5</v>
      </c>
      <c r="O18" s="1">
        <f>K18-L18</f>
        <v>92</v>
      </c>
      <c r="P18" s="2">
        <f>IF(L18&gt;0,O18/L18,0)</f>
        <v>0.2987</v>
      </c>
      <c r="Q18" s="1">
        <f>L18*M18</f>
        <v>6160</v>
      </c>
      <c r="R18" s="1">
        <f>K18*M18</f>
        <v>8000</v>
      </c>
      <c r="S18" s="1">
        <f>R18-Q18</f>
        <v>1840</v>
      </c>
      <c r="T18" t="str">
        <f>IF(M18=0,"نافد",IF(M18&lt;=N18,"قرب ينفد","متوفر"))</f>
        <v>متوفر</v>
      </c>
      <c r="U18" t="str">
        <v>استنشاق (Inhalation)</v>
      </c>
      <c r="V18" t="str">
        <v>فئة B (آمن إلى حد كبير)</v>
      </c>
      <c r="W18" t="str">
        <v>لا</v>
      </c>
      <c r="X18" t="str">
        <v>لا</v>
      </c>
      <c r="Y18" t="str">
        <v>صرف مباشر (OTC)</v>
      </c>
      <c r="Z18">
        <v>1</v>
      </c>
      <c r="AA18">
        <v>0</v>
      </c>
      <c r="AB18" t="str">
        <v>MED-0075</v>
      </c>
    </row>
    <row r="19">
      <c r="A19">
        <v>16</v>
      </c>
      <c r="B19" t="str">
        <v>3564300001008</v>
      </c>
      <c r="C19" t="str">
        <v>فيزيومير بيبي ميست يونيدوز 30 عبوة 5 مل (physiomer baby mist unidoses 30 doses of 5ml)</v>
      </c>
      <c r="D19" t="str">
        <v>natural undiluted and isotonic seawater</v>
      </c>
      <c r="E19" t="str">
        <v>أقراص</v>
      </c>
      <c r="F19" t="str">
        <v>5 مل</v>
      </c>
      <c r="G19" t="str">
        <v>laboratoire de la mer &gt; star international company</v>
      </c>
      <c r="H19" t="str">
        <v>أدوية ومستحضرات طبية عامة</v>
      </c>
      <c r="I19" t="str">
        <v>رف عام - أدوية ومستحضرات</v>
      </c>
      <c r="J19" t="str">
        <v>علبة</v>
      </c>
      <c r="K19">
        <v>320</v>
      </c>
      <c r="L19">
        <v>246.4</v>
      </c>
      <c r="M19">
        <v>20</v>
      </c>
      <c r="N19">
        <v>5</v>
      </c>
      <c r="O19" s="1">
        <f>K19-L19</f>
        <v>73.6</v>
      </c>
      <c r="P19" s="2">
        <f>IF(L19&gt;0,O19/L19,0)</f>
        <v>0.2987</v>
      </c>
      <c r="Q19" s="1">
        <f>L19*M19</f>
        <v>4928</v>
      </c>
      <c r="R19" s="1">
        <f>K19*M19</f>
        <v>6400</v>
      </c>
      <c r="S19" s="1">
        <f>R19-Q19</f>
        <v>1472</v>
      </c>
      <c r="T19" t="str">
        <f>IF(M19=0,"نافد",IF(M19&lt;=N19,"قرب ينفد","متوفر"))</f>
        <v>متوفر</v>
      </c>
      <c r="U19" t="str">
        <v>فموي (Oral)</v>
      </c>
      <c r="V19" t="str">
        <v>فئة B (آمن إلى حد كبير)</v>
      </c>
      <c r="W19" t="str">
        <v>لا</v>
      </c>
      <c r="X19" t="str">
        <v>لا</v>
      </c>
      <c r="Y19" t="str">
        <v>صرف مباشر (OTC)</v>
      </c>
      <c r="Z19">
        <v>30</v>
      </c>
      <c r="AA19">
        <v>0</v>
      </c>
      <c r="AB19" t="str">
        <v>MED-0076</v>
      </c>
    </row>
    <row r="20">
      <c r="A20">
        <v>17</v>
      </c>
      <c r="B20" t="str">
        <v>3564300001046</v>
      </c>
      <c r="C20" t="str">
        <v>فيزيومير اوكاليبتوس بخاخ للانف 135 مل (physiomer eucalyptus nasal spray 135ml)</v>
      </c>
      <c r="D20" t="str">
        <v>natural seawater+hypertonic concentration of mineral salts+essential oil of eucalyptus globulus+natu</v>
      </c>
      <c r="E20" t="str">
        <v>بخاخ / استنشاق</v>
      </c>
      <c r="F20" t="str">
        <v>135 مل</v>
      </c>
      <c r="G20" t="str">
        <v>laboratoire de la mer &gt; star international company</v>
      </c>
      <c r="H20" t="str">
        <v>فيتامينات ومعادن ومكملات غذائية</v>
      </c>
      <c r="I20" t="str">
        <v>رف F1 - فيتامينات ومكملات</v>
      </c>
      <c r="J20" t="str">
        <v>قطعة</v>
      </c>
      <c r="K20">
        <v>350</v>
      </c>
      <c r="L20">
        <v>269.5</v>
      </c>
      <c r="M20">
        <v>20</v>
      </c>
      <c r="N20">
        <v>5</v>
      </c>
      <c r="O20" s="1">
        <f>K20-L20</f>
        <v>80.5</v>
      </c>
      <c r="P20" s="2">
        <f>IF(L20&gt;0,O20/L20,0)</f>
        <v>0.2987</v>
      </c>
      <c r="Q20" s="1">
        <f>L20*M20</f>
        <v>5390</v>
      </c>
      <c r="R20" s="1">
        <f>K20*M20</f>
        <v>7000</v>
      </c>
      <c r="S20" s="1">
        <f>R20-Q20</f>
        <v>1610</v>
      </c>
      <c r="T20" t="str">
        <f>IF(M20=0,"نافد",IF(M20&lt;=N20,"قرب ينفد","متوفر"))</f>
        <v>متوفر</v>
      </c>
      <c r="U20" t="str">
        <v>استنشاق (Inhalation)</v>
      </c>
      <c r="V20" t="str">
        <v>فئة B (آمن إلى حد كبير)</v>
      </c>
      <c r="W20" t="str">
        <v>لا</v>
      </c>
      <c r="X20" t="str">
        <v>لا</v>
      </c>
      <c r="Y20" t="str">
        <v>صرف مباشر (OTC)</v>
      </c>
      <c r="Z20">
        <v>1</v>
      </c>
      <c r="AA20">
        <v>0</v>
      </c>
      <c r="AB20" t="str">
        <v>MED-0077</v>
      </c>
    </row>
    <row r="21">
      <c r="A21">
        <v>18</v>
      </c>
      <c r="B21" t="str">
        <v>3564300001039</v>
      </c>
      <c r="C21" t="str">
        <v>فيزيومير هيبرتونيك سبراي للانف 135 مل (physiomer hypertonic nasal spray 135ml)</v>
      </c>
      <c r="D21" t="str">
        <v>natural undiluted seawater+hypertonic concentration of mineral salts</v>
      </c>
      <c r="E21" t="str">
        <v>بخاخ / استنشاق</v>
      </c>
      <c r="F21" t="str">
        <v>135 مل</v>
      </c>
      <c r="G21" t="str">
        <v>laboratoire de la mer &gt; star international company</v>
      </c>
      <c r="H21" t="str">
        <v>فيتامينات ومعادن ومكملات غذائية</v>
      </c>
      <c r="I21" t="str">
        <v>رف F1 - فيتامينات ومكملات</v>
      </c>
      <c r="J21" t="str">
        <v>قطعة</v>
      </c>
      <c r="K21">
        <v>350</v>
      </c>
      <c r="L21">
        <v>269.5</v>
      </c>
      <c r="M21">
        <v>20</v>
      </c>
      <c r="N21">
        <v>5</v>
      </c>
      <c r="O21" s="1">
        <f>K21-L21</f>
        <v>80.5</v>
      </c>
      <c r="P21" s="2">
        <f>IF(L21&gt;0,O21/L21,0)</f>
        <v>0.2987</v>
      </c>
      <c r="Q21" s="1">
        <f>L21*M21</f>
        <v>5390</v>
      </c>
      <c r="R21" s="1">
        <f>K21*M21</f>
        <v>7000</v>
      </c>
      <c r="S21" s="1">
        <f>R21-Q21</f>
        <v>1610</v>
      </c>
      <c r="T21" t="str">
        <f>IF(M21=0,"نافد",IF(M21&lt;=N21,"قرب ينفد","متوفر"))</f>
        <v>متوفر</v>
      </c>
      <c r="U21" t="str">
        <v>استنشاق (Inhalation)</v>
      </c>
      <c r="V21" t="str">
        <v>فئة B (آمن إلى حد كبير)</v>
      </c>
      <c r="W21" t="str">
        <v>لا</v>
      </c>
      <c r="X21" t="str">
        <v>لا</v>
      </c>
      <c r="Y21" t="str">
        <v>صرف مباشر (OTC)</v>
      </c>
      <c r="Z21">
        <v>1</v>
      </c>
      <c r="AA21">
        <v>0</v>
      </c>
      <c r="AB21" t="str">
        <v>MED-0078</v>
      </c>
    </row>
    <row r="22">
      <c r="A22">
        <v>19</v>
      </c>
      <c r="B22" t="str">
        <v>3564300001022</v>
      </c>
      <c r="C22" t="str">
        <v>فيزيومير هايبرتونيك بخاخ للانف 20 مل (physiomer hypertonic nasal spray 20ml)</v>
      </c>
      <c r="D22" t="str">
        <v>natural undiluted seawater+hypertonic concentration of mineral salts</v>
      </c>
      <c r="E22" t="str">
        <v>بخاخ / استنشاق</v>
      </c>
      <c r="F22" t="str">
        <v>20 مل</v>
      </c>
      <c r="G22" t="str">
        <v>laboratoire de la mer &gt; star international company</v>
      </c>
      <c r="H22" t="str">
        <v>فيتامينات ومعادن ومكملات غذائية</v>
      </c>
      <c r="I22" t="str">
        <v>رف F1 - فيتامينات ومكملات</v>
      </c>
      <c r="J22" t="str">
        <v>قطعة</v>
      </c>
      <c r="K22">
        <v>170</v>
      </c>
      <c r="L22">
        <v>130.9</v>
      </c>
      <c r="M22">
        <v>20</v>
      </c>
      <c r="N22">
        <v>5</v>
      </c>
      <c r="O22" s="1">
        <f>K22-L22</f>
        <v>39.1</v>
      </c>
      <c r="P22" s="2">
        <f>IF(L22&gt;0,O22/L22,0)</f>
        <v>0.2987</v>
      </c>
      <c r="Q22" s="1">
        <f>L22*M22</f>
        <v>2618</v>
      </c>
      <c r="R22" s="1">
        <f>K22*M22</f>
        <v>3400</v>
      </c>
      <c r="S22" s="1">
        <f>R22-Q22</f>
        <v>782</v>
      </c>
      <c r="T22" t="str">
        <f>IF(M22=0,"نافد",IF(M22&lt;=N22,"قرب ينفد","متوفر"))</f>
        <v>متوفر</v>
      </c>
      <c r="U22" t="str">
        <v>استنشاق (Inhalation)</v>
      </c>
      <c r="V22" t="str">
        <v>فئة B (آمن إلى حد كبير)</v>
      </c>
      <c r="W22" t="str">
        <v>لا</v>
      </c>
      <c r="X22" t="str">
        <v>لا</v>
      </c>
      <c r="Y22" t="str">
        <v>صرف مباشر (OTC)</v>
      </c>
      <c r="Z22">
        <v>1</v>
      </c>
      <c r="AA22">
        <v>0</v>
      </c>
      <c r="AB22" t="str">
        <v>MED-0079</v>
      </c>
    </row>
    <row r="23">
      <c r="A23">
        <v>20</v>
      </c>
      <c r="B23" t="str">
        <v>3564300000025</v>
      </c>
      <c r="C23" t="str">
        <v>فيزيومير استنشاق للانف اسبيريتور (physiomer nasal aspirator)</v>
      </c>
      <c r="D23" t="str">
        <v>مادة فعالة طبية</v>
      </c>
      <c r="E23" t="str">
        <v>بخاخ / استنشاق</v>
      </c>
      <c r="F23" t="str">
        <v>قياسي</v>
      </c>
      <c r="G23" t="str">
        <v>laboratoire de la mer &gt; star international company</v>
      </c>
      <c r="H23" t="str">
        <v>أدوية ومستحضرات طبية عامة</v>
      </c>
      <c r="I23" t="str">
        <v>رف عام - أدوية ومستحضرات</v>
      </c>
      <c r="J23" t="str">
        <v>قطعة</v>
      </c>
      <c r="K23">
        <v>300</v>
      </c>
      <c r="L23">
        <v>231</v>
      </c>
      <c r="M23">
        <v>20</v>
      </c>
      <c r="N23">
        <v>5</v>
      </c>
      <c r="O23" s="1">
        <f>K23-L23</f>
        <v>69</v>
      </c>
      <c r="P23" s="2">
        <f>IF(L23&gt;0,O23/L23,0)</f>
        <v>0.2987</v>
      </c>
      <c r="Q23" s="1">
        <f>L23*M23</f>
        <v>4620</v>
      </c>
      <c r="R23" s="1">
        <f>K23*M23</f>
        <v>6000</v>
      </c>
      <c r="S23" s="1">
        <f>R23-Q23</f>
        <v>1380</v>
      </c>
      <c r="T23" t="str">
        <f>IF(M23=0,"نافد",IF(M23&lt;=N23,"قرب ينفد","متوفر"))</f>
        <v>متوفر</v>
      </c>
      <c r="U23" t="str">
        <v>استنشاق (Inhalation)</v>
      </c>
      <c r="V23" t="str">
        <v>فئة B (آمن إلى حد كبير)</v>
      </c>
      <c r="W23" t="str">
        <v>لا</v>
      </c>
      <c r="X23" t="str">
        <v>لا</v>
      </c>
      <c r="Y23" t="str">
        <v>صرف مباشر (OTC)</v>
      </c>
      <c r="Z23">
        <v>1</v>
      </c>
      <c r="AA23">
        <v>0</v>
      </c>
      <c r="AB23" t="str">
        <v>MED-0080</v>
      </c>
    </row>
    <row r="24">
      <c r="A24">
        <v>21</v>
      </c>
      <c r="B24" t="str">
        <v>3564300031258</v>
      </c>
      <c r="C24" t="str">
        <v>فيزيومير نورمال جيت بخاخ للانف 135 مل (physiomer normal jet nasal spray 135ml)</v>
      </c>
      <c r="D24" t="str">
        <v>natural undiluted and isotonic seawater</v>
      </c>
      <c r="E24" t="str">
        <v>بخاخ / استنشاق</v>
      </c>
      <c r="F24" t="str">
        <v>135 مل</v>
      </c>
      <c r="G24" t="str">
        <v>laboratoire de la mer &gt; star international company</v>
      </c>
      <c r="H24" t="str">
        <v>أدوية ومستحضرات طبية عامة</v>
      </c>
      <c r="I24" t="str">
        <v>رف عام - أدوية ومستحضرات</v>
      </c>
      <c r="J24" t="str">
        <v>قطعة</v>
      </c>
      <c r="K24">
        <v>350</v>
      </c>
      <c r="L24">
        <v>269.5</v>
      </c>
      <c r="M24">
        <v>20</v>
      </c>
      <c r="N24">
        <v>5</v>
      </c>
      <c r="O24" s="1">
        <f>K24-L24</f>
        <v>80.5</v>
      </c>
      <c r="P24" s="2">
        <f>IF(L24&gt;0,O24/L24,0)</f>
        <v>0.2987</v>
      </c>
      <c r="Q24" s="1">
        <f>L24*M24</f>
        <v>5390</v>
      </c>
      <c r="R24" s="1">
        <f>K24*M24</f>
        <v>7000</v>
      </c>
      <c r="S24" s="1">
        <f>R24-Q24</f>
        <v>1610</v>
      </c>
      <c r="T24" t="str">
        <f>IF(M24=0,"نافد",IF(M24&lt;=N24,"قرب ينفد","متوفر"))</f>
        <v>متوفر</v>
      </c>
      <c r="U24" t="str">
        <v>استنشاق (Inhalation)</v>
      </c>
      <c r="V24" t="str">
        <v>فئة B (آمن إلى حد كبير)</v>
      </c>
      <c r="W24" t="str">
        <v>لا</v>
      </c>
      <c r="X24" t="str">
        <v>لا</v>
      </c>
      <c r="Y24" t="str">
        <v>صرف مباشر (OTC)</v>
      </c>
      <c r="Z24">
        <v>1</v>
      </c>
      <c r="AA24">
        <v>0</v>
      </c>
      <c r="AB24" t="str">
        <v>MED-0081</v>
      </c>
    </row>
    <row r="25">
      <c r="A25">
        <v>22</v>
      </c>
      <c r="B25" t="str">
        <v>3564300001015</v>
      </c>
      <c r="C25" t="str">
        <v>فيزيومير سترونج جيت بخاخ للانف 210 مل (physiomer strong jet nasal spray 210ml)</v>
      </c>
      <c r="D25" t="str">
        <v>natural undiluted and isotonic seawater</v>
      </c>
      <c r="E25" t="str">
        <v>بخاخ / استنشاق</v>
      </c>
      <c r="F25" t="str">
        <v>210 مل</v>
      </c>
      <c r="G25" t="str">
        <v>laboratoire de la mer &gt; star international company</v>
      </c>
      <c r="H25" t="str">
        <v>أدوية ومستحضرات طبية عامة</v>
      </c>
      <c r="I25" t="str">
        <v>رف عام - أدوية ومستحضرات</v>
      </c>
      <c r="J25" t="str">
        <v>قطعة</v>
      </c>
      <c r="K25">
        <v>350</v>
      </c>
      <c r="L25">
        <v>269.5</v>
      </c>
      <c r="M25">
        <v>20</v>
      </c>
      <c r="N25">
        <v>5</v>
      </c>
      <c r="O25" s="1">
        <f>K25-L25</f>
        <v>80.5</v>
      </c>
      <c r="P25" s="2">
        <f>IF(L25&gt;0,O25/L25,0)</f>
        <v>0.2987</v>
      </c>
      <c r="Q25" s="1">
        <f>L25*M25</f>
        <v>5390</v>
      </c>
      <c r="R25" s="1">
        <f>K25*M25</f>
        <v>7000</v>
      </c>
      <c r="S25" s="1">
        <f>R25-Q25</f>
        <v>1610</v>
      </c>
      <c r="T25" t="str">
        <f>IF(M25=0,"نافد",IF(M25&lt;=N25,"قرب ينفد","متوفر"))</f>
        <v>متوفر</v>
      </c>
      <c r="U25" t="str">
        <v>استنشاق (Inhalation)</v>
      </c>
      <c r="V25" t="str">
        <v>فئة B (آمن إلى حد كبير)</v>
      </c>
      <c r="W25" t="str">
        <v>لا</v>
      </c>
      <c r="X25" t="str">
        <v>لا</v>
      </c>
      <c r="Y25" t="str">
        <v>صرف مباشر (OTC)</v>
      </c>
      <c r="Z25">
        <v>1</v>
      </c>
      <c r="AA25">
        <v>0</v>
      </c>
      <c r="AB25" t="str">
        <v>MED-0082</v>
      </c>
    </row>
    <row r="26">
      <c r="A26">
        <v>23</v>
      </c>
      <c r="B26" t="str">
        <v>6220001015719</v>
      </c>
      <c r="C26" t="str">
        <v>ايفيلونان 120 مل شراب (ivylonan 120 ml syrup)</v>
      </c>
      <c r="D26" t="str">
        <v>ivy leaf extract+propylene glycol</v>
      </c>
      <c r="E26" t="str">
        <v>شراب</v>
      </c>
      <c r="F26" t="str">
        <v>120 مل</v>
      </c>
      <c r="G26" t="str">
        <v>rixos</v>
      </c>
      <c r="H26" t="str">
        <v>أدوية نزلات البرد والإنفلونزا</v>
      </c>
      <c r="I26" t="str">
        <v>رف C1 - برد وكحة ونزلات</v>
      </c>
      <c r="J26" t="str">
        <v>قطعة</v>
      </c>
      <c r="K26">
        <v>48</v>
      </c>
      <c r="L26">
        <v>36.96</v>
      </c>
      <c r="M26">
        <v>20</v>
      </c>
      <c r="N26">
        <v>5</v>
      </c>
      <c r="O26" s="1">
        <f>K26-L26</f>
        <v>11.04</v>
      </c>
      <c r="P26" s="2">
        <f>IF(L26&gt;0,O26/L26,0)</f>
        <v>0.2987</v>
      </c>
      <c r="Q26" s="1">
        <f>L26*M26</f>
        <v>739.2</v>
      </c>
      <c r="R26" s="1">
        <f>K26*M26</f>
        <v>960</v>
      </c>
      <c r="S26" s="1">
        <f>R26-Q26</f>
        <v>220.8</v>
      </c>
      <c r="T26" t="str">
        <f>IF(M26=0,"نافد",IF(M26&lt;=N26,"قرب ينفد","متوفر"))</f>
        <v>متوفر</v>
      </c>
      <c r="U26" t="str">
        <v>فموي (Oral)</v>
      </c>
      <c r="V26" t="str">
        <v>فئة C (بحذر وإشراف طبي)</v>
      </c>
      <c r="W26" t="str">
        <v>لا</v>
      </c>
      <c r="X26" t="str">
        <v>لا</v>
      </c>
      <c r="Y26" t="str">
        <v>صرف مباشر (OTC)</v>
      </c>
      <c r="Z26">
        <v>1</v>
      </c>
      <c r="AA26">
        <v>0</v>
      </c>
      <c r="AB26" t="str">
        <v>MED-0083</v>
      </c>
    </row>
    <row r="27">
      <c r="A27">
        <v>24</v>
      </c>
      <c r="B27" t="str">
        <v>6220001039579</v>
      </c>
      <c r="C27" t="str">
        <v>نان 1 لبن اطفال 800 جم (nan 1 milk 800 gm)</v>
      </c>
      <c r="D27" t="str">
        <v>milk formula stage 1</v>
      </c>
      <c r="E27" t="str">
        <v>أقراص</v>
      </c>
      <c r="F27" t="str">
        <v>800 g</v>
      </c>
      <c r="G27" t="str">
        <v>nestle</v>
      </c>
      <c r="H27" t="str">
        <v>أدوية ومستحضرات طبية عامة</v>
      </c>
      <c r="I27" t="str">
        <v>رف عام - أدوية ومستحضرات</v>
      </c>
      <c r="J27" t="str">
        <v>علبة</v>
      </c>
      <c r="K27">
        <v>665</v>
      </c>
      <c r="L27">
        <v>512.05</v>
      </c>
      <c r="M27">
        <v>20</v>
      </c>
      <c r="N27">
        <v>5</v>
      </c>
      <c r="O27" s="1">
        <f>K27-L27</f>
        <v>152.95</v>
      </c>
      <c r="P27" s="2">
        <f>IF(L27&gt;0,O27/L27,0)</f>
        <v>0.2987</v>
      </c>
      <c r="Q27" s="1">
        <f>L27*M27</f>
        <v>10241</v>
      </c>
      <c r="R27" s="1">
        <f>K27*M27</f>
        <v>13300</v>
      </c>
      <c r="S27" s="1">
        <f>R27-Q27</f>
        <v>3059</v>
      </c>
      <c r="T27" t="str">
        <f>IF(M27=0,"نافد",IF(M27&lt;=N27,"قرب ينفد","متوفر"))</f>
        <v>متوفر</v>
      </c>
      <c r="U27" t="str">
        <v>فموي (Oral)</v>
      </c>
      <c r="V27" t="str">
        <v>فئة B (آمن إلى حد كبير)</v>
      </c>
      <c r="W27" t="str">
        <v>لا</v>
      </c>
      <c r="X27" t="str">
        <v>لا</v>
      </c>
      <c r="Y27" t="str">
        <v>صرف مباشر (OTC)</v>
      </c>
      <c r="Z27">
        <v>1</v>
      </c>
      <c r="AA27">
        <v>0</v>
      </c>
      <c r="AB27" t="str">
        <v>MED-0084</v>
      </c>
    </row>
    <row r="28">
      <c r="A28">
        <v>25</v>
      </c>
      <c r="B28" t="str">
        <v>6223000013267</v>
      </c>
      <c r="C28" t="str">
        <v>دنتوكايين 7.5% جل للاسنان 10 جم (dentocaine 7.5% dental gel 10 gm)</v>
      </c>
      <c r="D28" t="str">
        <v>benzocaine</v>
      </c>
      <c r="E28" t="str">
        <v>جل موضعي</v>
      </c>
      <c r="F28" t="str">
        <v>7.5%</v>
      </c>
      <c r="G28" t="str">
        <v>pharco</v>
      </c>
      <c r="H28" t="str">
        <v>مسكنات وخافضات حرارة ومضادات التهاب</v>
      </c>
      <c r="I28" t="str">
        <v>رف A1 - مسكنات وخافضات حرارة</v>
      </c>
      <c r="J28" t="str">
        <v>قطعة</v>
      </c>
      <c r="K28">
        <v>4</v>
      </c>
      <c r="L28">
        <v>3.08</v>
      </c>
      <c r="M28">
        <v>20</v>
      </c>
      <c r="N28">
        <v>5</v>
      </c>
      <c r="O28" s="1">
        <f>K28-L28</f>
        <v>0.92</v>
      </c>
      <c r="P28" s="2">
        <f>IF(L28&gt;0,O28/L28,0)</f>
        <v>0.2987</v>
      </c>
      <c r="Q28" s="1">
        <f>L28*M28</f>
        <v>61.6</v>
      </c>
      <c r="R28" s="1">
        <f>K28*M28</f>
        <v>80</v>
      </c>
      <c r="S28" s="1">
        <f>R28-Q28</f>
        <v>18.4</v>
      </c>
      <c r="T28" t="str">
        <f>IF(M28=0,"نافد",IF(M28&lt;=N28,"قرب ينفد","متوفر"))</f>
        <v>متوفر</v>
      </c>
      <c r="U28" t="str">
        <v>موضعي (Topical)</v>
      </c>
      <c r="V28" t="str">
        <v>فئة B (آمن إلى حد كبير)</v>
      </c>
      <c r="W28" t="str">
        <v>لا</v>
      </c>
      <c r="X28" t="str">
        <v>لا</v>
      </c>
      <c r="Y28" t="str">
        <v>صرف مباشر (OTC)</v>
      </c>
      <c r="Z28">
        <v>1</v>
      </c>
      <c r="AA28">
        <v>0</v>
      </c>
      <c r="AB28" t="str">
        <v>MED-0085</v>
      </c>
    </row>
    <row r="29">
      <c r="A29">
        <v>26</v>
      </c>
      <c r="B29" t="str">
        <v>6223002539031</v>
      </c>
      <c r="C29" t="str">
        <v>ديبوردنت معجون اسنان 13 مل (depurdent tooth paste 13 ml)</v>
      </c>
      <c r="D29" t="str">
        <v>pumicis+propylene glycol+sident+titanium dioxide+glycerin+c.m.c+sodium lauryl sulphate+polyethylene+</v>
      </c>
      <c r="E29" t="str">
        <v>أقراص</v>
      </c>
      <c r="F29" t="str">
        <v>13 مل</v>
      </c>
      <c r="G29" t="str">
        <v>sesic &gt; dr. wild &amp; co. ltd.</v>
      </c>
      <c r="H29" t="str">
        <v>أدوية ومستحضرات طبية عامة</v>
      </c>
      <c r="I29" t="str">
        <v>رف عام - أدوية ومستحضرات</v>
      </c>
      <c r="J29" t="str">
        <v>علبة</v>
      </c>
      <c r="K29">
        <v>45</v>
      </c>
      <c r="L29">
        <v>34.65</v>
      </c>
      <c r="M29">
        <v>20</v>
      </c>
      <c r="N29">
        <v>5</v>
      </c>
      <c r="O29" s="1">
        <f>K29-L29</f>
        <v>10.35</v>
      </c>
      <c r="P29" s="2">
        <f>IF(L29&gt;0,O29/L29,0)</f>
        <v>0.2987</v>
      </c>
      <c r="Q29" s="1">
        <f>L29*M29</f>
        <v>693</v>
      </c>
      <c r="R29" s="1">
        <f>K29*M29</f>
        <v>900</v>
      </c>
      <c r="S29" s="1">
        <f>R29-Q29</f>
        <v>207</v>
      </c>
      <c r="T29" t="str">
        <f>IF(M29=0,"نافد",IF(M29&lt;=N29,"قرب ينفد","متوفر"))</f>
        <v>متوفر</v>
      </c>
      <c r="U29" t="str">
        <v>فموي (Oral)</v>
      </c>
      <c r="V29" t="str">
        <v>فئة C (بحذر وإشراف طبي)</v>
      </c>
      <c r="W29" t="str">
        <v>لا</v>
      </c>
      <c r="X29" t="str">
        <v>لا</v>
      </c>
      <c r="Y29" t="str">
        <v>صرف مباشر (OTC)</v>
      </c>
      <c r="Z29">
        <v>1</v>
      </c>
      <c r="AA29">
        <v>0</v>
      </c>
      <c r="AB29" t="str">
        <v>MED-0086</v>
      </c>
    </row>
    <row r="30">
      <c r="A30">
        <v>27</v>
      </c>
      <c r="B30" t="str">
        <v>7613036705448</v>
      </c>
      <c r="C30" t="str">
        <v>نان 1 لبن اطفال 400 جرام (nan 1 milk 400 gm)</v>
      </c>
      <c r="D30" t="str">
        <v>milk formula stage 1</v>
      </c>
      <c r="E30" t="str">
        <v>أقراص</v>
      </c>
      <c r="F30" t="str">
        <v>400 g</v>
      </c>
      <c r="G30" t="str">
        <v>nestle</v>
      </c>
      <c r="H30" t="str">
        <v>أدوية ومستحضرات طبية عامة</v>
      </c>
      <c r="I30" t="str">
        <v>رف عام - أدوية ومستحضرات</v>
      </c>
      <c r="J30" t="str">
        <v>علبة</v>
      </c>
      <c r="K30">
        <v>370</v>
      </c>
      <c r="L30">
        <v>284.9</v>
      </c>
      <c r="M30">
        <v>20</v>
      </c>
      <c r="N30">
        <v>5</v>
      </c>
      <c r="O30" s="1">
        <f>K30-L30</f>
        <v>85.1</v>
      </c>
      <c r="P30" s="2">
        <f>IF(L30&gt;0,O30/L30,0)</f>
        <v>0.2987</v>
      </c>
      <c r="Q30" s="1">
        <f>L30*M30</f>
        <v>5698</v>
      </c>
      <c r="R30" s="1">
        <f>K30*M30</f>
        <v>7400</v>
      </c>
      <c r="S30" s="1">
        <f>R30-Q30</f>
        <v>1702</v>
      </c>
      <c r="T30" t="str">
        <f>IF(M30=0,"نافد",IF(M30&lt;=N30,"قرب ينفد","متوفر"))</f>
        <v>متوفر</v>
      </c>
      <c r="U30" t="str">
        <v>فموي (Oral)</v>
      </c>
      <c r="V30" t="str">
        <v>فئة B (آمن إلى حد كبير)</v>
      </c>
      <c r="W30" t="str">
        <v>لا</v>
      </c>
      <c r="X30" t="str">
        <v>لا</v>
      </c>
      <c r="Y30" t="str">
        <v>صرف مباشر (OTC)</v>
      </c>
      <c r="Z30">
        <v>1</v>
      </c>
      <c r="AA30">
        <v>0</v>
      </c>
      <c r="AB30" t="str">
        <v>MED-0087</v>
      </c>
    </row>
    <row r="31">
      <c r="A31">
        <v>28</v>
      </c>
      <c r="B31" t="str">
        <v>6223003970291</v>
      </c>
      <c r="C31" t="str">
        <v>تيرجينان 10 اقراص مهبلية (tergynan 10 vaginal tabs)</v>
      </c>
      <c r="D31" t="str">
        <v>nystatin+neomycin+prednisolone+ternidazole</v>
      </c>
      <c r="E31" t="str">
        <v>أقراص</v>
      </c>
      <c r="F31" t="str">
        <v>قياسي</v>
      </c>
      <c r="G31" t="str">
        <v>rameda &gt; laboratoires of doctor e.bouchara</v>
      </c>
      <c r="H31" t="str">
        <v>أدوية ومستحضرات طبية عامة</v>
      </c>
      <c r="I31" t="str">
        <v>رف عام - أدوية ومستحضرات</v>
      </c>
      <c r="J31" t="str">
        <v>علبة</v>
      </c>
      <c r="K31">
        <v>26</v>
      </c>
      <c r="L31">
        <v>20.02</v>
      </c>
      <c r="M31">
        <v>20</v>
      </c>
      <c r="N31">
        <v>5</v>
      </c>
      <c r="O31" s="1">
        <f>K31-L31</f>
        <v>5.98</v>
      </c>
      <c r="P31" s="2">
        <f>IF(L31&gt;0,O31/L31,0)</f>
        <v>0.2987</v>
      </c>
      <c r="Q31" s="1">
        <f>L31*M31</f>
        <v>400.4</v>
      </c>
      <c r="R31" s="1">
        <f>K31*M31</f>
        <v>520</v>
      </c>
      <c r="S31" s="1">
        <f>R31-Q31</f>
        <v>119.6</v>
      </c>
      <c r="T31" t="str">
        <f>IF(M31=0,"نافد",IF(M31&lt;=N31,"قرب ينفد","متوفر"))</f>
        <v>متوفر</v>
      </c>
      <c r="U31" t="str">
        <v>فموي (Oral)</v>
      </c>
      <c r="V31" t="str">
        <v>فئة B (آمن إلى حد كبير)</v>
      </c>
      <c r="W31" t="str">
        <v>لا</v>
      </c>
      <c r="X31" t="str">
        <v>لا</v>
      </c>
      <c r="Y31" t="str">
        <v>صرف مباشر (OTC)</v>
      </c>
      <c r="Z31">
        <v>1</v>
      </c>
      <c r="AA31">
        <v>0</v>
      </c>
      <c r="AB31" t="str">
        <v>MED-0088</v>
      </c>
    </row>
    <row r="32">
      <c r="A32">
        <v>29</v>
      </c>
      <c r="B32" t="str">
        <v>6805699958663</v>
      </c>
      <c r="C32" t="str">
        <v>كوريجا سوبر كريم مثبت لاطقم الاسنان 20 جم (corega super taste denture adhesive cream 20 gm)</v>
      </c>
      <c r="D32" t="str">
        <v>مادة فعالة طبية</v>
      </c>
      <c r="E32" t="str">
        <v>كريم</v>
      </c>
      <c r="F32" t="str">
        <v>20 g</v>
      </c>
      <c r="G32" t="str">
        <v>glaxosmithkline (gsk)</v>
      </c>
      <c r="H32" t="str">
        <v>أدوية ومستحضرات طبية عامة</v>
      </c>
      <c r="I32" t="str">
        <v>رف عام - أدوية ومستحضرات</v>
      </c>
      <c r="J32" t="str">
        <v>قطعة</v>
      </c>
      <c r="K32">
        <v>150</v>
      </c>
      <c r="L32">
        <v>115.5</v>
      </c>
      <c r="M32">
        <v>20</v>
      </c>
      <c r="N32">
        <v>5</v>
      </c>
      <c r="O32" s="1">
        <f>K32-L32</f>
        <v>34.5</v>
      </c>
      <c r="P32" s="2">
        <f>IF(L32&gt;0,O32/L32,0)</f>
        <v>0.2987</v>
      </c>
      <c r="Q32" s="1">
        <f>L32*M32</f>
        <v>2310</v>
      </c>
      <c r="R32" s="1">
        <f>K32*M32</f>
        <v>3000</v>
      </c>
      <c r="S32" s="1">
        <f>R32-Q32</f>
        <v>690</v>
      </c>
      <c r="T32" t="str">
        <f>IF(M32=0,"نافد",IF(M32&lt;=N32,"قرب ينفد","متوفر"))</f>
        <v>متوفر</v>
      </c>
      <c r="U32" t="str">
        <v>موضعي (Topical)</v>
      </c>
      <c r="V32" t="str">
        <v>فئة B (آمن إلى حد كبير)</v>
      </c>
      <c r="W32" t="str">
        <v>لا</v>
      </c>
      <c r="X32" t="str">
        <v>لا</v>
      </c>
      <c r="Y32" t="str">
        <v>صرف مباشر (OTC)</v>
      </c>
      <c r="Z32">
        <v>1</v>
      </c>
      <c r="AA32">
        <v>0</v>
      </c>
      <c r="AB32" t="str">
        <v>MED-0089</v>
      </c>
    </row>
    <row r="33">
      <c r="A33">
        <v>30</v>
      </c>
      <c r="B33" t="str">
        <v>3574661197326</v>
      </c>
      <c r="C33" t="str">
        <v>ليسترين توتال كير لحماية الاسنان 250 مل (listerine totalcare teeth protect 250 ml)</v>
      </c>
      <c r="D33" t="str">
        <v>مادة فعالة طبية</v>
      </c>
      <c r="E33" t="str">
        <v>أقراص</v>
      </c>
      <c r="F33" t="str">
        <v>250 مل</v>
      </c>
      <c r="G33" t="str">
        <v>johnson &amp; johnson consumer &gt; johnson &amp; johnson scientific office</v>
      </c>
      <c r="H33" t="str">
        <v>أدوية ومستحضرات طبية عامة</v>
      </c>
      <c r="I33" t="str">
        <v>رف عام - أدوية ومستحضرات</v>
      </c>
      <c r="J33" t="str">
        <v>علبة</v>
      </c>
      <c r="K33">
        <v>112</v>
      </c>
      <c r="L33">
        <v>86.24</v>
      </c>
      <c r="M33">
        <v>20</v>
      </c>
      <c r="N33">
        <v>5</v>
      </c>
      <c r="O33" s="1">
        <f>K33-L33</f>
        <v>25.76</v>
      </c>
      <c r="P33" s="2">
        <f>IF(L33&gt;0,O33/L33,0)</f>
        <v>0.2987</v>
      </c>
      <c r="Q33" s="1">
        <f>L33*M33</f>
        <v>1724.8</v>
      </c>
      <c r="R33" s="1">
        <f>K33*M33</f>
        <v>2240</v>
      </c>
      <c r="S33" s="1">
        <f>R33-Q33</f>
        <v>515.2</v>
      </c>
      <c r="T33" t="str">
        <f>IF(M33=0,"نافد",IF(M33&lt;=N33,"قرب ينفد","متوفر"))</f>
        <v>متوفر</v>
      </c>
      <c r="U33" t="str">
        <v>فموي (Oral)</v>
      </c>
      <c r="V33" t="str">
        <v>فئة B (آمن إلى حد كبير)</v>
      </c>
      <c r="W33" t="str">
        <v>لا</v>
      </c>
      <c r="X33" t="str">
        <v>لا</v>
      </c>
      <c r="Y33" t="str">
        <v>صرف مباشر (OTC)</v>
      </c>
      <c r="Z33">
        <v>1</v>
      </c>
      <c r="AA33">
        <v>0</v>
      </c>
      <c r="AB33" t="str">
        <v>MED-0090</v>
      </c>
    </row>
    <row r="34">
      <c r="A34">
        <v>31</v>
      </c>
      <c r="B34" t="str">
        <v>6220001039586</v>
      </c>
      <c r="C34" t="str">
        <v>نان 2 لبن اطفال 800 جم (nan 2 milk 800 gm)</v>
      </c>
      <c r="D34" t="str">
        <v>milk formula stage 2</v>
      </c>
      <c r="E34" t="str">
        <v>أقراص</v>
      </c>
      <c r="F34" t="str">
        <v>800 g</v>
      </c>
      <c r="G34" t="str">
        <v>nestle</v>
      </c>
      <c r="H34" t="str">
        <v>أدوية ومستحضرات طبية عامة</v>
      </c>
      <c r="I34" t="str">
        <v>رف عام - أدوية ومستحضرات</v>
      </c>
      <c r="J34" t="str">
        <v>علبة</v>
      </c>
      <c r="K34">
        <v>665</v>
      </c>
      <c r="L34">
        <v>512.05</v>
      </c>
      <c r="M34">
        <v>20</v>
      </c>
      <c r="N34">
        <v>5</v>
      </c>
      <c r="O34" s="1">
        <f>K34-L34</f>
        <v>152.95</v>
      </c>
      <c r="P34" s="2">
        <f>IF(L34&gt;0,O34/L34,0)</f>
        <v>0.2987</v>
      </c>
      <c r="Q34" s="1">
        <f>L34*M34</f>
        <v>10241</v>
      </c>
      <c r="R34" s="1">
        <f>K34*M34</f>
        <v>13300</v>
      </c>
      <c r="S34" s="1">
        <f>R34-Q34</f>
        <v>3059</v>
      </c>
      <c r="T34" t="str">
        <f>IF(M34=0,"نافد",IF(M34&lt;=N34,"قرب ينفد","متوفر"))</f>
        <v>متوفر</v>
      </c>
      <c r="U34" t="str">
        <v>فموي (Oral)</v>
      </c>
      <c r="V34" t="str">
        <v>فئة B (آمن إلى حد كبير)</v>
      </c>
      <c r="W34" t="str">
        <v>لا</v>
      </c>
      <c r="X34" t="str">
        <v>لا</v>
      </c>
      <c r="Y34" t="str">
        <v>صرف مباشر (OTC)</v>
      </c>
      <c r="Z34">
        <v>1</v>
      </c>
      <c r="AA34">
        <v>0</v>
      </c>
      <c r="AB34" t="str">
        <v>MED-0091</v>
      </c>
    </row>
    <row r="35">
      <c r="A35">
        <v>32</v>
      </c>
      <c r="B35" t="str">
        <v>6223002538805</v>
      </c>
      <c r="C35" t="str">
        <v>ديبوردنت معجون أسنان 25 مل (depurdent tooth paste 25 ml)</v>
      </c>
      <c r="D35" t="str">
        <v>pumicis+propylene glycol+sident+titanium dioxide+glycerin+c.m.c+sodium lauryl sulphate+polyethylene+</v>
      </c>
      <c r="E35" t="str">
        <v>أقراص</v>
      </c>
      <c r="F35" t="str">
        <v>25 مل</v>
      </c>
      <c r="G35" t="str">
        <v>sesic &gt; dr. wild &amp; co. ltd.</v>
      </c>
      <c r="H35" t="str">
        <v>أدوية ومستحضرات طبية عامة</v>
      </c>
      <c r="I35" t="str">
        <v>رف عام - أدوية ومستحضرات</v>
      </c>
      <c r="J35" t="str">
        <v>علبة</v>
      </c>
      <c r="K35">
        <v>60</v>
      </c>
      <c r="L35">
        <v>46.2</v>
      </c>
      <c r="M35">
        <v>20</v>
      </c>
      <c r="N35">
        <v>5</v>
      </c>
      <c r="O35" s="1">
        <f>K35-L35</f>
        <v>13.8</v>
      </c>
      <c r="P35" s="2">
        <f>IF(L35&gt;0,O35/L35,0)</f>
        <v>0.2987</v>
      </c>
      <c r="Q35" s="1">
        <f>L35*M35</f>
        <v>924</v>
      </c>
      <c r="R35" s="1">
        <f>K35*M35</f>
        <v>1200</v>
      </c>
      <c r="S35" s="1">
        <f>R35-Q35</f>
        <v>276</v>
      </c>
      <c r="T35" t="str">
        <f>IF(M35=0,"نافد",IF(M35&lt;=N35,"قرب ينفد","متوفر"))</f>
        <v>متوفر</v>
      </c>
      <c r="U35" t="str">
        <v>فموي (Oral)</v>
      </c>
      <c r="V35" t="str">
        <v>فئة C (بحذر وإشراف طبي)</v>
      </c>
      <c r="W35" t="str">
        <v>لا</v>
      </c>
      <c r="X35" t="str">
        <v>لا</v>
      </c>
      <c r="Y35" t="str">
        <v>صرف مباشر (OTC)</v>
      </c>
      <c r="Z35">
        <v>1</v>
      </c>
      <c r="AA35">
        <v>0</v>
      </c>
      <c r="AB35" t="str">
        <v>MED-0092</v>
      </c>
    </row>
    <row r="36">
      <c r="A36">
        <v>33</v>
      </c>
      <c r="B36" t="str">
        <v>6220001072385</v>
      </c>
      <c r="C36" t="str">
        <v>دولوجل جل للثة الاسنان 25 مل (dologel gingival gel 25 ml)</v>
      </c>
      <c r="D36" t="str">
        <v>valeriana+chamomile+propolis</v>
      </c>
      <c r="E36" t="str">
        <v>جل موضعي</v>
      </c>
      <c r="F36" t="str">
        <v>25 مل</v>
      </c>
      <c r="G36" t="str">
        <v>laboratoires gilbert - france &gt; united bionat</v>
      </c>
      <c r="H36" t="str">
        <v>أدوية ومستحضرات طبية عامة</v>
      </c>
      <c r="I36" t="str">
        <v>رف عام - أدوية ومستحضرات</v>
      </c>
      <c r="J36" t="str">
        <v>قطعة</v>
      </c>
      <c r="K36">
        <v>58</v>
      </c>
      <c r="L36">
        <v>44.66</v>
      </c>
      <c r="M36">
        <v>20</v>
      </c>
      <c r="N36">
        <v>5</v>
      </c>
      <c r="O36" s="1">
        <f>K36-L36</f>
        <v>13.34</v>
      </c>
      <c r="P36" s="2">
        <f>IF(L36&gt;0,O36/L36,0)</f>
        <v>0.2987</v>
      </c>
      <c r="Q36" s="1">
        <f>L36*M36</f>
        <v>893.2</v>
      </c>
      <c r="R36" s="1">
        <f>K36*M36</f>
        <v>1160</v>
      </c>
      <c r="S36" s="1">
        <f>R36-Q36</f>
        <v>266.8</v>
      </c>
      <c r="T36" t="str">
        <f>IF(M36=0,"نافد",IF(M36&lt;=N36,"قرب ينفد","متوفر"))</f>
        <v>متوفر</v>
      </c>
      <c r="U36" t="str">
        <v>موضعي (Topical)</v>
      </c>
      <c r="V36" t="str">
        <v>فئة C (بحذر وإشراف طبي)</v>
      </c>
      <c r="W36" t="str">
        <v>لا</v>
      </c>
      <c r="X36" t="str">
        <v>لا</v>
      </c>
      <c r="Y36" t="str">
        <v>صرف مباشر (OTC)</v>
      </c>
      <c r="Z36">
        <v>1</v>
      </c>
      <c r="AA36">
        <v>0</v>
      </c>
      <c r="AB36" t="str">
        <v>MED-0093</v>
      </c>
    </row>
    <row r="37">
      <c r="A37">
        <v>34</v>
      </c>
      <c r="B37" t="str">
        <v>7613034759344</v>
      </c>
      <c r="C37" t="str">
        <v>نان 2 لبن اطفال 400 جرام (nan 2 milk 400 gm)</v>
      </c>
      <c r="D37" t="str">
        <v>milk formula stage 2</v>
      </c>
      <c r="E37" t="str">
        <v>أقراص</v>
      </c>
      <c r="F37" t="str">
        <v>400 g</v>
      </c>
      <c r="G37" t="str">
        <v>nestle</v>
      </c>
      <c r="H37" t="str">
        <v>أدوية ومستحضرات طبية عامة</v>
      </c>
      <c r="I37" t="str">
        <v>رف عام - أدوية ومستحضرات</v>
      </c>
      <c r="J37" t="str">
        <v>علبة</v>
      </c>
      <c r="K37">
        <v>370</v>
      </c>
      <c r="L37">
        <v>284.9</v>
      </c>
      <c r="M37">
        <v>20</v>
      </c>
      <c r="N37">
        <v>5</v>
      </c>
      <c r="O37" s="1">
        <f>K37-L37</f>
        <v>85.1</v>
      </c>
      <c r="P37" s="2">
        <f>IF(L37&gt;0,O37/L37,0)</f>
        <v>0.2987</v>
      </c>
      <c r="Q37" s="1">
        <f>L37*M37</f>
        <v>5698</v>
      </c>
      <c r="R37" s="1">
        <f>K37*M37</f>
        <v>7400</v>
      </c>
      <c r="S37" s="1">
        <f>R37-Q37</f>
        <v>1702</v>
      </c>
      <c r="T37" t="str">
        <f>IF(M37=0,"نافد",IF(M37&lt;=N37,"قرب ينفد","متوفر"))</f>
        <v>متوفر</v>
      </c>
      <c r="U37" t="str">
        <v>فموي (Oral)</v>
      </c>
      <c r="V37" t="str">
        <v>فئة B (آمن إلى حد كبير)</v>
      </c>
      <c r="W37" t="str">
        <v>لا</v>
      </c>
      <c r="X37" t="str">
        <v>لا</v>
      </c>
      <c r="Y37" t="str">
        <v>صرف مباشر (OTC)</v>
      </c>
      <c r="Z37">
        <v>1</v>
      </c>
      <c r="AA37">
        <v>0</v>
      </c>
      <c r="AB37" t="str">
        <v>MED-0094</v>
      </c>
    </row>
    <row r="38">
      <c r="A38">
        <v>35</v>
      </c>
      <c r="B38" t="str">
        <v>8427030008240</v>
      </c>
      <c r="C38" t="str">
        <v>سيميلاك توتال كومفرت جولد 2 لبن اطفال 360 جم (similac total comfort gold 2 milk 360 gm)</v>
      </c>
      <c r="D38" t="str">
        <v>extra care milk formula</v>
      </c>
      <c r="E38" t="str">
        <v>أقراص</v>
      </c>
      <c r="F38" t="str">
        <v>360 g</v>
      </c>
      <c r="G38" t="str">
        <v>ibn sina</v>
      </c>
      <c r="H38" t="str">
        <v>أدوية ومستحضرات طبية عامة</v>
      </c>
      <c r="I38" t="str">
        <v>رف عام - أدوية ومستحضرات</v>
      </c>
      <c r="J38" t="str">
        <v>علبة</v>
      </c>
      <c r="K38">
        <v>510</v>
      </c>
      <c r="L38">
        <v>392.7</v>
      </c>
      <c r="M38">
        <v>20</v>
      </c>
      <c r="N38">
        <v>5</v>
      </c>
      <c r="O38" s="1">
        <f>K38-L38</f>
        <v>117.3</v>
      </c>
      <c r="P38" s="2">
        <f>IF(L38&gt;0,O38/L38,0)</f>
        <v>0.2987</v>
      </c>
      <c r="Q38" s="1">
        <f>L38*M38</f>
        <v>7854</v>
      </c>
      <c r="R38" s="1">
        <f>K38*M38</f>
        <v>10200</v>
      </c>
      <c r="S38" s="1">
        <f>R38-Q38</f>
        <v>2346</v>
      </c>
      <c r="T38" t="str">
        <f>IF(M38=0,"نافد",IF(M38&lt;=N38,"قرب ينفد","متوفر"))</f>
        <v>متوفر</v>
      </c>
      <c r="U38" t="str">
        <v>فموي (Oral)</v>
      </c>
      <c r="V38" t="str">
        <v>فئة B (آمن إلى حد كبير)</v>
      </c>
      <c r="W38" t="str">
        <v>لا</v>
      </c>
      <c r="X38" t="str">
        <v>لا</v>
      </c>
      <c r="Y38" t="str">
        <v>صرف مباشر (OTC)</v>
      </c>
      <c r="Z38">
        <v>1</v>
      </c>
      <c r="AA38">
        <v>0</v>
      </c>
      <c r="AB38" t="str">
        <v>MED-0095</v>
      </c>
    </row>
    <row r="39">
      <c r="A39">
        <v>36</v>
      </c>
      <c r="B39" t="str">
        <v>6220001089246</v>
      </c>
      <c r="C39" t="str">
        <v>ايسوميل (سيميلاك صويا) بودرة 352 جم (isomil (similac soy) powder 352 gm)</v>
      </c>
      <c r="D39" t="str">
        <v>مادة فعالة طبية</v>
      </c>
      <c r="E39" t="str">
        <v>أقراص</v>
      </c>
      <c r="F39" t="str">
        <v>352 g</v>
      </c>
      <c r="G39" t="str">
        <v>abbott laboratories &gt; ibn sina</v>
      </c>
      <c r="H39" t="str">
        <v>أدوية ومستحضرات طبية عامة</v>
      </c>
      <c r="I39" t="str">
        <v>رف عام - أدوية ومستحضرات</v>
      </c>
      <c r="J39" t="str">
        <v>علبة</v>
      </c>
      <c r="K39">
        <v>141</v>
      </c>
      <c r="L39">
        <v>108.57</v>
      </c>
      <c r="M39">
        <v>20</v>
      </c>
      <c r="N39">
        <v>5</v>
      </c>
      <c r="O39" s="1">
        <f>K39-L39</f>
        <v>32.43</v>
      </c>
      <c r="P39" s="2">
        <f>IF(L39&gt;0,O39/L39,0)</f>
        <v>0.2987</v>
      </c>
      <c r="Q39" s="1">
        <f>L39*M39</f>
        <v>2171.4</v>
      </c>
      <c r="R39" s="1">
        <f>K39*M39</f>
        <v>2820</v>
      </c>
      <c r="S39" s="1">
        <f>R39-Q39</f>
        <v>648.6</v>
      </c>
      <c r="T39" t="str">
        <f>IF(M39=0,"نافد",IF(M39&lt;=N39,"قرب ينفد","متوفر"))</f>
        <v>متوفر</v>
      </c>
      <c r="U39" t="str">
        <v>فموي (Oral)</v>
      </c>
      <c r="V39" t="str">
        <v>فئة B (آمن إلى حد كبير)</v>
      </c>
      <c r="W39" t="str">
        <v>لا</v>
      </c>
      <c r="X39" t="str">
        <v>لا</v>
      </c>
      <c r="Y39" t="str">
        <v>صرف مباشر (OTC)</v>
      </c>
      <c r="Z39">
        <v>1</v>
      </c>
      <c r="AA39">
        <v>0</v>
      </c>
      <c r="AB39" t="str">
        <v>MED-0096</v>
      </c>
    </row>
    <row r="40">
      <c r="A40">
        <v>37</v>
      </c>
      <c r="B40" t="str">
        <v>5099864006407</v>
      </c>
      <c r="C40" t="str">
        <v>سيميلاك ادفانس 1 لبن 400جم (similac advance 1 milk 400 gm)</v>
      </c>
      <c r="D40" t="str">
        <v>milk formula stage 1</v>
      </c>
      <c r="E40" t="str">
        <v>أقراص</v>
      </c>
      <c r="F40" t="str">
        <v>400 g</v>
      </c>
      <c r="G40" t="str">
        <v>abbott laboratories &gt; ibn sina</v>
      </c>
      <c r="H40" t="str">
        <v>أدوية ومستحضرات طبية عامة</v>
      </c>
      <c r="I40" t="str">
        <v>رف عام - أدوية ومستحضرات</v>
      </c>
      <c r="J40" t="str">
        <v>علبة</v>
      </c>
      <c r="K40">
        <v>99</v>
      </c>
      <c r="L40">
        <v>76.23</v>
      </c>
      <c r="M40">
        <v>20</v>
      </c>
      <c r="N40">
        <v>5</v>
      </c>
      <c r="O40" s="1">
        <f>K40-L40</f>
        <v>22.77</v>
      </c>
      <c r="P40" s="2">
        <f>IF(L40&gt;0,O40/L40,0)</f>
        <v>0.2987</v>
      </c>
      <c r="Q40" s="1">
        <f>L40*M40</f>
        <v>1524.6</v>
      </c>
      <c r="R40" s="1">
        <f>K40*M40</f>
        <v>1980</v>
      </c>
      <c r="S40" s="1">
        <f>R40-Q40</f>
        <v>455.4</v>
      </c>
      <c r="T40" t="str">
        <f>IF(M40=0,"نافد",IF(M40&lt;=N40,"قرب ينفد","متوفر"))</f>
        <v>متوفر</v>
      </c>
      <c r="U40" t="str">
        <v>فموي (Oral)</v>
      </c>
      <c r="V40" t="str">
        <v>فئة B (آمن إلى حد كبير)</v>
      </c>
      <c r="W40" t="str">
        <v>لا</v>
      </c>
      <c r="X40" t="str">
        <v>لا</v>
      </c>
      <c r="Y40" t="str">
        <v>صرف مباشر (OTC)</v>
      </c>
      <c r="Z40">
        <v>1</v>
      </c>
      <c r="AA40">
        <v>0</v>
      </c>
      <c r="AB40" t="str">
        <v>MED-0097</v>
      </c>
    </row>
    <row r="41">
      <c r="A41">
        <v>38</v>
      </c>
      <c r="B41" t="str">
        <v>6220001122202</v>
      </c>
      <c r="C41" t="str">
        <v>سيميلاك ايليكير لبن 400 جرام (similac elecare milk 400 gm)</v>
      </c>
      <c r="D41" t="str">
        <v>hypo-allergenic milk formula</v>
      </c>
      <c r="E41" t="str">
        <v>أقراص</v>
      </c>
      <c r="F41" t="str">
        <v>400 g</v>
      </c>
      <c r="G41" t="str">
        <v>abbott laboratories &gt; ibn sina</v>
      </c>
      <c r="H41" t="str">
        <v>أدوية ومستحضرات طبية عامة</v>
      </c>
      <c r="I41" t="str">
        <v>رف عام - أدوية ومستحضرات</v>
      </c>
      <c r="J41" t="str">
        <v>علبة</v>
      </c>
      <c r="K41">
        <v>311</v>
      </c>
      <c r="L41">
        <v>239.47</v>
      </c>
      <c r="M41">
        <v>20</v>
      </c>
      <c r="N41">
        <v>5</v>
      </c>
      <c r="O41" s="1">
        <f>K41-L41</f>
        <v>71.53</v>
      </c>
      <c r="P41" s="2">
        <f>IF(L41&gt;0,O41/L41,0)</f>
        <v>0.2987</v>
      </c>
      <c r="Q41" s="1">
        <f>L41*M41</f>
        <v>4789.4</v>
      </c>
      <c r="R41" s="1">
        <f>K41*M41</f>
        <v>6220</v>
      </c>
      <c r="S41" s="1">
        <f>R41-Q41</f>
        <v>1430.6</v>
      </c>
      <c r="T41" t="str">
        <f>IF(M41=0,"نافد",IF(M41&lt;=N41,"قرب ينفد","متوفر"))</f>
        <v>متوفر</v>
      </c>
      <c r="U41" t="str">
        <v>فموي (Oral)</v>
      </c>
      <c r="V41" t="str">
        <v>فئة B (آمن إلى حد كبير)</v>
      </c>
      <c r="W41" t="str">
        <v>لا</v>
      </c>
      <c r="X41" t="str">
        <v>لا</v>
      </c>
      <c r="Y41" t="str">
        <v>صرف مباشر (OTC)</v>
      </c>
      <c r="Z41">
        <v>1</v>
      </c>
      <c r="AA41">
        <v>0</v>
      </c>
      <c r="AB41" t="str">
        <v>MED-0098</v>
      </c>
    </row>
    <row r="42">
      <c r="A42">
        <v>39</v>
      </c>
      <c r="B42" t="str">
        <v>5099864006414</v>
      </c>
      <c r="C42" t="str">
        <v>سيميلاك 2 لبن 400جم (similac gain advance 2 milk 400 gm)</v>
      </c>
      <c r="D42" t="str">
        <v>milk formula stage 2</v>
      </c>
      <c r="E42" t="str">
        <v>أقراص</v>
      </c>
      <c r="F42" t="str">
        <v>400 g</v>
      </c>
      <c r="G42" t="str">
        <v>abbott laboratories &gt; ibn sina</v>
      </c>
      <c r="H42" t="str">
        <v>أدوية ومستحضرات طبية عامة</v>
      </c>
      <c r="I42" t="str">
        <v>رف عام - أدوية ومستحضرات</v>
      </c>
      <c r="J42" t="str">
        <v>علبة</v>
      </c>
      <c r="K42">
        <v>99</v>
      </c>
      <c r="L42">
        <v>76.23</v>
      </c>
      <c r="M42">
        <v>20</v>
      </c>
      <c r="N42">
        <v>5</v>
      </c>
      <c r="O42" s="1">
        <f>K42-L42</f>
        <v>22.77</v>
      </c>
      <c r="P42" s="2">
        <f>IF(L42&gt;0,O42/L42,0)</f>
        <v>0.2987</v>
      </c>
      <c r="Q42" s="1">
        <f>L42*M42</f>
        <v>1524.6</v>
      </c>
      <c r="R42" s="1">
        <f>K42*M42</f>
        <v>1980</v>
      </c>
      <c r="S42" s="1">
        <f>R42-Q42</f>
        <v>455.4</v>
      </c>
      <c r="T42" t="str">
        <f>IF(M42=0,"نافد",IF(M42&lt;=N42,"قرب ينفد","متوفر"))</f>
        <v>متوفر</v>
      </c>
      <c r="U42" t="str">
        <v>فموي (Oral)</v>
      </c>
      <c r="V42" t="str">
        <v>فئة B (آمن إلى حد كبير)</v>
      </c>
      <c r="W42" t="str">
        <v>لا</v>
      </c>
      <c r="X42" t="str">
        <v>لا</v>
      </c>
      <c r="Y42" t="str">
        <v>صرف مباشر (OTC)</v>
      </c>
      <c r="Z42">
        <v>1</v>
      </c>
      <c r="AA42">
        <v>0</v>
      </c>
      <c r="AB42" t="str">
        <v>MED-0099</v>
      </c>
    </row>
    <row r="43">
      <c r="A43">
        <v>40</v>
      </c>
      <c r="B43" t="str">
        <v>5099864003734</v>
      </c>
      <c r="C43" t="str">
        <v>سيميلاك جولد ادفانس لبن 3 400جم (similac gain plus advance 3 milk 400 gm)</v>
      </c>
      <c r="D43" t="str">
        <v>milk formula stage 3</v>
      </c>
      <c r="E43" t="str">
        <v>أقراص</v>
      </c>
      <c r="F43" t="str">
        <v>400 g</v>
      </c>
      <c r="G43" t="str">
        <v>abbott laboratories &gt; ibn sina</v>
      </c>
      <c r="H43" t="str">
        <v>أدوية ومستحضرات طبية عامة</v>
      </c>
      <c r="I43" t="str">
        <v>رف عام - أدوية ومستحضرات</v>
      </c>
      <c r="J43" t="str">
        <v>علبة</v>
      </c>
      <c r="K43">
        <v>99</v>
      </c>
      <c r="L43">
        <v>76.23</v>
      </c>
      <c r="M43">
        <v>20</v>
      </c>
      <c r="N43">
        <v>5</v>
      </c>
      <c r="O43" s="1">
        <f>K43-L43</f>
        <v>22.77</v>
      </c>
      <c r="P43" s="2">
        <f>IF(L43&gt;0,O43/L43,0)</f>
        <v>0.2987</v>
      </c>
      <c r="Q43" s="1">
        <f>L43*M43</f>
        <v>1524.6</v>
      </c>
      <c r="R43" s="1">
        <f>K43*M43</f>
        <v>1980</v>
      </c>
      <c r="S43" s="1">
        <f>R43-Q43</f>
        <v>455.4</v>
      </c>
      <c r="T43" t="str">
        <f>IF(M43=0,"نافد",IF(M43&lt;=N43,"قرب ينفد","متوفر"))</f>
        <v>متوفر</v>
      </c>
      <c r="U43" t="str">
        <v>فموي (Oral)</v>
      </c>
      <c r="V43" t="str">
        <v>فئة B (آمن إلى حد كبير)</v>
      </c>
      <c r="W43" t="str">
        <v>لا</v>
      </c>
      <c r="X43" t="str">
        <v>لا</v>
      </c>
      <c r="Y43" t="str">
        <v>صرف مباشر (OTC)</v>
      </c>
      <c r="Z43">
        <v>1</v>
      </c>
      <c r="AA43">
        <v>0</v>
      </c>
      <c r="AB43" t="str">
        <v>MED-0100</v>
      </c>
    </row>
    <row r="44">
      <c r="A44">
        <v>41</v>
      </c>
      <c r="B44" t="str">
        <v>5099864011357</v>
      </c>
      <c r="C44" t="str">
        <v>سيميلاك جولد 1 لبن اطفال 400 جم (similac gold 1 milk 400 gm)</v>
      </c>
      <c r="D44" t="str">
        <v>milk formula stage 1</v>
      </c>
      <c r="E44" t="str">
        <v>أقراص</v>
      </c>
      <c r="F44" t="str">
        <v>400 g</v>
      </c>
      <c r="G44" t="str">
        <v>abbott laboratories &gt; ibn sina</v>
      </c>
      <c r="H44" t="str">
        <v>أدوية ومستحضرات طبية عامة</v>
      </c>
      <c r="I44" t="str">
        <v>رف عام - أدوية ومستحضرات</v>
      </c>
      <c r="J44" t="str">
        <v>علبة</v>
      </c>
      <c r="K44">
        <v>360</v>
      </c>
      <c r="L44">
        <v>277.2</v>
      </c>
      <c r="M44">
        <v>20</v>
      </c>
      <c r="N44">
        <v>5</v>
      </c>
      <c r="O44" s="1">
        <f>K44-L44</f>
        <v>82.8</v>
      </c>
      <c r="P44" s="2">
        <f>IF(L44&gt;0,O44/L44,0)</f>
        <v>0.2987</v>
      </c>
      <c r="Q44" s="1">
        <f>L44*M44</f>
        <v>5544</v>
      </c>
      <c r="R44" s="1">
        <f>K44*M44</f>
        <v>7200</v>
      </c>
      <c r="S44" s="1">
        <f>R44-Q44</f>
        <v>1656</v>
      </c>
      <c r="T44" t="str">
        <f>IF(M44=0,"نافد",IF(M44&lt;=N44,"قرب ينفد","متوفر"))</f>
        <v>متوفر</v>
      </c>
      <c r="U44" t="str">
        <v>فموي (Oral)</v>
      </c>
      <c r="V44" t="str">
        <v>فئة B (آمن إلى حد كبير)</v>
      </c>
      <c r="W44" t="str">
        <v>لا</v>
      </c>
      <c r="X44" t="str">
        <v>لا</v>
      </c>
      <c r="Y44" t="str">
        <v>صرف مباشر (OTC)</v>
      </c>
      <c r="Z44">
        <v>1</v>
      </c>
      <c r="AA44">
        <v>0</v>
      </c>
      <c r="AB44" t="str">
        <v>MED-0101</v>
      </c>
    </row>
    <row r="45">
      <c r="A45">
        <v>42</v>
      </c>
      <c r="B45" t="str">
        <v>5099864011364</v>
      </c>
      <c r="C45" t="str">
        <v>سيميلاك جولد 2 لبن اطفال 400 جم (similac gold 2 milk 400 gm)</v>
      </c>
      <c r="D45" t="str">
        <v>milk formula stage 2</v>
      </c>
      <c r="E45" t="str">
        <v>أقراص</v>
      </c>
      <c r="F45" t="str">
        <v>400 g</v>
      </c>
      <c r="G45" t="str">
        <v>abbott laboratories &gt; ibn sina</v>
      </c>
      <c r="H45" t="str">
        <v>أدوية ومستحضرات طبية عامة</v>
      </c>
      <c r="I45" t="str">
        <v>رف عام - أدوية ومستحضرات</v>
      </c>
      <c r="J45" t="str">
        <v>علبة</v>
      </c>
      <c r="K45">
        <v>360</v>
      </c>
      <c r="L45">
        <v>277.2</v>
      </c>
      <c r="M45">
        <v>20</v>
      </c>
      <c r="N45">
        <v>5</v>
      </c>
      <c r="O45" s="1">
        <f>K45-L45</f>
        <v>82.8</v>
      </c>
      <c r="P45" s="2">
        <f>IF(L45&gt;0,O45/L45,0)</f>
        <v>0.2987</v>
      </c>
      <c r="Q45" s="1">
        <f>L45*M45</f>
        <v>5544</v>
      </c>
      <c r="R45" s="1">
        <f>K45*M45</f>
        <v>7200</v>
      </c>
      <c r="S45" s="1">
        <f>R45-Q45</f>
        <v>1656</v>
      </c>
      <c r="T45" t="str">
        <f>IF(M45=0,"نافد",IF(M45&lt;=N45,"قرب ينفد","متوفر"))</f>
        <v>متوفر</v>
      </c>
      <c r="U45" t="str">
        <v>فموي (Oral)</v>
      </c>
      <c r="V45" t="str">
        <v>فئة B (آمن إلى حد كبير)</v>
      </c>
      <c r="W45" t="str">
        <v>لا</v>
      </c>
      <c r="X45" t="str">
        <v>لا</v>
      </c>
      <c r="Y45" t="str">
        <v>صرف مباشر (OTC)</v>
      </c>
      <c r="Z45">
        <v>1</v>
      </c>
      <c r="AA45">
        <v>0</v>
      </c>
      <c r="AB45" t="str">
        <v>MED-0102</v>
      </c>
    </row>
    <row r="46">
      <c r="A46">
        <v>43</v>
      </c>
      <c r="B46" t="str">
        <v>6220001122219</v>
      </c>
      <c r="C46" t="str">
        <v>سيميلاك جولد 3 لبن اطفال 400 جم (similac gold 3 milk 400 gm)</v>
      </c>
      <c r="D46" t="str">
        <v>milk formula stage 3</v>
      </c>
      <c r="E46" t="str">
        <v>أقراص</v>
      </c>
      <c r="F46" t="str">
        <v>400 g</v>
      </c>
      <c r="G46" t="str">
        <v>abbott laboratories &gt; ibn sina</v>
      </c>
      <c r="H46" t="str">
        <v>أدوية ومستحضرات طبية عامة</v>
      </c>
      <c r="I46" t="str">
        <v>رف عام - أدوية ومستحضرات</v>
      </c>
      <c r="J46" t="str">
        <v>علبة</v>
      </c>
      <c r="K46">
        <v>360</v>
      </c>
      <c r="L46">
        <v>277.2</v>
      </c>
      <c r="M46">
        <v>20</v>
      </c>
      <c r="N46">
        <v>5</v>
      </c>
      <c r="O46" s="1">
        <f>K46-L46</f>
        <v>82.8</v>
      </c>
      <c r="P46" s="2">
        <f>IF(L46&gt;0,O46/L46,0)</f>
        <v>0.2987</v>
      </c>
      <c r="Q46" s="1">
        <f>L46*M46</f>
        <v>5544</v>
      </c>
      <c r="R46" s="1">
        <f>K46*M46</f>
        <v>7200</v>
      </c>
      <c r="S46" s="1">
        <f>R46-Q46</f>
        <v>1656</v>
      </c>
      <c r="T46" t="str">
        <f>IF(M46=0,"نافد",IF(M46&lt;=N46,"قرب ينفد","متوفر"))</f>
        <v>متوفر</v>
      </c>
      <c r="U46" t="str">
        <v>فموي (Oral)</v>
      </c>
      <c r="V46" t="str">
        <v>فئة B (آمن إلى حد كبير)</v>
      </c>
      <c r="W46" t="str">
        <v>لا</v>
      </c>
      <c r="X46" t="str">
        <v>لا</v>
      </c>
      <c r="Y46" t="str">
        <v>صرف مباشر (OTC)</v>
      </c>
      <c r="Z46">
        <v>1</v>
      </c>
      <c r="AA46">
        <v>0</v>
      </c>
      <c r="AB46" t="str">
        <v>MED-0103</v>
      </c>
    </row>
    <row r="47">
      <c r="A47">
        <v>44</v>
      </c>
      <c r="B47" t="str">
        <v>8427030007205</v>
      </c>
      <c r="C47" t="str">
        <v>سيميلاك نيوشور لبن اطفال 370 جم (similac neosure milk 370 gm)</v>
      </c>
      <c r="D47" t="str">
        <v>premature milk formula</v>
      </c>
      <c r="E47" t="str">
        <v>أقراص</v>
      </c>
      <c r="F47" t="str">
        <v>370 g</v>
      </c>
      <c r="G47" t="str">
        <v>abbott laboratories &gt; ibn sina</v>
      </c>
      <c r="H47" t="str">
        <v>أدوية ومستحضرات طبية عامة</v>
      </c>
      <c r="I47" t="str">
        <v>رف عام - أدوية ومستحضرات</v>
      </c>
      <c r="J47" t="str">
        <v>علبة</v>
      </c>
      <c r="K47">
        <v>530</v>
      </c>
      <c r="L47">
        <v>408.1</v>
      </c>
      <c r="M47">
        <v>20</v>
      </c>
      <c r="N47">
        <v>5</v>
      </c>
      <c r="O47" s="1">
        <f>K47-L47</f>
        <v>121.9</v>
      </c>
      <c r="P47" s="2">
        <f>IF(L47&gt;0,O47/L47,0)</f>
        <v>0.2987</v>
      </c>
      <c r="Q47" s="1">
        <f>L47*M47</f>
        <v>8162</v>
      </c>
      <c r="R47" s="1">
        <f>K47*M47</f>
        <v>10600</v>
      </c>
      <c r="S47" s="1">
        <f>R47-Q47</f>
        <v>2438</v>
      </c>
      <c r="T47" t="str">
        <f>IF(M47=0,"نافد",IF(M47&lt;=N47,"قرب ينفد","متوفر"))</f>
        <v>متوفر</v>
      </c>
      <c r="U47" t="str">
        <v>فموي (Oral)</v>
      </c>
      <c r="V47" t="str">
        <v>فئة B (آمن إلى حد كبير)</v>
      </c>
      <c r="W47" t="str">
        <v>لا</v>
      </c>
      <c r="X47" t="str">
        <v>لا</v>
      </c>
      <c r="Y47" t="str">
        <v>صرف مباشر (OTC)</v>
      </c>
      <c r="Z47">
        <v>1</v>
      </c>
      <c r="AA47">
        <v>0</v>
      </c>
      <c r="AB47" t="str">
        <v>MED-0104</v>
      </c>
    </row>
    <row r="48">
      <c r="A48">
        <v>45</v>
      </c>
      <c r="B48" t="str">
        <v>6220001122226</v>
      </c>
      <c r="C48" t="str">
        <v>سيميلاك لبن توتال كومفورت 357جم (similac total comfort 2 milk 360 gm)</v>
      </c>
      <c r="D48" t="str">
        <v>extra care milk formula</v>
      </c>
      <c r="E48" t="str">
        <v>أقراص</v>
      </c>
      <c r="F48" t="str">
        <v>360 g</v>
      </c>
      <c r="G48" t="str">
        <v>abbott laboratories &gt; ibn sina</v>
      </c>
      <c r="H48" t="str">
        <v>أدوية ومستحضرات طبية عامة</v>
      </c>
      <c r="I48" t="str">
        <v>رف عام - أدوية ومستحضرات</v>
      </c>
      <c r="J48" t="str">
        <v>علبة</v>
      </c>
      <c r="K48">
        <v>510</v>
      </c>
      <c r="L48">
        <v>392.7</v>
      </c>
      <c r="M48">
        <v>20</v>
      </c>
      <c r="N48">
        <v>5</v>
      </c>
      <c r="O48" s="1">
        <f>K48-L48</f>
        <v>117.3</v>
      </c>
      <c r="P48" s="2">
        <f>IF(L48&gt;0,O48/L48,0)</f>
        <v>0.2987</v>
      </c>
      <c r="Q48" s="1">
        <f>L48*M48</f>
        <v>7854</v>
      </c>
      <c r="R48" s="1">
        <f>K48*M48</f>
        <v>10200</v>
      </c>
      <c r="S48" s="1">
        <f>R48-Q48</f>
        <v>2346</v>
      </c>
      <c r="T48" t="str">
        <f>IF(M48=0,"نافد",IF(M48&lt;=N48,"قرب ينفد","متوفر"))</f>
        <v>متوفر</v>
      </c>
      <c r="U48" t="str">
        <v>فموي (Oral)</v>
      </c>
      <c r="V48" t="str">
        <v>فئة B (آمن إلى حد كبير)</v>
      </c>
      <c r="W48" t="str">
        <v>لا</v>
      </c>
      <c r="X48" t="str">
        <v>لا</v>
      </c>
      <c r="Y48" t="str">
        <v>صرف مباشر (OTC)</v>
      </c>
      <c r="Z48">
        <v>1</v>
      </c>
      <c r="AA48">
        <v>0</v>
      </c>
      <c r="AB48" t="str">
        <v>MED-0105</v>
      </c>
    </row>
    <row r="49">
      <c r="A49" t="str">
        <v>الإجمالي</v>
      </c>
      <c r="B49" t="str">
        <v>عدد الأصناف: 45</v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s="1">
        <f>AVERAGE(K4:K48)</f>
        <v>206.66</v>
      </c>
      <c r="L49" s="1">
        <f>AVERAGE(L4:L48)</f>
        <v>159.13</v>
      </c>
      <c r="M49" s="3">
        <f>SUM(M4:M48)</f>
        <v>900</v>
      </c>
      <c r="N49" s="3">
        <f>SUM(N4:N48)</f>
        <v>225</v>
      </c>
      <c r="O49" s="1">
        <f>AVERAGE(O4:O48)</f>
        <v>47.53</v>
      </c>
      <c r="P49" s="2">
        <f>AVERAGE(P4:P48)</f>
        <v>0.2987</v>
      </c>
      <c r="Q49" s="1">
        <f>SUM(Q4:Q48)</f>
        <v>143217</v>
      </c>
      <c r="R49" s="1">
        <f>SUM(R4:R48)</f>
        <v>185994</v>
      </c>
      <c r="S49" s="1">
        <f>SUM(S4:S48)</f>
        <v>42777</v>
      </c>
      <c r="T49" t="str">
        <v>محسوب بمعادلات إكسل</v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 t="str">
        <v/>
      </c>
      <c r="AB49" t="str">
        <v/>
      </c>
    </row>
  </sheetData>
  <mergeCells count="2">
    <mergeCell ref="A1:AB1"/>
    <mergeCell ref="A2:AB2"/>
  </mergeCells>
  <ignoredErrors>
    <ignoredError numberStoredAsText="1" sqref="A1:AB4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B64"/>
  <sheetViews>
    <sheetView workbookViewId="0"/>
  </sheetViews>
  <cols>
    <col min="1" max="1" width="6.83203125" customWidth="1"/>
    <col min="2" max="2" width="18.83203125" customWidth="1"/>
    <col min="3" max="3" width="45.83203125" customWidth="1"/>
    <col min="4" max="4" width="42.83203125" customWidth="1"/>
    <col min="5" max="5" width="18.83203125" customWidth="1"/>
    <col min="6" max="6" width="16.83203125" customWidth="1"/>
    <col min="7" max="7" width="25.83203125" customWidth="1"/>
    <col min="8" max="8" width="32.83203125" customWidth="1"/>
    <col min="9" max="9" width="24.83203125" customWidth="1"/>
    <col min="10" max="10" width="16.83203125" customWidth="1"/>
    <col min="11" max="11" width="18.83203125" customWidth="1"/>
    <col min="12" max="12" width="18.83203125" customWidth="1"/>
    <col min="13" max="13" width="16.83203125" customWidth="1"/>
    <col min="14" max="14" width="16.83203125" customWidth="1"/>
    <col min="15" max="15" width="16.83203125" customWidth="1"/>
    <col min="16" max="16" width="14.83203125" customWidth="1"/>
    <col min="17" max="17" width="18.83203125" customWidth="1"/>
    <col min="18" max="18" width="18.83203125" customWidth="1"/>
    <col min="19" max="19" width="18.83203125" customWidth="1"/>
    <col min="20" max="20" width="16.83203125" customWidth="1"/>
    <col min="21" max="21" width="22.83203125" customWidth="1"/>
    <col min="22" max="22" width="24.83203125" customWidth="1"/>
    <col min="23" max="23" width="15.83203125" customWidth="1"/>
    <col min="24" max="24" width="18.83203125" customWidth="1"/>
    <col min="25" max="25" width="18.83203125" customWidth="1"/>
    <col min="26" max="26" width="18.83203125" customWidth="1"/>
    <col min="27" max="27" width="14.83203125" customWidth="1"/>
    <col min="28" max="28" width="16.83203125" customWidth="1"/>
  </cols>
  <sheetData>
    <row r="1">
      <c r="A1" t="str">
        <v>رفيق POS - قائمة أصناف قسم: [أدوية الأمراض المزمنة والضغط والسكر]</v>
      </c>
    </row>
    <row r="2">
      <c r="A2" t="str">
        <v>تعليمات هامة: الأعمدة المميزة بنجمة (*) إلزامية | يتضمن النموذج كافة البيانات السريرية والصيدلية المعتمدة | المعادلات المالية والمخزنية تتحدث تلقائياً</v>
      </c>
    </row>
    <row r="3">
      <c r="A3" t="str">
        <v>م</v>
      </c>
      <c r="B3" t="str">
        <v>باركود الدواء *</v>
      </c>
      <c r="C3" t="str">
        <v>الاسم التجاري (عربي / إنجليزي) *</v>
      </c>
      <c r="D3" t="str">
        <v>الاسم العلمي (المادة الفعالة والتركيبة) *</v>
      </c>
      <c r="E3" t="str">
        <v>الشكل الدوائي (Dosage Form)</v>
      </c>
      <c r="F3" t="str">
        <v>التركيز والحجم</v>
      </c>
      <c r="G3" t="str">
        <v>الشركة المصنعة (Manufacturer)</v>
      </c>
      <c r="H3" t="str">
        <v>المجموعة العلاجية (Therapeutic Class)</v>
      </c>
      <c r="I3" t="str">
        <v>مكان التخزين / الرف / الدرج</v>
      </c>
      <c r="J3" t="str">
        <v>الوحدة الأساسية (علبة / قطعة)</v>
      </c>
      <c r="K3" t="str">
        <v>سعر الجمهور الرسمي (ج.م) *</v>
      </c>
      <c r="L3" t="str">
        <v>سعر التكلفة / الشراء (ج.م) *</v>
      </c>
      <c r="M3" t="str">
        <v>الرصيد الافتتاحي (علب)</v>
      </c>
      <c r="N3" t="str">
        <v>حد الطلب الأدنى</v>
      </c>
      <c r="O3" t="str">
        <v>هامش ربح العلبة (ج.م)</v>
      </c>
      <c r="P3" t="str">
        <v>نسبة الربح (%)</v>
      </c>
      <c r="Q3" t="str">
        <v>إجمالي قيمة التكلفة (ج.م)</v>
      </c>
      <c r="R3" t="str">
        <v>إجمالي القيمة البيعية (ج.م)</v>
      </c>
      <c r="S3" t="str">
        <v>إجمالي الربح المتوقع (ج.م)</v>
      </c>
      <c r="T3" t="str">
        <v>حالة المخزون التلقائية</v>
      </c>
      <c r="U3" t="str">
        <v>طريقة الاستخدام (Route)</v>
      </c>
      <c r="V3" t="str">
        <v>فئة أمان الحمل والرضاعة</v>
      </c>
      <c r="W3" t="str">
        <v>مضاد حيوي (نعم / لا)</v>
      </c>
      <c r="X3" t="str">
        <v>سلسلة التبريد / ثلاجة (نعم / لا)</v>
      </c>
      <c r="Y3" t="str">
        <v>نوع الوصفة والصرف (Rx Status)</v>
      </c>
      <c r="Z3" t="str">
        <v>عدد الوحدات / الأشرطة بالعلبة</v>
      </c>
      <c r="AA3" t="str">
        <v>نسبة الضريبة (%)</v>
      </c>
      <c r="AB3" t="str">
        <v>كود الصنف الداخلي (SKU)</v>
      </c>
    </row>
    <row r="4">
      <c r="A4">
        <v>1</v>
      </c>
      <c r="B4" t="str">
        <v>6221025032362</v>
      </c>
      <c r="C4" t="str">
        <v>كونكور 10مجم 30 قرص (concor 10mg 30 f.c. tablets)</v>
      </c>
      <c r="D4" t="str">
        <v>bisoprolol fumarate</v>
      </c>
      <c r="E4" t="str">
        <v>أقراص</v>
      </c>
      <c r="F4" t="str">
        <v>10مجم</v>
      </c>
      <c r="G4" t="str">
        <v>amoun &gt; merck kgaa f.r.germany</v>
      </c>
      <c r="H4" t="str">
        <v>أدوية ومستحضرات طبية عامة</v>
      </c>
      <c r="I4" t="str">
        <v>رف عام - أدوية ومستحضرات</v>
      </c>
      <c r="J4" t="str">
        <v>علبة</v>
      </c>
      <c r="K4">
        <v>99</v>
      </c>
      <c r="L4">
        <v>76.23</v>
      </c>
      <c r="M4">
        <v>20</v>
      </c>
      <c r="N4">
        <v>5</v>
      </c>
      <c r="O4" s="1">
        <f>K4-L4</f>
        <v>22.77</v>
      </c>
      <c r="P4" s="2">
        <f>IF(L4&gt;0,O4/L4,0)</f>
        <v>0.2987</v>
      </c>
      <c r="Q4" s="1">
        <f>L4*M4</f>
        <v>1524.6</v>
      </c>
      <c r="R4" s="1">
        <f>K4*M4</f>
        <v>1980</v>
      </c>
      <c r="S4" s="1">
        <f>R4-Q4</f>
        <v>455.4</v>
      </c>
      <c r="T4" t="str">
        <f>IF(M4=0,"نافد",IF(M4&lt;=N4,"قرب ينفد","متوفر"))</f>
        <v>متوفر</v>
      </c>
      <c r="U4" t="str">
        <v>فموي (Oral)</v>
      </c>
      <c r="V4" t="str">
        <v>فئة B (آمن إلى حد كبير)</v>
      </c>
      <c r="W4" t="str">
        <v>لا</v>
      </c>
      <c r="X4" t="str">
        <v>لا</v>
      </c>
      <c r="Y4" t="str">
        <v>صرف مباشر (OTC)</v>
      </c>
      <c r="Z4">
        <v>3</v>
      </c>
      <c r="AA4">
        <v>0</v>
      </c>
      <c r="AB4" t="str">
        <v>MED-0106</v>
      </c>
    </row>
    <row r="5">
      <c r="A5">
        <v>2</v>
      </c>
      <c r="B5" t="str">
        <v>6221025032379</v>
      </c>
      <c r="C5" t="str">
        <v>كونكور  بلس 10/25مجم 30 قرص (concor plus 10/25mg 30 f.c. tablets)</v>
      </c>
      <c r="D5" t="str">
        <v>bisoprolol fumarate+hydrochlorothiazide</v>
      </c>
      <c r="E5" t="str">
        <v>أقراص</v>
      </c>
      <c r="F5" t="str">
        <v>25مجم</v>
      </c>
      <c r="G5" t="str">
        <v>amoun &gt; merck kgaa f.r.germany</v>
      </c>
      <c r="H5" t="str">
        <v>أدوية ومستحضرات طبية عامة</v>
      </c>
      <c r="I5" t="str">
        <v>رف عام - أدوية ومستحضرات</v>
      </c>
      <c r="J5" t="str">
        <v>علبة</v>
      </c>
      <c r="K5">
        <v>108</v>
      </c>
      <c r="L5">
        <v>83.16</v>
      </c>
      <c r="M5">
        <v>20</v>
      </c>
      <c r="N5">
        <v>5</v>
      </c>
      <c r="O5" s="1">
        <f>K5-L5</f>
        <v>24.84</v>
      </c>
      <c r="P5" s="2">
        <f>IF(L5&gt;0,O5/L5,0)</f>
        <v>0.2987</v>
      </c>
      <c r="Q5" s="1">
        <f>L5*M5</f>
        <v>1663.2</v>
      </c>
      <c r="R5" s="1">
        <f>K5*M5</f>
        <v>2160</v>
      </c>
      <c r="S5" s="1">
        <f>R5-Q5</f>
        <v>496.8</v>
      </c>
      <c r="T5" t="str">
        <f>IF(M5=0,"نافد",IF(M5&lt;=N5,"قرب ينفد","متوفر"))</f>
        <v>متوفر</v>
      </c>
      <c r="U5" t="str">
        <v>فموي (Oral)</v>
      </c>
      <c r="V5" t="str">
        <v>فئة B (آمن إلى حد كبير)</v>
      </c>
      <c r="W5" t="str">
        <v>لا</v>
      </c>
      <c r="X5" t="str">
        <v>لا</v>
      </c>
      <c r="Y5" t="str">
        <v>صرف مباشر (OTC)</v>
      </c>
      <c r="Z5">
        <v>3</v>
      </c>
      <c r="AA5">
        <v>0</v>
      </c>
      <c r="AB5" t="str">
        <v>MED-0107</v>
      </c>
    </row>
    <row r="6">
      <c r="A6">
        <v>3</v>
      </c>
      <c r="B6" t="str">
        <v>6221025032348</v>
      </c>
      <c r="C6" t="str">
        <v>كونكور 5مجم 30 قرص (concor 5 mg 30 f.c. tabs)</v>
      </c>
      <c r="D6" t="str">
        <v>bisoprolol fumarate</v>
      </c>
      <c r="E6" t="str">
        <v>أقراص</v>
      </c>
      <c r="F6" t="str">
        <v>5مجم</v>
      </c>
      <c r="G6" t="str">
        <v>amoun</v>
      </c>
      <c r="H6" t="str">
        <v>أدوية ومستحضرات طبية عامة</v>
      </c>
      <c r="I6" t="str">
        <v>رف عام - أدوية ومستحضرات</v>
      </c>
      <c r="J6" t="str">
        <v>علبة</v>
      </c>
      <c r="K6">
        <v>72</v>
      </c>
      <c r="L6">
        <v>55.44</v>
      </c>
      <c r="M6">
        <v>20</v>
      </c>
      <c r="N6">
        <v>5</v>
      </c>
      <c r="O6" s="1">
        <f>K6-L6</f>
        <v>16.56</v>
      </c>
      <c r="P6" s="2">
        <f>IF(L6&gt;0,O6/L6,0)</f>
        <v>0.2987</v>
      </c>
      <c r="Q6" s="1">
        <f>L6*M6</f>
        <v>1108.8</v>
      </c>
      <c r="R6" s="1">
        <f>K6*M6</f>
        <v>1440</v>
      </c>
      <c r="S6" s="1">
        <f>R6-Q6</f>
        <v>331.2</v>
      </c>
      <c r="T6" t="str">
        <f>IF(M6=0,"نافد",IF(M6&lt;=N6,"قرب ينفد","متوفر"))</f>
        <v>متوفر</v>
      </c>
      <c r="U6" t="str">
        <v>فموي (Oral)</v>
      </c>
      <c r="V6" t="str">
        <v>فئة B (آمن إلى حد كبير)</v>
      </c>
      <c r="W6" t="str">
        <v>لا</v>
      </c>
      <c r="X6" t="str">
        <v>لا</v>
      </c>
      <c r="Y6" t="str">
        <v>صرف مباشر (OTC)</v>
      </c>
      <c r="Z6">
        <v>3</v>
      </c>
      <c r="AA6">
        <v>0</v>
      </c>
      <c r="AB6" t="str">
        <v>MED-0108</v>
      </c>
    </row>
    <row r="7">
      <c r="A7">
        <v>4</v>
      </c>
      <c r="B7" t="str">
        <v>6221025043498</v>
      </c>
      <c r="C7" t="str">
        <v>كونكور 5 بلس 5/12.5مجم 30 قرص (concor plus 5/12.5mg 30 f.c. tabs)</v>
      </c>
      <c r="D7" t="str">
        <v>bisoprolol fumarate+hydrochlorothiazide</v>
      </c>
      <c r="E7" t="str">
        <v>أقراص</v>
      </c>
      <c r="F7" t="str">
        <v>12.5مجم</v>
      </c>
      <c r="G7" t="str">
        <v>amoun &gt; merck kgaa f.r.germany</v>
      </c>
      <c r="H7" t="str">
        <v>أدوية ومستحضرات طبية عامة</v>
      </c>
      <c r="I7" t="str">
        <v>رف عام - أدوية ومستحضرات</v>
      </c>
      <c r="J7" t="str">
        <v>علبة</v>
      </c>
      <c r="K7">
        <v>72</v>
      </c>
      <c r="L7">
        <v>55.44</v>
      </c>
      <c r="M7">
        <v>20</v>
      </c>
      <c r="N7">
        <v>5</v>
      </c>
      <c r="O7" s="1">
        <f>K7-L7</f>
        <v>16.56</v>
      </c>
      <c r="P7" s="2">
        <f>IF(L7&gt;0,O7/L7,0)</f>
        <v>0.2987</v>
      </c>
      <c r="Q7" s="1">
        <f>L7*M7</f>
        <v>1108.8</v>
      </c>
      <c r="R7" s="1">
        <f>K7*M7</f>
        <v>1440</v>
      </c>
      <c r="S7" s="1">
        <f>R7-Q7</f>
        <v>331.2</v>
      </c>
      <c r="T7" t="str">
        <f>IF(M7=0,"نافد",IF(M7&lt;=N7,"قرب ينفد","متوفر"))</f>
        <v>متوفر</v>
      </c>
      <c r="U7" t="str">
        <v>فموي (Oral)</v>
      </c>
      <c r="V7" t="str">
        <v>فئة B (آمن إلى حد كبير)</v>
      </c>
      <c r="W7" t="str">
        <v>لا</v>
      </c>
      <c r="X7" t="str">
        <v>لا</v>
      </c>
      <c r="Y7" t="str">
        <v>صرف مباشر (OTC)</v>
      </c>
      <c r="Z7">
        <v>3</v>
      </c>
      <c r="AA7">
        <v>0</v>
      </c>
      <c r="AB7" t="str">
        <v>MED-0109</v>
      </c>
    </row>
    <row r="8">
      <c r="A8">
        <v>5</v>
      </c>
      <c r="B8" t="str">
        <v>6221025032331</v>
      </c>
      <c r="C8" t="str">
        <v>كونكور كور 2.5مجم 30 قرص (concor cor 2.5 mg 30 f.c. tabs)</v>
      </c>
      <c r="D8" t="str">
        <v>bisoprolol fumarate</v>
      </c>
      <c r="E8" t="str">
        <v>أقراص</v>
      </c>
      <c r="F8" t="str">
        <v>2.5مجم</v>
      </c>
      <c r="G8" t="str">
        <v>amoun &gt; merck kgaa f.r.germany</v>
      </c>
      <c r="H8" t="str">
        <v>أدوية ومستحضرات طبية عامة</v>
      </c>
      <c r="I8" t="str">
        <v>رف عام - أدوية ومستحضرات</v>
      </c>
      <c r="J8" t="str">
        <v>علبة</v>
      </c>
      <c r="K8">
        <v>60</v>
      </c>
      <c r="L8">
        <v>46.2</v>
      </c>
      <c r="M8">
        <v>20</v>
      </c>
      <c r="N8">
        <v>5</v>
      </c>
      <c r="O8" s="1">
        <f>K8-L8</f>
        <v>13.8</v>
      </c>
      <c r="P8" s="2">
        <f>IF(L8&gt;0,O8/L8,0)</f>
        <v>0.2987</v>
      </c>
      <c r="Q8" s="1">
        <f>L8*M8</f>
        <v>924</v>
      </c>
      <c r="R8" s="1">
        <f>K8*M8</f>
        <v>1200</v>
      </c>
      <c r="S8" s="1">
        <f>R8-Q8</f>
        <v>276</v>
      </c>
      <c r="T8" t="str">
        <f>IF(M8=0,"نافد",IF(M8&lt;=N8,"قرب ينفد","متوفر"))</f>
        <v>متوفر</v>
      </c>
      <c r="U8" t="str">
        <v>فموي (Oral)</v>
      </c>
      <c r="V8" t="str">
        <v>فئة B (آمن إلى حد كبير)</v>
      </c>
      <c r="W8" t="str">
        <v>لا</v>
      </c>
      <c r="X8" t="str">
        <v>لا</v>
      </c>
      <c r="Y8" t="str">
        <v>صرف مباشر (OTC)</v>
      </c>
      <c r="Z8">
        <v>3</v>
      </c>
      <c r="AA8">
        <v>0</v>
      </c>
      <c r="AB8" t="str">
        <v>MED-0110</v>
      </c>
    </row>
    <row r="9">
      <c r="A9">
        <v>6</v>
      </c>
      <c r="B9" t="str">
        <v>429999730727</v>
      </c>
      <c r="C9" t="str">
        <v>كونكور املو 5/5 مجم 30 قرص (concor amlo 5/5 mg 30 tabs)</v>
      </c>
      <c r="D9" t="str">
        <v>bisoprolol fumarate+amlodipine</v>
      </c>
      <c r="E9" t="str">
        <v>أقراص</v>
      </c>
      <c r="F9" t="str">
        <v>5 مجم</v>
      </c>
      <c r="G9" t="str">
        <v>merck &gt; amoun</v>
      </c>
      <c r="H9" t="str">
        <v>أدوية ضغط الدم والقلب</v>
      </c>
      <c r="I9" t="str">
        <v>رف عام - أدوية ومستحضرات</v>
      </c>
      <c r="J9" t="str">
        <v>علبة</v>
      </c>
      <c r="K9">
        <v>210</v>
      </c>
      <c r="L9">
        <v>161.7</v>
      </c>
      <c r="M9">
        <v>20</v>
      </c>
      <c r="N9">
        <v>5</v>
      </c>
      <c r="O9" s="1">
        <f>K9-L9</f>
        <v>48.3</v>
      </c>
      <c r="P9" s="2">
        <f>IF(L9&gt;0,O9/L9,0)</f>
        <v>0.2987</v>
      </c>
      <c r="Q9" s="1">
        <f>L9*M9</f>
        <v>3234</v>
      </c>
      <c r="R9" s="1">
        <f>K9*M9</f>
        <v>4200</v>
      </c>
      <c r="S9" s="1">
        <f>R9-Q9</f>
        <v>966</v>
      </c>
      <c r="T9" t="str">
        <f>IF(M9=0,"نافد",IF(M9&lt;=N9,"قرب ينفد","متوفر"))</f>
        <v>متوفر</v>
      </c>
      <c r="U9" t="str">
        <v>فموي (Oral)</v>
      </c>
      <c r="V9" t="str">
        <v>فئة B (آمن إلى حد كبير)</v>
      </c>
      <c r="W9" t="str">
        <v>لا</v>
      </c>
      <c r="X9" t="str">
        <v>لا</v>
      </c>
      <c r="Y9" t="str">
        <v>صرف مباشر (OTC)</v>
      </c>
      <c r="Z9">
        <v>3</v>
      </c>
      <c r="AA9">
        <v>0</v>
      </c>
      <c r="AB9" t="str">
        <v>MED-0111</v>
      </c>
    </row>
    <row r="10">
      <c r="A10">
        <v>7</v>
      </c>
      <c r="B10" t="str">
        <v>6222003701676</v>
      </c>
      <c r="C10" t="str">
        <v>جلوكوفاج 500مجم 50 قرص (glucophage 500 mg 50 f.c.tabs)</v>
      </c>
      <c r="D10" t="str">
        <v>metformin</v>
      </c>
      <c r="E10" t="str">
        <v>أقراص</v>
      </c>
      <c r="F10" t="str">
        <v>500مجم</v>
      </c>
      <c r="G10" t="str">
        <v>mina pharm</v>
      </c>
      <c r="H10" t="str">
        <v>أدوية السكري ومنظمات السكر</v>
      </c>
      <c r="I10" t="str">
        <v>رف D1 - أدوية السكري</v>
      </c>
      <c r="J10" t="str">
        <v>علبة</v>
      </c>
      <c r="K10">
        <v>60</v>
      </c>
      <c r="L10">
        <v>46.2</v>
      </c>
      <c r="M10">
        <v>20</v>
      </c>
      <c r="N10">
        <v>5</v>
      </c>
      <c r="O10" s="1">
        <f>K10-L10</f>
        <v>13.8</v>
      </c>
      <c r="P10" s="2">
        <f>IF(L10&gt;0,O10/L10,0)</f>
        <v>0.2987</v>
      </c>
      <c r="Q10" s="1">
        <f>L10*M10</f>
        <v>924</v>
      </c>
      <c r="R10" s="1">
        <f>K10*M10</f>
        <v>1200</v>
      </c>
      <c r="S10" s="1">
        <f>R10-Q10</f>
        <v>276</v>
      </c>
      <c r="T10" t="str">
        <f>IF(M10=0,"نافد",IF(M10&lt;=N10,"قرب ينفد","متوفر"))</f>
        <v>متوفر</v>
      </c>
      <c r="U10" t="str">
        <v>موضعي (Topical)</v>
      </c>
      <c r="V10" t="str">
        <v>فئة B (آمن إلى حد كبير)</v>
      </c>
      <c r="W10" t="str">
        <v>لا</v>
      </c>
      <c r="X10" t="str">
        <v>لا</v>
      </c>
      <c r="Y10" t="str">
        <v>صرف مباشر (OTC)</v>
      </c>
      <c r="Z10">
        <v>5</v>
      </c>
      <c r="AA10">
        <v>0</v>
      </c>
      <c r="AB10" t="str">
        <v>MED-0112</v>
      </c>
    </row>
    <row r="11">
      <c r="A11">
        <v>8</v>
      </c>
      <c r="B11" t="str">
        <v>6222003701324</v>
      </c>
      <c r="C11" t="str">
        <v>جلوكوفاج 1000مجم 30 قرص (glucophage 1000 mg 30 f.c.tabs)</v>
      </c>
      <c r="D11" t="str">
        <v>metformin</v>
      </c>
      <c r="E11" t="str">
        <v>أقراص</v>
      </c>
      <c r="F11" t="str">
        <v>1000مجم</v>
      </c>
      <c r="G11" t="str">
        <v>mina pharm</v>
      </c>
      <c r="H11" t="str">
        <v>أدوية السكري ومنظمات السكر</v>
      </c>
      <c r="I11" t="str">
        <v>رف D1 - أدوية السكري</v>
      </c>
      <c r="J11" t="str">
        <v>علبة</v>
      </c>
      <c r="K11">
        <v>54</v>
      </c>
      <c r="L11">
        <v>41.58</v>
      </c>
      <c r="M11">
        <v>20</v>
      </c>
      <c r="N11">
        <v>5</v>
      </c>
      <c r="O11" s="1">
        <f>K11-L11</f>
        <v>12.42</v>
      </c>
      <c r="P11" s="2">
        <f>IF(L11&gt;0,O11/L11,0)</f>
        <v>0.2987</v>
      </c>
      <c r="Q11" s="1">
        <f>L11*M11</f>
        <v>831.6</v>
      </c>
      <c r="R11" s="1">
        <f>K11*M11</f>
        <v>1080</v>
      </c>
      <c r="S11" s="1">
        <f>R11-Q11</f>
        <v>248.4</v>
      </c>
      <c r="T11" t="str">
        <f>IF(M11=0,"نافد",IF(M11&lt;=N11,"قرب ينفد","متوفر"))</f>
        <v>متوفر</v>
      </c>
      <c r="U11" t="str">
        <v>موضعي (Topical)</v>
      </c>
      <c r="V11" t="str">
        <v>فئة B (آمن إلى حد كبير)</v>
      </c>
      <c r="W11" t="str">
        <v>لا</v>
      </c>
      <c r="X11" t="str">
        <v>لا</v>
      </c>
      <c r="Y11" t="str">
        <v>صرف مباشر (OTC)</v>
      </c>
      <c r="Z11">
        <v>3</v>
      </c>
      <c r="AA11">
        <v>0</v>
      </c>
      <c r="AB11" t="str">
        <v>MED-0113</v>
      </c>
    </row>
    <row r="12">
      <c r="A12">
        <v>9</v>
      </c>
      <c r="B12" t="str">
        <v>6222003702482</v>
      </c>
      <c r="C12" t="str">
        <v>جلوكوفاج اكس ار 1000مجم 30 قرص (glucophage xr 1000 mg 30 tabs)</v>
      </c>
      <c r="D12" t="str">
        <v>metformin</v>
      </c>
      <c r="E12" t="str">
        <v>أقراص</v>
      </c>
      <c r="F12" t="str">
        <v>1000مجم</v>
      </c>
      <c r="G12" t="str">
        <v>mina pharm</v>
      </c>
      <c r="H12" t="str">
        <v>أدوية السكري ومنظمات السكر</v>
      </c>
      <c r="I12" t="str">
        <v>رف D1 - أدوية السكري</v>
      </c>
      <c r="J12" t="str">
        <v>علبة</v>
      </c>
      <c r="K12">
        <v>150</v>
      </c>
      <c r="L12">
        <v>115.5</v>
      </c>
      <c r="M12">
        <v>20</v>
      </c>
      <c r="N12">
        <v>5</v>
      </c>
      <c r="O12" s="1">
        <f>K12-L12</f>
        <v>34.5</v>
      </c>
      <c r="P12" s="2">
        <f>IF(L12&gt;0,O12/L12,0)</f>
        <v>0.2987</v>
      </c>
      <c r="Q12" s="1">
        <f>L12*M12</f>
        <v>2310</v>
      </c>
      <c r="R12" s="1">
        <f>K12*M12</f>
        <v>3000</v>
      </c>
      <c r="S12" s="1">
        <f>R12-Q12</f>
        <v>690</v>
      </c>
      <c r="T12" t="str">
        <f>IF(M12=0,"نافد",IF(M12&lt;=N12,"قرب ينفد","متوفر"))</f>
        <v>متوفر</v>
      </c>
      <c r="U12" t="str">
        <v>موضعي (Topical)</v>
      </c>
      <c r="V12" t="str">
        <v>فئة B (آمن إلى حد كبير)</v>
      </c>
      <c r="W12" t="str">
        <v>لا</v>
      </c>
      <c r="X12" t="str">
        <v>لا</v>
      </c>
      <c r="Y12" t="str">
        <v>صرف مباشر (OTC)</v>
      </c>
      <c r="Z12">
        <v>3</v>
      </c>
      <c r="AA12">
        <v>0</v>
      </c>
      <c r="AB12" t="str">
        <v>MED-0114</v>
      </c>
    </row>
    <row r="13">
      <c r="A13">
        <v>10</v>
      </c>
      <c r="B13" t="str">
        <v>6220001025770</v>
      </c>
      <c r="C13" t="str">
        <v>جلوكوفاج اكس ار 500مجم 30 قرص (glucophage xr 500 mg 30 tabs)</v>
      </c>
      <c r="D13" t="str">
        <v>metformin</v>
      </c>
      <c r="E13" t="str">
        <v>أقراص</v>
      </c>
      <c r="F13" t="str">
        <v>500مجم</v>
      </c>
      <c r="G13" t="str">
        <v>mina pharm</v>
      </c>
      <c r="H13" t="str">
        <v>أدوية السكري ومنظمات السكر</v>
      </c>
      <c r="I13" t="str">
        <v>رف D1 - أدوية السكري</v>
      </c>
      <c r="J13" t="str">
        <v>علبة</v>
      </c>
      <c r="K13">
        <v>92</v>
      </c>
      <c r="L13">
        <v>70.84</v>
      </c>
      <c r="M13">
        <v>20</v>
      </c>
      <c r="N13">
        <v>5</v>
      </c>
      <c r="O13" s="1">
        <f>K13-L13</f>
        <v>21.16</v>
      </c>
      <c r="P13" s="2">
        <f>IF(L13&gt;0,O13/L13,0)</f>
        <v>0.2987</v>
      </c>
      <c r="Q13" s="1">
        <f>L13*M13</f>
        <v>1416.8</v>
      </c>
      <c r="R13" s="1">
        <f>K13*M13</f>
        <v>1840</v>
      </c>
      <c r="S13" s="1">
        <f>R13-Q13</f>
        <v>423.2</v>
      </c>
      <c r="T13" t="str">
        <f>IF(M13=0,"نافد",IF(M13&lt;=N13,"قرب ينفد","متوفر"))</f>
        <v>متوفر</v>
      </c>
      <c r="U13" t="str">
        <v>موضعي (Topical)</v>
      </c>
      <c r="V13" t="str">
        <v>فئة B (آمن إلى حد كبير)</v>
      </c>
      <c r="W13" t="str">
        <v>لا</v>
      </c>
      <c r="X13" t="str">
        <v>لا</v>
      </c>
      <c r="Y13" t="str">
        <v>صرف مباشر (OTC)</v>
      </c>
      <c r="Z13">
        <v>3</v>
      </c>
      <c r="AA13">
        <v>0</v>
      </c>
      <c r="AB13" t="str">
        <v>MED-0115</v>
      </c>
    </row>
    <row r="14">
      <c r="A14">
        <v>11</v>
      </c>
      <c r="B14" t="str">
        <v>6223003990046</v>
      </c>
      <c r="C14" t="str">
        <v>اماريل 1مجم 30 قرص (amaryl 1 mg 30 tab)</v>
      </c>
      <c r="D14" t="str">
        <v>glimepiride</v>
      </c>
      <c r="E14" t="str">
        <v>أقراص</v>
      </c>
      <c r="F14" t="str">
        <v>1مجم</v>
      </c>
      <c r="G14" t="str">
        <v>sanofi</v>
      </c>
      <c r="H14" t="str">
        <v>أدوية السكري ومنظمات السكر</v>
      </c>
      <c r="I14" t="str">
        <v>رف D1 - أدوية السكري</v>
      </c>
      <c r="J14" t="str">
        <v>علبة</v>
      </c>
      <c r="K14">
        <v>40</v>
      </c>
      <c r="L14">
        <v>30.8</v>
      </c>
      <c r="M14">
        <v>20</v>
      </c>
      <c r="N14">
        <v>5</v>
      </c>
      <c r="O14" s="1">
        <f>K14-L14</f>
        <v>9.2</v>
      </c>
      <c r="P14" s="2">
        <f>IF(L14&gt;0,O14/L14,0)</f>
        <v>0.2987</v>
      </c>
      <c r="Q14" s="1">
        <f>L14*M14</f>
        <v>616</v>
      </c>
      <c r="R14" s="1">
        <f>K14*M14</f>
        <v>800</v>
      </c>
      <c r="S14" s="1">
        <f>R14-Q14</f>
        <v>184</v>
      </c>
      <c r="T14" t="str">
        <f>IF(M14=0,"نافد",IF(M14&lt;=N14,"قرب ينفد","متوفر"))</f>
        <v>متوفر</v>
      </c>
      <c r="U14" t="str">
        <v>فموي (Oral)</v>
      </c>
      <c r="V14" t="str">
        <v>فئة B (آمن إلى حد كبير)</v>
      </c>
      <c r="W14" t="str">
        <v>لا</v>
      </c>
      <c r="X14" t="str">
        <v>لا</v>
      </c>
      <c r="Y14" t="str">
        <v>صرف مباشر (OTC)</v>
      </c>
      <c r="Z14">
        <v>3</v>
      </c>
      <c r="AA14">
        <v>0</v>
      </c>
      <c r="AB14" t="str">
        <v>MED-0116</v>
      </c>
    </row>
    <row r="15">
      <c r="A15">
        <v>12</v>
      </c>
      <c r="B15" t="str">
        <v>6223003990077</v>
      </c>
      <c r="C15" t="str">
        <v>اماريل 2مجم 30 قرص (amaryl 2 mg 30 tabs)</v>
      </c>
      <c r="D15" t="str">
        <v>glimepiride</v>
      </c>
      <c r="E15" t="str">
        <v>أقراص</v>
      </c>
      <c r="F15" t="str">
        <v>2مجم</v>
      </c>
      <c r="G15" t="str">
        <v>sanofi</v>
      </c>
      <c r="H15" t="str">
        <v>أدوية السكري ومنظمات السكر</v>
      </c>
      <c r="I15" t="str">
        <v>رف D1 - أدوية السكري</v>
      </c>
      <c r="J15" t="str">
        <v>علبة</v>
      </c>
      <c r="K15">
        <v>78</v>
      </c>
      <c r="L15">
        <v>60.06</v>
      </c>
      <c r="M15">
        <v>20</v>
      </c>
      <c r="N15">
        <v>5</v>
      </c>
      <c r="O15" s="1">
        <f>K15-L15</f>
        <v>17.94</v>
      </c>
      <c r="P15" s="2">
        <f>IF(L15&gt;0,O15/L15,0)</f>
        <v>0.2987</v>
      </c>
      <c r="Q15" s="1">
        <f>L15*M15</f>
        <v>1201.2</v>
      </c>
      <c r="R15" s="1">
        <f>K15*M15</f>
        <v>1560</v>
      </c>
      <c r="S15" s="1">
        <f>R15-Q15</f>
        <v>358.8</v>
      </c>
      <c r="T15" t="str">
        <f>IF(M15=0,"نافد",IF(M15&lt;=N15,"قرب ينفد","متوفر"))</f>
        <v>متوفر</v>
      </c>
      <c r="U15" t="str">
        <v>فموي (Oral)</v>
      </c>
      <c r="V15" t="str">
        <v>فئة B (آمن إلى حد كبير)</v>
      </c>
      <c r="W15" t="str">
        <v>لا</v>
      </c>
      <c r="X15" t="str">
        <v>لا</v>
      </c>
      <c r="Y15" t="str">
        <v>صرف مباشر (OTC)</v>
      </c>
      <c r="Z15">
        <v>3</v>
      </c>
      <c r="AA15">
        <v>0</v>
      </c>
      <c r="AB15" t="str">
        <v>MED-0117</v>
      </c>
    </row>
    <row r="16">
      <c r="A16">
        <v>13</v>
      </c>
      <c r="B16" t="str">
        <v>6223003991968</v>
      </c>
      <c r="C16" t="str">
        <v>اماريل 3مجم 30 قرص (amaryl 3 mg 30 tabs)</v>
      </c>
      <c r="D16" t="str">
        <v>glimepiride</v>
      </c>
      <c r="E16" t="str">
        <v>أقراص</v>
      </c>
      <c r="F16" t="str">
        <v>3مجم</v>
      </c>
      <c r="G16" t="str">
        <v>sanofi</v>
      </c>
      <c r="H16" t="str">
        <v>أدوية السكري ومنظمات السكر</v>
      </c>
      <c r="I16" t="str">
        <v>رف D1 - أدوية السكري</v>
      </c>
      <c r="J16" t="str">
        <v>علبة</v>
      </c>
      <c r="K16">
        <v>87</v>
      </c>
      <c r="L16">
        <v>66.99</v>
      </c>
      <c r="M16">
        <v>20</v>
      </c>
      <c r="N16">
        <v>5</v>
      </c>
      <c r="O16" s="1">
        <f>K16-L16</f>
        <v>20.01</v>
      </c>
      <c r="P16" s="2">
        <f>IF(L16&gt;0,O16/L16,0)</f>
        <v>0.2987</v>
      </c>
      <c r="Q16" s="1">
        <f>L16*M16</f>
        <v>1339.8</v>
      </c>
      <c r="R16" s="1">
        <f>K16*M16</f>
        <v>1740</v>
      </c>
      <c r="S16" s="1">
        <f>R16-Q16</f>
        <v>400.2</v>
      </c>
      <c r="T16" t="str">
        <f>IF(M16=0,"نافد",IF(M16&lt;=N16,"قرب ينفد","متوفر"))</f>
        <v>متوفر</v>
      </c>
      <c r="U16" t="str">
        <v>فموي (Oral)</v>
      </c>
      <c r="V16" t="str">
        <v>فئة B (آمن إلى حد كبير)</v>
      </c>
      <c r="W16" t="str">
        <v>لا</v>
      </c>
      <c r="X16" t="str">
        <v>لا</v>
      </c>
      <c r="Y16" t="str">
        <v>صرف مباشر (OTC)</v>
      </c>
      <c r="Z16">
        <v>3</v>
      </c>
      <c r="AA16">
        <v>0</v>
      </c>
      <c r="AB16" t="str">
        <v>MED-0118</v>
      </c>
    </row>
    <row r="17">
      <c r="A17">
        <v>14</v>
      </c>
      <c r="B17" t="str">
        <v>6223003991852</v>
      </c>
      <c r="C17" t="str">
        <v>اماريل 4مجم 30 قرص (amaryl 4 mg 30 tabs)</v>
      </c>
      <c r="D17" t="str">
        <v>glimepiride</v>
      </c>
      <c r="E17" t="str">
        <v>أقراص</v>
      </c>
      <c r="F17" t="str">
        <v>4مجم</v>
      </c>
      <c r="G17" t="str">
        <v>sanofi</v>
      </c>
      <c r="H17" t="str">
        <v>أدوية السكري ومنظمات السكر</v>
      </c>
      <c r="I17" t="str">
        <v>رف D1 - أدوية السكري</v>
      </c>
      <c r="J17" t="str">
        <v>علبة</v>
      </c>
      <c r="K17">
        <v>108</v>
      </c>
      <c r="L17">
        <v>83.16</v>
      </c>
      <c r="M17">
        <v>20</v>
      </c>
      <c r="N17">
        <v>5</v>
      </c>
      <c r="O17" s="1">
        <f>K17-L17</f>
        <v>24.84</v>
      </c>
      <c r="P17" s="2">
        <f>IF(L17&gt;0,O17/L17,0)</f>
        <v>0.2987</v>
      </c>
      <c r="Q17" s="1">
        <f>L17*M17</f>
        <v>1663.2</v>
      </c>
      <c r="R17" s="1">
        <f>K17*M17</f>
        <v>2160</v>
      </c>
      <c r="S17" s="1">
        <f>R17-Q17</f>
        <v>496.8</v>
      </c>
      <c r="T17" t="str">
        <f>IF(M17=0,"نافد",IF(M17&lt;=N17,"قرب ينفد","متوفر"))</f>
        <v>متوفر</v>
      </c>
      <c r="U17" t="str">
        <v>فموي (Oral)</v>
      </c>
      <c r="V17" t="str">
        <v>فئة B (آمن إلى حد كبير)</v>
      </c>
      <c r="W17" t="str">
        <v>لا</v>
      </c>
      <c r="X17" t="str">
        <v>لا</v>
      </c>
      <c r="Y17" t="str">
        <v>صرف مباشر (OTC)</v>
      </c>
      <c r="Z17">
        <v>3</v>
      </c>
      <c r="AA17">
        <v>0</v>
      </c>
      <c r="AB17" t="str">
        <v>MED-0119</v>
      </c>
    </row>
    <row r="18">
      <c r="A18">
        <v>15</v>
      </c>
      <c r="B18" t="str">
        <v>6223003991869</v>
      </c>
      <c r="C18" t="str">
        <v>اماريل ام 2/500 مجم 30 قرص (amaryl m 2/500 mg 30 f.c.tabs)</v>
      </c>
      <c r="D18" t="str">
        <v>glimepiride+metformin</v>
      </c>
      <c r="E18" t="str">
        <v>أقراص</v>
      </c>
      <c r="F18" t="str">
        <v>500 مجم</v>
      </c>
      <c r="G18" t="str">
        <v>sanofi aventis &gt; handok pharmaceuticals</v>
      </c>
      <c r="H18" t="str">
        <v>أدوية السكري ومنظمات السكر</v>
      </c>
      <c r="I18" t="str">
        <v>رف D1 - أدوية السكري</v>
      </c>
      <c r="J18" t="str">
        <v>علبة</v>
      </c>
      <c r="K18">
        <v>102</v>
      </c>
      <c r="L18">
        <v>78.54</v>
      </c>
      <c r="M18">
        <v>20</v>
      </c>
      <c r="N18">
        <v>5</v>
      </c>
      <c r="O18" s="1">
        <f>K18-L18</f>
        <v>23.46</v>
      </c>
      <c r="P18" s="2">
        <f>IF(L18&gt;0,O18/L18,0)</f>
        <v>0.2987</v>
      </c>
      <c r="Q18" s="1">
        <f>L18*M18</f>
        <v>1570.8</v>
      </c>
      <c r="R18" s="1">
        <f>K18*M18</f>
        <v>2040</v>
      </c>
      <c r="S18" s="1">
        <f>R18-Q18</f>
        <v>469.2</v>
      </c>
      <c r="T18" t="str">
        <f>IF(M18=0,"نافد",IF(M18&lt;=N18,"قرب ينفد","متوفر"))</f>
        <v>متوفر</v>
      </c>
      <c r="U18" t="str">
        <v>فموي (Oral)</v>
      </c>
      <c r="V18" t="str">
        <v>فئة B (آمن إلى حد كبير)</v>
      </c>
      <c r="W18" t="str">
        <v>لا</v>
      </c>
      <c r="X18" t="str">
        <v>لا</v>
      </c>
      <c r="Y18" t="str">
        <v>صرف مباشر (OTC)</v>
      </c>
      <c r="Z18">
        <v>3</v>
      </c>
      <c r="AA18">
        <v>0</v>
      </c>
      <c r="AB18" t="str">
        <v>MED-0120</v>
      </c>
    </row>
    <row r="19">
      <c r="A19">
        <v>16</v>
      </c>
      <c r="B19" t="str">
        <v>6223002642175</v>
      </c>
      <c r="C19" t="str">
        <v>اكسفورج 10مجم/160مجم 14 قرص (exforge 10mg/160mg 14 f.c. tab)</v>
      </c>
      <c r="D19" t="str">
        <v>amlodipine+valsartan</v>
      </c>
      <c r="E19" t="str">
        <v>أقراص</v>
      </c>
      <c r="F19" t="str">
        <v>10مجم</v>
      </c>
      <c r="G19" t="str">
        <v>novartis</v>
      </c>
      <c r="H19" t="str">
        <v>أدوية ضغط الدم والقلب</v>
      </c>
      <c r="I19" t="str">
        <v>رف عام - أدوية ومستحضرات</v>
      </c>
      <c r="J19" t="str">
        <v>علبة</v>
      </c>
      <c r="K19">
        <v>218</v>
      </c>
      <c r="L19">
        <v>167.86</v>
      </c>
      <c r="M19">
        <v>20</v>
      </c>
      <c r="N19">
        <v>5</v>
      </c>
      <c r="O19" s="1">
        <f>K19-L19</f>
        <v>50.14</v>
      </c>
      <c r="P19" s="2">
        <f>IF(L19&gt;0,O19/L19,0)</f>
        <v>0.2987</v>
      </c>
      <c r="Q19" s="1">
        <f>L19*M19</f>
        <v>3357.2</v>
      </c>
      <c r="R19" s="1">
        <f>K19*M19</f>
        <v>4360</v>
      </c>
      <c r="S19" s="1">
        <f>R19-Q19</f>
        <v>1002.8</v>
      </c>
      <c r="T19" t="str">
        <f>IF(M19=0,"نافد",IF(M19&lt;=N19,"قرب ينفد","متوفر"))</f>
        <v>متوفر</v>
      </c>
      <c r="U19" t="str">
        <v>فموي (Oral)</v>
      </c>
      <c r="V19" t="str">
        <v>فئة B (آمن إلى حد كبير)</v>
      </c>
      <c r="W19" t="str">
        <v>لا</v>
      </c>
      <c r="X19" t="str">
        <v>لا</v>
      </c>
      <c r="Y19" t="str">
        <v>صرف مباشر (OTC)</v>
      </c>
      <c r="Z19">
        <v>2</v>
      </c>
      <c r="AA19">
        <v>0</v>
      </c>
      <c r="AB19" t="str">
        <v>MED-0121</v>
      </c>
    </row>
    <row r="20">
      <c r="A20">
        <v>17</v>
      </c>
      <c r="B20" t="str">
        <v>6223002642168</v>
      </c>
      <c r="C20" t="str">
        <v>اكسفورج 5/160مجم 14 قرص (exforge 5mg/160mg 14 f.c. tab)</v>
      </c>
      <c r="D20" t="str">
        <v>amlodipine+valsartan</v>
      </c>
      <c r="E20" t="str">
        <v>أقراص</v>
      </c>
      <c r="F20" t="str">
        <v>160مجم</v>
      </c>
      <c r="G20" t="str">
        <v>novartis</v>
      </c>
      <c r="H20" t="str">
        <v>أدوية ضغط الدم والقلب</v>
      </c>
      <c r="I20" t="str">
        <v>رف عام - أدوية ومستحضرات</v>
      </c>
      <c r="J20" t="str">
        <v>علبة</v>
      </c>
      <c r="K20">
        <v>218</v>
      </c>
      <c r="L20">
        <v>167.86</v>
      </c>
      <c r="M20">
        <v>20</v>
      </c>
      <c r="N20">
        <v>5</v>
      </c>
      <c r="O20" s="1">
        <f>K20-L20</f>
        <v>50.14</v>
      </c>
      <c r="P20" s="2">
        <f>IF(L20&gt;0,O20/L20,0)</f>
        <v>0.2987</v>
      </c>
      <c r="Q20" s="1">
        <f>L20*M20</f>
        <v>3357.2</v>
      </c>
      <c r="R20" s="1">
        <f>K20*M20</f>
        <v>4360</v>
      </c>
      <c r="S20" s="1">
        <f>R20-Q20</f>
        <v>1002.8</v>
      </c>
      <c r="T20" t="str">
        <f>IF(M20=0,"نافد",IF(M20&lt;=N20,"قرب ينفد","متوفر"))</f>
        <v>متوفر</v>
      </c>
      <c r="U20" t="str">
        <v>فموي (Oral)</v>
      </c>
      <c r="V20" t="str">
        <v>فئة B (آمن إلى حد كبير)</v>
      </c>
      <c r="W20" t="str">
        <v>لا</v>
      </c>
      <c r="X20" t="str">
        <v>لا</v>
      </c>
      <c r="Y20" t="str">
        <v>صرف مباشر (OTC)</v>
      </c>
      <c r="Z20">
        <v>2</v>
      </c>
      <c r="AA20">
        <v>0</v>
      </c>
      <c r="AB20" t="str">
        <v>MED-0122</v>
      </c>
    </row>
    <row r="21">
      <c r="A21">
        <v>18</v>
      </c>
      <c r="B21" t="str">
        <v>2393624760008</v>
      </c>
      <c r="C21" t="str">
        <v>اكسفورج اتش سي تي 10/160/25مجم 14 قرص (exforge hct 10/160/25mg 14 f.c. tab)</v>
      </c>
      <c r="D21" t="str">
        <v>amlodipine+hydrochlorothiazide+valsartan</v>
      </c>
      <c r="E21" t="str">
        <v>أقراص</v>
      </c>
      <c r="F21" t="str">
        <v>25مجم</v>
      </c>
      <c r="G21" t="str">
        <v>novartis</v>
      </c>
      <c r="H21" t="str">
        <v>أدوية ضغط الدم والقلب</v>
      </c>
      <c r="I21" t="str">
        <v>رف عام - أدوية ومستحضرات</v>
      </c>
      <c r="J21" t="str">
        <v>علبة</v>
      </c>
      <c r="K21">
        <v>270</v>
      </c>
      <c r="L21">
        <v>207.9</v>
      </c>
      <c r="M21">
        <v>20</v>
      </c>
      <c r="N21">
        <v>5</v>
      </c>
      <c r="O21" s="1">
        <f>K21-L21</f>
        <v>62.1</v>
      </c>
      <c r="P21" s="2">
        <f>IF(L21&gt;0,O21/L21,0)</f>
        <v>0.2987</v>
      </c>
      <c r="Q21" s="1">
        <f>L21*M21</f>
        <v>4158</v>
      </c>
      <c r="R21" s="1">
        <f>K21*M21</f>
        <v>5400</v>
      </c>
      <c r="S21" s="1">
        <f>R21-Q21</f>
        <v>1242</v>
      </c>
      <c r="T21" t="str">
        <f>IF(M21=0,"نافد",IF(M21&lt;=N21,"قرب ينفد","متوفر"))</f>
        <v>متوفر</v>
      </c>
      <c r="U21" t="str">
        <v>فموي (Oral)</v>
      </c>
      <c r="V21" t="str">
        <v>فئة B (آمن إلى حد كبير)</v>
      </c>
      <c r="W21" t="str">
        <v>لا</v>
      </c>
      <c r="X21" t="str">
        <v>لا</v>
      </c>
      <c r="Y21" t="str">
        <v>صرف مباشر (OTC)</v>
      </c>
      <c r="Z21">
        <v>2</v>
      </c>
      <c r="AA21">
        <v>0</v>
      </c>
      <c r="AB21" t="str">
        <v>MED-0123</v>
      </c>
    </row>
    <row r="22">
      <c r="A22">
        <v>19</v>
      </c>
      <c r="B22" t="str">
        <v>6220001020928</v>
      </c>
      <c r="C22" t="str">
        <v>اكسفورج اتش سي تي 5/ 160/12.5مجم 14 قرص (exforge hct 5/160/12.5mg 14 f.c. tab)</v>
      </c>
      <c r="D22" t="str">
        <v>amlodipine+hydrochlorothiazide+valsartan</v>
      </c>
      <c r="E22" t="str">
        <v>أقراص</v>
      </c>
      <c r="F22" t="str">
        <v>12.5مجم</v>
      </c>
      <c r="G22" t="str">
        <v>novartis</v>
      </c>
      <c r="H22" t="str">
        <v>أدوية ضغط الدم والقلب</v>
      </c>
      <c r="I22" t="str">
        <v>رف عام - أدوية ومستحضرات</v>
      </c>
      <c r="J22" t="str">
        <v>علبة</v>
      </c>
      <c r="K22">
        <v>270</v>
      </c>
      <c r="L22">
        <v>207.9</v>
      </c>
      <c r="M22">
        <v>20</v>
      </c>
      <c r="N22">
        <v>5</v>
      </c>
      <c r="O22" s="1">
        <f>K22-L22</f>
        <v>62.1</v>
      </c>
      <c r="P22" s="2">
        <f>IF(L22&gt;0,O22/L22,0)</f>
        <v>0.2987</v>
      </c>
      <c r="Q22" s="1">
        <f>L22*M22</f>
        <v>4158</v>
      </c>
      <c r="R22" s="1">
        <f>K22*M22</f>
        <v>5400</v>
      </c>
      <c r="S22" s="1">
        <f>R22-Q22</f>
        <v>1242</v>
      </c>
      <c r="T22" t="str">
        <f>IF(M22=0,"نافد",IF(M22&lt;=N22,"قرب ينفد","متوفر"))</f>
        <v>متوفر</v>
      </c>
      <c r="U22" t="str">
        <v>فموي (Oral)</v>
      </c>
      <c r="V22" t="str">
        <v>فئة B (آمن إلى حد كبير)</v>
      </c>
      <c r="W22" t="str">
        <v>لا</v>
      </c>
      <c r="X22" t="str">
        <v>لا</v>
      </c>
      <c r="Y22" t="str">
        <v>صرف مباشر (OTC)</v>
      </c>
      <c r="Z22">
        <v>2</v>
      </c>
      <c r="AA22">
        <v>0</v>
      </c>
      <c r="AB22" t="str">
        <v>MED-0124</v>
      </c>
    </row>
    <row r="23">
      <c r="A23">
        <v>20</v>
      </c>
      <c r="B23" t="str">
        <v>3582910069508</v>
      </c>
      <c r="C23" t="str">
        <v>بلافيكس 300مجم 30 قرص (plavix 300mg 30 film coated tab)</v>
      </c>
      <c r="D23" t="str">
        <v>clopidogrel</v>
      </c>
      <c r="E23" t="str">
        <v>أقراص</v>
      </c>
      <c r="F23" t="str">
        <v>300مجم</v>
      </c>
      <c r="G23" t="str">
        <v>sanofi winthrop &gt; sanofi</v>
      </c>
      <c r="H23" t="str">
        <v>أدوية ومستحضرات طبية عامة</v>
      </c>
      <c r="I23" t="str">
        <v>رف عام - أدوية ومستحضرات</v>
      </c>
      <c r="J23" t="str">
        <v>علبة</v>
      </c>
      <c r="K23">
        <v>704</v>
      </c>
      <c r="L23">
        <v>542.08</v>
      </c>
      <c r="M23">
        <v>20</v>
      </c>
      <c r="N23">
        <v>5</v>
      </c>
      <c r="O23" s="1">
        <f>K23-L23</f>
        <v>161.92</v>
      </c>
      <c r="P23" s="2">
        <f>IF(L23&gt;0,O23/L23,0)</f>
        <v>0.2987</v>
      </c>
      <c r="Q23" s="1">
        <f>L23*M23</f>
        <v>10841.6</v>
      </c>
      <c r="R23" s="1">
        <f>K23*M23</f>
        <v>14080</v>
      </c>
      <c r="S23" s="1">
        <f>R23-Q23</f>
        <v>3238.4</v>
      </c>
      <c r="T23" t="str">
        <f>IF(M23=0,"نافد",IF(M23&lt;=N23,"قرب ينفد","متوفر"))</f>
        <v>متوفر</v>
      </c>
      <c r="U23" t="str">
        <v>فموي (Oral)</v>
      </c>
      <c r="V23" t="str">
        <v>فئة B (آمن إلى حد كبير)</v>
      </c>
      <c r="W23" t="str">
        <v>لا</v>
      </c>
      <c r="X23" t="str">
        <v>لا</v>
      </c>
      <c r="Y23" t="str">
        <v>صرف مباشر (OTC)</v>
      </c>
      <c r="Z23">
        <v>3</v>
      </c>
      <c r="AA23">
        <v>0</v>
      </c>
      <c r="AB23" t="str">
        <v>MED-0125</v>
      </c>
    </row>
    <row r="24">
      <c r="A24">
        <v>21</v>
      </c>
      <c r="B24" t="str">
        <v>6223003992316</v>
      </c>
      <c r="C24" t="str">
        <v>بلافيكس 75 مجم 28 قرص (plavix 75 mg 28 f.c.tabs)</v>
      </c>
      <c r="D24" t="str">
        <v>clopidogrel</v>
      </c>
      <c r="E24" t="str">
        <v>أقراص</v>
      </c>
      <c r="F24" t="str">
        <v>75 مجم</v>
      </c>
      <c r="G24" t="str">
        <v>sanofi winthrop &gt; sanofi</v>
      </c>
      <c r="H24" t="str">
        <v>أدوية ومستحضرات طبية عامة</v>
      </c>
      <c r="I24" t="str">
        <v>رف عام - أدوية ومستحضرات</v>
      </c>
      <c r="J24" t="str">
        <v>علبة</v>
      </c>
      <c r="K24">
        <v>311</v>
      </c>
      <c r="L24">
        <v>239.47</v>
      </c>
      <c r="M24">
        <v>20</v>
      </c>
      <c r="N24">
        <v>5</v>
      </c>
      <c r="O24" s="1">
        <f>K24-L24</f>
        <v>71.53</v>
      </c>
      <c r="P24" s="2">
        <f>IF(L24&gt;0,O24/L24,0)</f>
        <v>0.2987</v>
      </c>
      <c r="Q24" s="1">
        <f>L24*M24</f>
        <v>4789.4</v>
      </c>
      <c r="R24" s="1">
        <f>K24*M24</f>
        <v>6220</v>
      </c>
      <c r="S24" s="1">
        <f>R24-Q24</f>
        <v>1430.6</v>
      </c>
      <c r="T24" t="str">
        <f>IF(M24=0,"نافد",IF(M24&lt;=N24,"قرب ينفد","متوفر"))</f>
        <v>متوفر</v>
      </c>
      <c r="U24" t="str">
        <v>فموي (Oral)</v>
      </c>
      <c r="V24" t="str">
        <v>فئة B (آمن إلى حد كبير)</v>
      </c>
      <c r="W24" t="str">
        <v>لا</v>
      </c>
      <c r="X24" t="str">
        <v>لا</v>
      </c>
      <c r="Y24" t="str">
        <v>صرف مباشر (OTC)</v>
      </c>
      <c r="Z24">
        <v>2</v>
      </c>
      <c r="AA24">
        <v>0</v>
      </c>
      <c r="AB24" t="str">
        <v>MED-0126</v>
      </c>
    </row>
    <row r="25">
      <c r="A25">
        <v>22</v>
      </c>
      <c r="B25" t="str">
        <v>933244086540</v>
      </c>
      <c r="C25" t="str">
        <v>ماريفان 1مجم 102 قرص (marevan 1 mg 102 tabs)</v>
      </c>
      <c r="D25" t="str">
        <v>warfarin</v>
      </c>
      <c r="E25" t="str">
        <v>أقراص</v>
      </c>
      <c r="F25" t="str">
        <v>1مجم</v>
      </c>
      <c r="G25" t="str">
        <v>glaxo smithkline</v>
      </c>
      <c r="H25" t="str">
        <v>أدوية ومستحضرات طبية عامة</v>
      </c>
      <c r="I25" t="str">
        <v>رف عام - أدوية ومستحضرات</v>
      </c>
      <c r="J25" t="str">
        <v>علبة</v>
      </c>
      <c r="K25">
        <v>39</v>
      </c>
      <c r="L25">
        <v>30.03</v>
      </c>
      <c r="M25">
        <v>20</v>
      </c>
      <c r="N25">
        <v>5</v>
      </c>
      <c r="O25" s="1">
        <f>K25-L25</f>
        <v>8.97</v>
      </c>
      <c r="P25" s="2">
        <f>IF(L25&gt;0,O25/L25,0)</f>
        <v>0.2987</v>
      </c>
      <c r="Q25" s="1">
        <f>L25*M25</f>
        <v>600.6</v>
      </c>
      <c r="R25" s="1">
        <f>K25*M25</f>
        <v>780</v>
      </c>
      <c r="S25" s="1">
        <f>R25-Q25</f>
        <v>179.4</v>
      </c>
      <c r="T25" t="str">
        <f>IF(M25=0,"نافد",IF(M25&lt;=N25,"قرب ينفد","متوفر"))</f>
        <v>متوفر</v>
      </c>
      <c r="U25" t="str">
        <v>فموي (Oral)</v>
      </c>
      <c r="V25" t="str">
        <v>فئة C (بحذر وإشراف طبي)</v>
      </c>
      <c r="W25" t="str">
        <v>لا</v>
      </c>
      <c r="X25" t="str">
        <v>لا</v>
      </c>
      <c r="Y25" t="str">
        <v>صرف مباشر (OTC)</v>
      </c>
      <c r="Z25">
        <v>3</v>
      </c>
      <c r="AA25">
        <v>0</v>
      </c>
      <c r="AB25" t="str">
        <v>MED-0127</v>
      </c>
    </row>
    <row r="26">
      <c r="A26">
        <v>23</v>
      </c>
      <c r="B26" t="str">
        <v>5054290001754</v>
      </c>
      <c r="C26" t="str">
        <v>ماريفان 5مجم 102 قرص (marevan 5mg 102 tab)</v>
      </c>
      <c r="D26" t="str">
        <v>warfarin</v>
      </c>
      <c r="E26" t="str">
        <v>أقراص</v>
      </c>
      <c r="F26" t="str">
        <v>5مجم</v>
      </c>
      <c r="G26" t="str">
        <v>glaxo smithkline</v>
      </c>
      <c r="H26" t="str">
        <v>أدوية ومستحضرات طبية عامة</v>
      </c>
      <c r="I26" t="str">
        <v>رف عام - أدوية ومستحضرات</v>
      </c>
      <c r="J26" t="str">
        <v>علبة</v>
      </c>
      <c r="K26">
        <v>78</v>
      </c>
      <c r="L26">
        <v>60.06</v>
      </c>
      <c r="M26">
        <v>20</v>
      </c>
      <c r="N26">
        <v>5</v>
      </c>
      <c r="O26" s="1">
        <f>K26-L26</f>
        <v>17.94</v>
      </c>
      <c r="P26" s="2">
        <f>IF(L26&gt;0,O26/L26,0)</f>
        <v>0.2987</v>
      </c>
      <c r="Q26" s="1">
        <f>L26*M26</f>
        <v>1201.2</v>
      </c>
      <c r="R26" s="1">
        <f>K26*M26</f>
        <v>1560</v>
      </c>
      <c r="S26" s="1">
        <f>R26-Q26</f>
        <v>358.8</v>
      </c>
      <c r="T26" t="str">
        <f>IF(M26=0,"نافد",IF(M26&lt;=N26,"قرب ينفد","متوفر"))</f>
        <v>متوفر</v>
      </c>
      <c r="U26" t="str">
        <v>فموي (Oral)</v>
      </c>
      <c r="V26" t="str">
        <v>فئة C (بحذر وإشراف طبي)</v>
      </c>
      <c r="W26" t="str">
        <v>لا</v>
      </c>
      <c r="X26" t="str">
        <v>لا</v>
      </c>
      <c r="Y26" t="str">
        <v>صرف مباشر (OTC)</v>
      </c>
      <c r="Z26">
        <v>3</v>
      </c>
      <c r="AA26">
        <v>0</v>
      </c>
      <c r="AB26" t="str">
        <v>MED-0128</v>
      </c>
    </row>
    <row r="27">
      <c r="A27">
        <v>24</v>
      </c>
      <c r="B27" t="str">
        <v>5054290001747</v>
      </c>
      <c r="C27" t="str">
        <v>ماريفان 3مجم 102 قرص (marevan 3mg 102 tab)</v>
      </c>
      <c r="D27" t="str">
        <v>warfarin</v>
      </c>
      <c r="E27" t="str">
        <v>أقراص</v>
      </c>
      <c r="F27" t="str">
        <v>3مجم</v>
      </c>
      <c r="G27" t="str">
        <v>glaxo smithkline</v>
      </c>
      <c r="H27" t="str">
        <v>أدوية ومستحضرات طبية عامة</v>
      </c>
      <c r="I27" t="str">
        <v>رف عام - أدوية ومستحضرات</v>
      </c>
      <c r="J27" t="str">
        <v>علبة</v>
      </c>
      <c r="K27">
        <v>60</v>
      </c>
      <c r="L27">
        <v>46.2</v>
      </c>
      <c r="M27">
        <v>20</v>
      </c>
      <c r="N27">
        <v>5</v>
      </c>
      <c r="O27" s="1">
        <f>K27-L27</f>
        <v>13.8</v>
      </c>
      <c r="P27" s="2">
        <f>IF(L27&gt;0,O27/L27,0)</f>
        <v>0.2987</v>
      </c>
      <c r="Q27" s="1">
        <f>L27*M27</f>
        <v>924</v>
      </c>
      <c r="R27" s="1">
        <f>K27*M27</f>
        <v>1200</v>
      </c>
      <c r="S27" s="1">
        <f>R27-Q27</f>
        <v>276</v>
      </c>
      <c r="T27" t="str">
        <f>IF(M27=0,"نافد",IF(M27&lt;=N27,"قرب ينفد","متوفر"))</f>
        <v>متوفر</v>
      </c>
      <c r="U27" t="str">
        <v>فموي (Oral)</v>
      </c>
      <c r="V27" t="str">
        <v>فئة C (بحذر وإشراف طبي)</v>
      </c>
      <c r="W27" t="str">
        <v>لا</v>
      </c>
      <c r="X27" t="str">
        <v>لا</v>
      </c>
      <c r="Y27" t="str">
        <v>صرف مباشر (OTC)</v>
      </c>
      <c r="Z27">
        <v>3</v>
      </c>
      <c r="AA27">
        <v>0</v>
      </c>
      <c r="AB27" t="str">
        <v>MED-0129</v>
      </c>
    </row>
    <row r="28">
      <c r="A28">
        <v>25</v>
      </c>
      <c r="B28" t="str">
        <v>5054290001730</v>
      </c>
      <c r="C28" t="str">
        <v>ماريفان 1 مجم 100 قرص (marevan 1 mg 100 tab.)</v>
      </c>
      <c r="D28" t="str">
        <v>warfarin</v>
      </c>
      <c r="E28" t="str">
        <v>أقراص</v>
      </c>
      <c r="F28" t="str">
        <v>1 مجم</v>
      </c>
      <c r="G28" t="str">
        <v>glaxo smithkline</v>
      </c>
      <c r="H28" t="str">
        <v>أدوية ومستحضرات طبية عامة</v>
      </c>
      <c r="I28" t="str">
        <v>رف عام - أدوية ومستحضرات</v>
      </c>
      <c r="J28" t="str">
        <v>علبة</v>
      </c>
      <c r="K28">
        <v>14</v>
      </c>
      <c r="L28">
        <v>10.78</v>
      </c>
      <c r="M28">
        <v>20</v>
      </c>
      <c r="N28">
        <v>5</v>
      </c>
      <c r="O28" s="1">
        <f>K28-L28</f>
        <v>3.22</v>
      </c>
      <c r="P28" s="2">
        <f>IF(L28&gt;0,O28/L28,0)</f>
        <v>0.2987</v>
      </c>
      <c r="Q28" s="1">
        <f>L28*M28</f>
        <v>215.6</v>
      </c>
      <c r="R28" s="1">
        <f>K28*M28</f>
        <v>280</v>
      </c>
      <c r="S28" s="1">
        <f>R28-Q28</f>
        <v>64.4</v>
      </c>
      <c r="T28" t="str">
        <f>IF(M28=0,"نافد",IF(M28&lt;=N28,"قرب ينفد","متوفر"))</f>
        <v>متوفر</v>
      </c>
      <c r="U28" t="str">
        <v>فموي (Oral)</v>
      </c>
      <c r="V28" t="str">
        <v>فئة C (بحذر وإشراف طبي)</v>
      </c>
      <c r="W28" t="str">
        <v>لا</v>
      </c>
      <c r="X28" t="str">
        <v>لا</v>
      </c>
      <c r="Y28" t="str">
        <v>صرف مباشر (OTC)</v>
      </c>
      <c r="Z28">
        <v>1</v>
      </c>
      <c r="AA28">
        <v>0</v>
      </c>
      <c r="AB28" t="str">
        <v>MED-0130</v>
      </c>
    </row>
    <row r="29">
      <c r="A29">
        <v>26</v>
      </c>
      <c r="B29" t="str">
        <v>6221045001355</v>
      </c>
      <c r="C29" t="str">
        <v>ماريفان 3 مجم 100 قرص (marevan 3 mg 100 tab.)</v>
      </c>
      <c r="D29" t="str">
        <v>warfarin</v>
      </c>
      <c r="E29" t="str">
        <v>أقراص</v>
      </c>
      <c r="F29" t="str">
        <v>3 مجم</v>
      </c>
      <c r="G29" t="str">
        <v>glaxo smithkline</v>
      </c>
      <c r="H29" t="str">
        <v>أدوية ومستحضرات طبية عامة</v>
      </c>
      <c r="I29" t="str">
        <v>رف عام - أدوية ومستحضرات</v>
      </c>
      <c r="J29" t="str">
        <v>علبة</v>
      </c>
      <c r="K29">
        <v>24</v>
      </c>
      <c r="L29">
        <v>18.48</v>
      </c>
      <c r="M29">
        <v>20</v>
      </c>
      <c r="N29">
        <v>5</v>
      </c>
      <c r="O29" s="1">
        <f>K29-L29</f>
        <v>5.52</v>
      </c>
      <c r="P29" s="2">
        <f>IF(L29&gt;0,O29/L29,0)</f>
        <v>0.2987</v>
      </c>
      <c r="Q29" s="1">
        <f>L29*M29</f>
        <v>369.6</v>
      </c>
      <c r="R29" s="1">
        <f>K29*M29</f>
        <v>480</v>
      </c>
      <c r="S29" s="1">
        <f>R29-Q29</f>
        <v>110.4</v>
      </c>
      <c r="T29" t="str">
        <f>IF(M29=0,"نافد",IF(M29&lt;=N29,"قرب ينفد","متوفر"))</f>
        <v>متوفر</v>
      </c>
      <c r="U29" t="str">
        <v>فموي (Oral)</v>
      </c>
      <c r="V29" t="str">
        <v>فئة C (بحذر وإشراف طبي)</v>
      </c>
      <c r="W29" t="str">
        <v>لا</v>
      </c>
      <c r="X29" t="str">
        <v>لا</v>
      </c>
      <c r="Y29" t="str">
        <v>صرف مباشر (OTC)</v>
      </c>
      <c r="Z29">
        <v>1</v>
      </c>
      <c r="AA29">
        <v>0</v>
      </c>
      <c r="AB29" t="str">
        <v>MED-0131</v>
      </c>
    </row>
    <row r="30">
      <c r="A30">
        <v>27</v>
      </c>
      <c r="B30" t="str">
        <v>6221045001324</v>
      </c>
      <c r="C30" t="str">
        <v>ماريفان 5 مجم 100 قرص (marevan 5 mg 100 tab.)</v>
      </c>
      <c r="D30" t="str">
        <v>warfarin</v>
      </c>
      <c r="E30" t="str">
        <v>أقراص</v>
      </c>
      <c r="F30" t="str">
        <v>5 مجم</v>
      </c>
      <c r="G30" t="str">
        <v>glaxo smithkline</v>
      </c>
      <c r="H30" t="str">
        <v>أدوية ومستحضرات طبية عامة</v>
      </c>
      <c r="I30" t="str">
        <v>رف عام - أدوية ومستحضرات</v>
      </c>
      <c r="J30" t="str">
        <v>علبة</v>
      </c>
      <c r="K30">
        <v>33.5</v>
      </c>
      <c r="L30">
        <v>25.8</v>
      </c>
      <c r="M30">
        <v>20</v>
      </c>
      <c r="N30">
        <v>5</v>
      </c>
      <c r="O30" s="1">
        <f>K30-L30</f>
        <v>7.7</v>
      </c>
      <c r="P30" s="2">
        <f>IF(L30&gt;0,O30/L30,0)</f>
        <v>0.2984</v>
      </c>
      <c r="Q30" s="1">
        <f>L30*M30</f>
        <v>516</v>
      </c>
      <c r="R30" s="1">
        <f>K30*M30</f>
        <v>670</v>
      </c>
      <c r="S30" s="1">
        <f>R30-Q30</f>
        <v>154</v>
      </c>
      <c r="T30" t="str">
        <f>IF(M30=0,"نافد",IF(M30&lt;=N30,"قرب ينفد","متوفر"))</f>
        <v>متوفر</v>
      </c>
      <c r="U30" t="str">
        <v>فموي (Oral)</v>
      </c>
      <c r="V30" t="str">
        <v>فئة C (بحذر وإشراف طبي)</v>
      </c>
      <c r="W30" t="str">
        <v>لا</v>
      </c>
      <c r="X30" t="str">
        <v>لا</v>
      </c>
      <c r="Y30" t="str">
        <v>صرف مباشر (OTC)</v>
      </c>
      <c r="Z30">
        <v>1</v>
      </c>
      <c r="AA30">
        <v>0</v>
      </c>
      <c r="AB30" t="str">
        <v>MED-0132</v>
      </c>
    </row>
    <row r="31">
      <c r="A31">
        <v>28</v>
      </c>
      <c r="B31" t="str">
        <v>6220001035779</v>
      </c>
      <c r="C31" t="str">
        <v>ماريفانيل 3مجم 50 قرص (marivanil 3mg 50 tab)</v>
      </c>
      <c r="D31" t="str">
        <v>warfarin</v>
      </c>
      <c r="E31" t="str">
        <v>أقراص</v>
      </c>
      <c r="F31" t="str">
        <v>3مجم</v>
      </c>
      <c r="G31" t="str">
        <v>el nile.</v>
      </c>
      <c r="H31" t="str">
        <v>أدوية ومستحضرات طبية عامة</v>
      </c>
      <c r="I31" t="str">
        <v>رف عام - أدوية ومستحضرات</v>
      </c>
      <c r="J31" t="str">
        <v>علبة</v>
      </c>
      <c r="K31">
        <v>4.95</v>
      </c>
      <c r="L31">
        <v>3.81</v>
      </c>
      <c r="M31">
        <v>20</v>
      </c>
      <c r="N31">
        <v>5</v>
      </c>
      <c r="O31" s="1">
        <f>K31-L31</f>
        <v>1.14</v>
      </c>
      <c r="P31" s="2">
        <f>IF(L31&gt;0,O31/L31,0)</f>
        <v>0.2992</v>
      </c>
      <c r="Q31" s="1">
        <f>L31*M31</f>
        <v>76.2</v>
      </c>
      <c r="R31" s="1">
        <f>K31*M31</f>
        <v>99</v>
      </c>
      <c r="S31" s="1">
        <f>R31-Q31</f>
        <v>22.8</v>
      </c>
      <c r="T31" t="str">
        <f>IF(M31=0,"نافد",IF(M31&lt;=N31,"قرب ينفد","متوفر"))</f>
        <v>متوفر</v>
      </c>
      <c r="U31" t="str">
        <v>فموي (Oral)</v>
      </c>
      <c r="V31" t="str">
        <v>فئة C (بحذر وإشراف طبي)</v>
      </c>
      <c r="W31" t="str">
        <v>لا</v>
      </c>
      <c r="X31" t="str">
        <v>لا</v>
      </c>
      <c r="Y31" t="str">
        <v>صرف مباشر (OTC)</v>
      </c>
      <c r="Z31">
        <v>1</v>
      </c>
      <c r="AA31">
        <v>0</v>
      </c>
      <c r="AB31" t="str">
        <v>MED-0133</v>
      </c>
    </row>
    <row r="32">
      <c r="A32">
        <v>29</v>
      </c>
      <c r="B32" t="str">
        <v>6221077014811</v>
      </c>
      <c r="C32" t="str">
        <v>ماريفانيل 5مجم 50 قرص (marivanil 5mg 50 tab)</v>
      </c>
      <c r="D32" t="str">
        <v>warfarin</v>
      </c>
      <c r="E32" t="str">
        <v>أقراص</v>
      </c>
      <c r="F32" t="str">
        <v>5مجم</v>
      </c>
      <c r="G32" t="str">
        <v>el nile.</v>
      </c>
      <c r="H32" t="str">
        <v>أدوية ومستحضرات طبية عامة</v>
      </c>
      <c r="I32" t="str">
        <v>رف عام - أدوية ومستحضرات</v>
      </c>
      <c r="J32" t="str">
        <v>علبة</v>
      </c>
      <c r="K32">
        <v>5.6</v>
      </c>
      <c r="L32">
        <v>4.31</v>
      </c>
      <c r="M32">
        <v>20</v>
      </c>
      <c r="N32">
        <v>5</v>
      </c>
      <c r="O32" s="1">
        <f>K32-L32</f>
        <v>1.29</v>
      </c>
      <c r="P32" s="2">
        <f>IF(L32&gt;0,O32/L32,0)</f>
        <v>0.2993</v>
      </c>
      <c r="Q32" s="1">
        <f>L32*M32</f>
        <v>86.2</v>
      </c>
      <c r="R32" s="1">
        <f>K32*M32</f>
        <v>112</v>
      </c>
      <c r="S32" s="1">
        <f>R32-Q32</f>
        <v>25.8</v>
      </c>
      <c r="T32" t="str">
        <f>IF(M32=0,"نافد",IF(M32&lt;=N32,"قرب ينفد","متوفر"))</f>
        <v>متوفر</v>
      </c>
      <c r="U32" t="str">
        <v>فموي (Oral)</v>
      </c>
      <c r="V32" t="str">
        <v>فئة C (بحذر وإشراف طبي)</v>
      </c>
      <c r="W32" t="str">
        <v>لا</v>
      </c>
      <c r="X32" t="str">
        <v>لا</v>
      </c>
      <c r="Y32" t="str">
        <v>صرف مباشر (OTC)</v>
      </c>
      <c r="Z32">
        <v>1</v>
      </c>
      <c r="AA32">
        <v>0</v>
      </c>
      <c r="AB32" t="str">
        <v>MED-0134</v>
      </c>
    </row>
    <row r="33">
      <c r="A33">
        <v>30</v>
      </c>
      <c r="B33" t="str">
        <v>6220001095940</v>
      </c>
      <c r="C33" t="str">
        <v>ماريفانيل 1مجم 50 قرص (marivanil 1mg 50 tab)</v>
      </c>
      <c r="D33" t="str">
        <v>warfarin</v>
      </c>
      <c r="E33" t="str">
        <v>أقراص</v>
      </c>
      <c r="F33" t="str">
        <v>1مجم</v>
      </c>
      <c r="G33" t="str">
        <v>el nile.</v>
      </c>
      <c r="H33" t="str">
        <v>أدوية ومستحضرات طبية عامة</v>
      </c>
      <c r="I33" t="str">
        <v>رف عام - أدوية ومستحضرات</v>
      </c>
      <c r="J33" t="str">
        <v>علبة</v>
      </c>
      <c r="K33">
        <v>4.3</v>
      </c>
      <c r="L33">
        <v>3.31</v>
      </c>
      <c r="M33">
        <v>20</v>
      </c>
      <c r="N33">
        <v>5</v>
      </c>
      <c r="O33" s="1">
        <f>K33-L33</f>
        <v>0.99</v>
      </c>
      <c r="P33" s="2">
        <f>IF(L33&gt;0,O33/L33,0)</f>
        <v>0.2991</v>
      </c>
      <c r="Q33" s="1">
        <f>L33*M33</f>
        <v>66.2</v>
      </c>
      <c r="R33" s="1">
        <f>K33*M33</f>
        <v>86</v>
      </c>
      <c r="S33" s="1">
        <f>R33-Q33</f>
        <v>19.8</v>
      </c>
      <c r="T33" t="str">
        <f>IF(M33=0,"نافد",IF(M33&lt;=N33,"قرب ينفد","متوفر"))</f>
        <v>متوفر</v>
      </c>
      <c r="U33" t="str">
        <v>فموي (Oral)</v>
      </c>
      <c r="V33" t="str">
        <v>فئة C (بحذر وإشراف طبي)</v>
      </c>
      <c r="W33" t="str">
        <v>لا</v>
      </c>
      <c r="X33" t="str">
        <v>لا</v>
      </c>
      <c r="Y33" t="str">
        <v>صرف مباشر (OTC)</v>
      </c>
      <c r="Z33">
        <v>1</v>
      </c>
      <c r="AA33">
        <v>0</v>
      </c>
      <c r="AB33" t="str">
        <v>MED-0135</v>
      </c>
    </row>
    <row r="34">
      <c r="A34">
        <v>31</v>
      </c>
      <c r="B34" t="str">
        <v>6224001007101</v>
      </c>
      <c r="C34" t="str">
        <v>كابوتين 25مجم 20 قرص (capoten 25mg 20 tab)</v>
      </c>
      <c r="D34" t="str">
        <v>captopril</v>
      </c>
      <c r="E34" t="str">
        <v>أقراص</v>
      </c>
      <c r="F34" t="str">
        <v>25مجم</v>
      </c>
      <c r="G34" t="str">
        <v>smithkline beecham</v>
      </c>
      <c r="H34" t="str">
        <v>أدوية ومستحضرات طبية عامة</v>
      </c>
      <c r="I34" t="str">
        <v>رف عام - أدوية ومستحضرات</v>
      </c>
      <c r="J34" t="str">
        <v>علبة</v>
      </c>
      <c r="K34">
        <v>32</v>
      </c>
      <c r="L34">
        <v>24.64</v>
      </c>
      <c r="M34">
        <v>20</v>
      </c>
      <c r="N34">
        <v>5</v>
      </c>
      <c r="O34" s="1">
        <f>K34-L34</f>
        <v>7.36</v>
      </c>
      <c r="P34" s="2">
        <f>IF(L34&gt;0,O34/L34,0)</f>
        <v>0.2987</v>
      </c>
      <c r="Q34" s="1">
        <f>L34*M34</f>
        <v>492.8</v>
      </c>
      <c r="R34" s="1">
        <f>K34*M34</f>
        <v>640</v>
      </c>
      <c r="S34" s="1">
        <f>R34-Q34</f>
        <v>147.2</v>
      </c>
      <c r="T34" t="str">
        <f>IF(M34=0,"نافد",IF(M34&lt;=N34,"قرب ينفد","متوفر"))</f>
        <v>متوفر</v>
      </c>
      <c r="U34" t="str">
        <v>فموي (Oral)</v>
      </c>
      <c r="V34" t="str">
        <v>فئة B (آمن إلى حد كبير)</v>
      </c>
      <c r="W34" t="str">
        <v>لا</v>
      </c>
      <c r="X34" t="str">
        <v>لا</v>
      </c>
      <c r="Y34" t="str">
        <v>صرف مباشر (OTC)</v>
      </c>
      <c r="Z34">
        <v>2</v>
      </c>
      <c r="AA34">
        <v>0</v>
      </c>
      <c r="AB34" t="str">
        <v>MED-0136</v>
      </c>
    </row>
    <row r="35">
      <c r="A35">
        <v>32</v>
      </c>
      <c r="B35" t="str">
        <v>6224001007118</v>
      </c>
      <c r="C35" t="str">
        <v>كابوتين 50 مجم 10 قرص (capoten 50 mg 10 tab)</v>
      </c>
      <c r="D35" t="str">
        <v>captopril</v>
      </c>
      <c r="E35" t="str">
        <v>أقراص</v>
      </c>
      <c r="F35" t="str">
        <v>50 مجم</v>
      </c>
      <c r="G35" t="str">
        <v>smithkline beecham</v>
      </c>
      <c r="H35" t="str">
        <v>أدوية ومستحضرات طبية عامة</v>
      </c>
      <c r="I35" t="str">
        <v>رف عام - أدوية ومستحضرات</v>
      </c>
      <c r="J35" t="str">
        <v>علبة</v>
      </c>
      <c r="K35">
        <v>24</v>
      </c>
      <c r="L35">
        <v>18.48</v>
      </c>
      <c r="M35">
        <v>20</v>
      </c>
      <c r="N35">
        <v>5</v>
      </c>
      <c r="O35" s="1">
        <f>K35-L35</f>
        <v>5.52</v>
      </c>
      <c r="P35" s="2">
        <f>IF(L35&gt;0,O35/L35,0)</f>
        <v>0.2987</v>
      </c>
      <c r="Q35" s="1">
        <f>L35*M35</f>
        <v>369.6</v>
      </c>
      <c r="R35" s="1">
        <f>K35*M35</f>
        <v>480</v>
      </c>
      <c r="S35" s="1">
        <f>R35-Q35</f>
        <v>110.4</v>
      </c>
      <c r="T35" t="str">
        <f>IF(M35=0,"نافد",IF(M35&lt;=N35,"قرب ينفد","متوفر"))</f>
        <v>متوفر</v>
      </c>
      <c r="U35" t="str">
        <v>فموي (Oral)</v>
      </c>
      <c r="V35" t="str">
        <v>فئة B (آمن إلى حد كبير)</v>
      </c>
      <c r="W35" t="str">
        <v>لا</v>
      </c>
      <c r="X35" t="str">
        <v>لا</v>
      </c>
      <c r="Y35" t="str">
        <v>صرف مباشر (OTC)</v>
      </c>
      <c r="Z35">
        <v>1</v>
      </c>
      <c r="AA35">
        <v>0</v>
      </c>
      <c r="AB35" t="str">
        <v>MED-0137</v>
      </c>
    </row>
    <row r="36">
      <c r="A36">
        <v>33</v>
      </c>
      <c r="B36" t="str">
        <v>6221045009801</v>
      </c>
      <c r="C36" t="str">
        <v>التروكسين 100مكجم 100 قرص (eltroxin 100 mcg 100 tabs)</v>
      </c>
      <c r="D36" t="str">
        <v>thyroxine</v>
      </c>
      <c r="E36" t="str">
        <v>أقراص</v>
      </c>
      <c r="F36" t="str">
        <v>100 mcg</v>
      </c>
      <c r="G36" t="str">
        <v>aspen europe gmbh &gt; glaxo smithkline</v>
      </c>
      <c r="H36" t="str">
        <v>أدوية ومستحضرات طبية عامة</v>
      </c>
      <c r="I36" t="str">
        <v>رف عام - أدوية ومستحضرات</v>
      </c>
      <c r="J36" t="str">
        <v>علبة</v>
      </c>
      <c r="K36">
        <v>115</v>
      </c>
      <c r="L36">
        <v>88.55</v>
      </c>
      <c r="M36">
        <v>20</v>
      </c>
      <c r="N36">
        <v>5</v>
      </c>
      <c r="O36" s="1">
        <f>K36-L36</f>
        <v>26.45</v>
      </c>
      <c r="P36" s="2">
        <f>IF(L36&gt;0,O36/L36,0)</f>
        <v>0.2987</v>
      </c>
      <c r="Q36" s="1">
        <f>L36*M36</f>
        <v>1771</v>
      </c>
      <c r="R36" s="1">
        <f>K36*M36</f>
        <v>2300</v>
      </c>
      <c r="S36" s="1">
        <f>R36-Q36</f>
        <v>529</v>
      </c>
      <c r="T36" t="str">
        <f>IF(M36=0,"نافد",IF(M36&lt;=N36,"قرب ينفد","متوفر"))</f>
        <v>متوفر</v>
      </c>
      <c r="U36" t="str">
        <v>فموي (Oral)</v>
      </c>
      <c r="V36" t="str">
        <v>فئة B (آمن إلى حد كبير)</v>
      </c>
      <c r="W36" t="str">
        <v>لا</v>
      </c>
      <c r="X36" t="str">
        <v>لا</v>
      </c>
      <c r="Y36" t="str">
        <v>صرف مباشر (OTC)</v>
      </c>
      <c r="Z36">
        <v>1</v>
      </c>
      <c r="AA36">
        <v>0</v>
      </c>
      <c r="AB36" t="str">
        <v>MED-0138</v>
      </c>
    </row>
    <row r="37">
      <c r="A37">
        <v>34</v>
      </c>
      <c r="B37" t="str">
        <v>6221045009795</v>
      </c>
      <c r="C37" t="str">
        <v>التروكسين 50مكجم 100 قرص (eltroxin 50mcg 100 tabs)</v>
      </c>
      <c r="D37" t="str">
        <v>thyroxine</v>
      </c>
      <c r="E37" t="str">
        <v>أقراص</v>
      </c>
      <c r="F37" t="str">
        <v>50mcg</v>
      </c>
      <c r="G37" t="str">
        <v>aspen europe gmbh &gt; glaxo smithkline</v>
      </c>
      <c r="H37" t="str">
        <v>أدوية ومستحضرات طبية عامة</v>
      </c>
      <c r="I37" t="str">
        <v>رف عام - أدوية ومستحضرات</v>
      </c>
      <c r="J37" t="str">
        <v>علبة</v>
      </c>
      <c r="K37">
        <v>78</v>
      </c>
      <c r="L37">
        <v>60.06</v>
      </c>
      <c r="M37">
        <v>20</v>
      </c>
      <c r="N37">
        <v>5</v>
      </c>
      <c r="O37" s="1">
        <f>K37-L37</f>
        <v>17.94</v>
      </c>
      <c r="P37" s="2">
        <f>IF(L37&gt;0,O37/L37,0)</f>
        <v>0.2987</v>
      </c>
      <c r="Q37" s="1">
        <f>L37*M37</f>
        <v>1201.2</v>
      </c>
      <c r="R37" s="1">
        <f>K37*M37</f>
        <v>1560</v>
      </c>
      <c r="S37" s="1">
        <f>R37-Q37</f>
        <v>358.8</v>
      </c>
      <c r="T37" t="str">
        <f>IF(M37=0,"نافد",IF(M37&lt;=N37,"قرب ينفد","متوفر"))</f>
        <v>متوفر</v>
      </c>
      <c r="U37" t="str">
        <v>فموي (Oral)</v>
      </c>
      <c r="V37" t="str">
        <v>فئة B (آمن إلى حد كبير)</v>
      </c>
      <c r="W37" t="str">
        <v>لا</v>
      </c>
      <c r="X37" t="str">
        <v>لا</v>
      </c>
      <c r="Y37" t="str">
        <v>صرف مباشر (OTC)</v>
      </c>
      <c r="Z37">
        <v>1</v>
      </c>
      <c r="AA37">
        <v>0</v>
      </c>
      <c r="AB37" t="str">
        <v>MED-0139</v>
      </c>
    </row>
    <row r="38">
      <c r="A38">
        <v>35</v>
      </c>
      <c r="B38" t="str">
        <v>6220001004300</v>
      </c>
      <c r="C38" t="str">
        <v>اي سي بي اميليز 3000 وحدة شراب 120 مل (ecp amylase 3000 ceip unit/15ml 120 ml syrup)</v>
      </c>
      <c r="D38" t="str">
        <v>anti-edematous and anti-inflammatory enzymes</v>
      </c>
      <c r="E38" t="str">
        <v>شراب</v>
      </c>
      <c r="F38" t="str">
        <v>120 مل</v>
      </c>
      <c r="G38" t="str">
        <v>egypt care pharma</v>
      </c>
      <c r="H38" t="str">
        <v>أدوية ومستحضرات طبية عامة</v>
      </c>
      <c r="I38" t="str">
        <v>رف عام - أدوية ومستحضرات</v>
      </c>
      <c r="J38" t="str">
        <v>قطعة</v>
      </c>
      <c r="K38">
        <v>7.5</v>
      </c>
      <c r="L38">
        <v>5.78</v>
      </c>
      <c r="M38">
        <v>20</v>
      </c>
      <c r="N38">
        <v>5</v>
      </c>
      <c r="O38" s="1">
        <f>K38-L38</f>
        <v>1.72</v>
      </c>
      <c r="P38" s="2">
        <f>IF(L38&gt;0,O38/L38,0)</f>
        <v>0.2976</v>
      </c>
      <c r="Q38" s="1">
        <f>L38*M38</f>
        <v>115.6</v>
      </c>
      <c r="R38" s="1">
        <f>K38*M38</f>
        <v>150</v>
      </c>
      <c r="S38" s="1">
        <f>R38-Q38</f>
        <v>34.4</v>
      </c>
      <c r="T38" t="str">
        <f>IF(M38=0,"نافد",IF(M38&lt;=N38,"قرب ينفد","متوفر"))</f>
        <v>متوفر</v>
      </c>
      <c r="U38" t="str">
        <v>فموي (Oral)</v>
      </c>
      <c r="V38" t="str">
        <v>فئة B (آمن إلى حد كبير)</v>
      </c>
      <c r="W38" t="str">
        <v>لا</v>
      </c>
      <c r="X38" t="str">
        <v>لا</v>
      </c>
      <c r="Y38" t="str">
        <v>صرف مباشر (OTC)</v>
      </c>
      <c r="Z38">
        <v>1</v>
      </c>
      <c r="AA38">
        <v>0</v>
      </c>
      <c r="AB38" t="str">
        <v>MED-0140</v>
      </c>
    </row>
    <row r="39">
      <c r="A39">
        <v>36</v>
      </c>
      <c r="B39" t="str">
        <v>6221032115263</v>
      </c>
      <c r="C39" t="str">
        <v>اتور 10مجم 7 اقراص (ator 10mg 7 tab)</v>
      </c>
      <c r="D39" t="str">
        <v>atorvastatin</v>
      </c>
      <c r="E39" t="str">
        <v>أقراص</v>
      </c>
      <c r="F39" t="str">
        <v>10مجم</v>
      </c>
      <c r="G39" t="str">
        <v>eipico</v>
      </c>
      <c r="H39" t="str">
        <v>أدوية ومستحضرات طبية عامة</v>
      </c>
      <c r="I39" t="str">
        <v>رف عام - أدوية ومستحضرات</v>
      </c>
      <c r="J39" t="str">
        <v>علبة</v>
      </c>
      <c r="K39">
        <v>45</v>
      </c>
      <c r="L39">
        <v>34.65</v>
      </c>
      <c r="M39">
        <v>20</v>
      </c>
      <c r="N39">
        <v>5</v>
      </c>
      <c r="O39" s="1">
        <f>K39-L39</f>
        <v>10.35</v>
      </c>
      <c r="P39" s="2">
        <f>IF(L39&gt;0,O39/L39,0)</f>
        <v>0.2987</v>
      </c>
      <c r="Q39" s="1">
        <f>L39*M39</f>
        <v>693</v>
      </c>
      <c r="R39" s="1">
        <f>K39*M39</f>
        <v>900</v>
      </c>
      <c r="S39" s="1">
        <f>R39-Q39</f>
        <v>207</v>
      </c>
      <c r="T39" t="str">
        <f>IF(M39=0,"نافد",IF(M39&lt;=N39,"قرب ينفد","متوفر"))</f>
        <v>متوفر</v>
      </c>
      <c r="U39" t="str">
        <v>فموي (Oral)</v>
      </c>
      <c r="V39" t="str">
        <v>فئة B (آمن إلى حد كبير)</v>
      </c>
      <c r="W39" t="str">
        <v>لا</v>
      </c>
      <c r="X39" t="str">
        <v>لا</v>
      </c>
      <c r="Y39" t="str">
        <v>صرف مباشر (OTC)</v>
      </c>
      <c r="Z39">
        <v>1</v>
      </c>
      <c r="AA39">
        <v>0</v>
      </c>
      <c r="AB39" t="str">
        <v>MED-0141</v>
      </c>
    </row>
    <row r="40">
      <c r="A40">
        <v>37</v>
      </c>
      <c r="B40" t="str">
        <v>6221032115652</v>
      </c>
      <c r="C40" t="str">
        <v>اتور 20مجم 10 اقراص (ator 20mg 10 f.c. tab)</v>
      </c>
      <c r="D40" t="str">
        <v>atorvastatin</v>
      </c>
      <c r="E40" t="str">
        <v>أقراص</v>
      </c>
      <c r="F40" t="str">
        <v>20مجم</v>
      </c>
      <c r="G40" t="str">
        <v>eipico</v>
      </c>
      <c r="H40" t="str">
        <v>أدوية ومستحضرات طبية عامة</v>
      </c>
      <c r="I40" t="str">
        <v>رف عام - أدوية ومستحضرات</v>
      </c>
      <c r="J40" t="str">
        <v>علبة</v>
      </c>
      <c r="K40">
        <v>79</v>
      </c>
      <c r="L40">
        <v>60.83</v>
      </c>
      <c r="M40">
        <v>20</v>
      </c>
      <c r="N40">
        <v>5</v>
      </c>
      <c r="O40" s="1">
        <f>K40-L40</f>
        <v>18.17</v>
      </c>
      <c r="P40" s="2">
        <f>IF(L40&gt;0,O40/L40,0)</f>
        <v>0.2987</v>
      </c>
      <c r="Q40" s="1">
        <f>L40*M40</f>
        <v>1216.6</v>
      </c>
      <c r="R40" s="1">
        <f>K40*M40</f>
        <v>1580</v>
      </c>
      <c r="S40" s="1">
        <f>R40-Q40</f>
        <v>363.4</v>
      </c>
      <c r="T40" t="str">
        <f>IF(M40=0,"نافد",IF(M40&lt;=N40,"قرب ينفد","متوفر"))</f>
        <v>متوفر</v>
      </c>
      <c r="U40" t="str">
        <v>فموي (Oral)</v>
      </c>
      <c r="V40" t="str">
        <v>فئة B (آمن إلى حد كبير)</v>
      </c>
      <c r="W40" t="str">
        <v>لا</v>
      </c>
      <c r="X40" t="str">
        <v>لا</v>
      </c>
      <c r="Y40" t="str">
        <v>صرف مباشر (OTC)</v>
      </c>
      <c r="Z40">
        <v>1</v>
      </c>
      <c r="AA40">
        <v>0</v>
      </c>
      <c r="AB40" t="str">
        <v>MED-0142</v>
      </c>
    </row>
    <row r="41">
      <c r="A41">
        <v>38</v>
      </c>
      <c r="B41" t="str">
        <v>6221032115669</v>
      </c>
      <c r="C41" t="str">
        <v>اتور 40مجم 10 اقراص (ator 40mg 10 f.c. tab)</v>
      </c>
      <c r="D41" t="str">
        <v>atorvastatin</v>
      </c>
      <c r="E41" t="str">
        <v>أقراص</v>
      </c>
      <c r="F41" t="str">
        <v>40مجم</v>
      </c>
      <c r="G41" t="str">
        <v>eipico</v>
      </c>
      <c r="H41" t="str">
        <v>أدوية ومستحضرات طبية عامة</v>
      </c>
      <c r="I41" t="str">
        <v>رف عام - أدوية ومستحضرات</v>
      </c>
      <c r="J41" t="str">
        <v>علبة</v>
      </c>
      <c r="K41">
        <v>106</v>
      </c>
      <c r="L41">
        <v>81.62</v>
      </c>
      <c r="M41">
        <v>20</v>
      </c>
      <c r="N41">
        <v>5</v>
      </c>
      <c r="O41" s="1">
        <f>K41-L41</f>
        <v>24.38</v>
      </c>
      <c r="P41" s="2">
        <f>IF(L41&gt;0,O41/L41,0)</f>
        <v>0.2987</v>
      </c>
      <c r="Q41" s="1">
        <f>L41*M41</f>
        <v>1632.4</v>
      </c>
      <c r="R41" s="1">
        <f>K41*M41</f>
        <v>2120</v>
      </c>
      <c r="S41" s="1">
        <f>R41-Q41</f>
        <v>487.6</v>
      </c>
      <c r="T41" t="str">
        <f>IF(M41=0,"نافد",IF(M41&lt;=N41,"قرب ينفد","متوفر"))</f>
        <v>متوفر</v>
      </c>
      <c r="U41" t="str">
        <v>فموي (Oral)</v>
      </c>
      <c r="V41" t="str">
        <v>فئة B (آمن إلى حد كبير)</v>
      </c>
      <c r="W41" t="str">
        <v>لا</v>
      </c>
      <c r="X41" t="str">
        <v>لا</v>
      </c>
      <c r="Y41" t="str">
        <v>صرف مباشر (OTC)</v>
      </c>
      <c r="Z41">
        <v>1</v>
      </c>
      <c r="AA41">
        <v>0</v>
      </c>
      <c r="AB41" t="str">
        <v>MED-0143</v>
      </c>
    </row>
    <row r="42">
      <c r="A42">
        <v>39</v>
      </c>
      <c r="B42" t="str">
        <v>6223003570286</v>
      </c>
      <c r="C42" t="str">
        <v>اتوريزا 10/10مجم 28 قرص (atoreza 10/10mg 28 f.c. tab)</v>
      </c>
      <c r="D42" t="str">
        <v>atorvastatin+ezetimibe</v>
      </c>
      <c r="E42" t="str">
        <v>أقراص</v>
      </c>
      <c r="F42" t="str">
        <v>10مجم</v>
      </c>
      <c r="G42" t="str">
        <v>marcyrl co.</v>
      </c>
      <c r="H42" t="str">
        <v>أدوية ومستحضرات طبية عامة</v>
      </c>
      <c r="I42" t="str">
        <v>رف عام - أدوية ومستحضرات</v>
      </c>
      <c r="J42" t="str">
        <v>علبة</v>
      </c>
      <c r="K42">
        <v>166</v>
      </c>
      <c r="L42">
        <v>127.82</v>
      </c>
      <c r="M42">
        <v>20</v>
      </c>
      <c r="N42">
        <v>5</v>
      </c>
      <c r="O42" s="1">
        <f>K42-L42</f>
        <v>38.18</v>
      </c>
      <c r="P42" s="2">
        <f>IF(L42&gt;0,O42/L42,0)</f>
        <v>0.2987</v>
      </c>
      <c r="Q42" s="1">
        <f>L42*M42</f>
        <v>2556.4</v>
      </c>
      <c r="R42" s="1">
        <f>K42*M42</f>
        <v>3320</v>
      </c>
      <c r="S42" s="1">
        <f>R42-Q42</f>
        <v>763.6</v>
      </c>
      <c r="T42" t="str">
        <f>IF(M42=0,"نافد",IF(M42&lt;=N42,"قرب ينفد","متوفر"))</f>
        <v>متوفر</v>
      </c>
      <c r="U42" t="str">
        <v>فموي (Oral)</v>
      </c>
      <c r="V42" t="str">
        <v>فئة C (بحذر وإشراف طبي)</v>
      </c>
      <c r="W42" t="str">
        <v>لا</v>
      </c>
      <c r="X42" t="str">
        <v>لا</v>
      </c>
      <c r="Y42" t="str">
        <v>صرف مباشر (OTC)</v>
      </c>
      <c r="Z42">
        <v>2</v>
      </c>
      <c r="AA42">
        <v>0</v>
      </c>
      <c r="AB42" t="str">
        <v>MED-0144</v>
      </c>
    </row>
    <row r="43">
      <c r="A43">
        <v>40</v>
      </c>
      <c r="B43" t="str">
        <v>6223003570545</v>
      </c>
      <c r="C43" t="str">
        <v>اتوريزا 10/20مجم 21 قرص (atoreza 20/10mg 21 f.c. tab)</v>
      </c>
      <c r="D43" t="str">
        <v>atorvastatin+ezetimibe</v>
      </c>
      <c r="E43" t="str">
        <v>أقراص</v>
      </c>
      <c r="F43" t="str">
        <v>20مجم</v>
      </c>
      <c r="G43" t="str">
        <v>marcyrl co.</v>
      </c>
      <c r="H43" t="str">
        <v>أدوية ومستحضرات طبية عامة</v>
      </c>
      <c r="I43" t="str">
        <v>رف عام - أدوية ومستحضرات</v>
      </c>
      <c r="J43" t="str">
        <v>علبة</v>
      </c>
      <c r="K43">
        <v>141</v>
      </c>
      <c r="L43">
        <v>108.57</v>
      </c>
      <c r="M43">
        <v>20</v>
      </c>
      <c r="N43">
        <v>5</v>
      </c>
      <c r="O43" s="1">
        <f>K43-L43</f>
        <v>32.43</v>
      </c>
      <c r="P43" s="2">
        <f>IF(L43&gt;0,O43/L43,0)</f>
        <v>0.2987</v>
      </c>
      <c r="Q43" s="1">
        <f>L43*M43</f>
        <v>2171.4</v>
      </c>
      <c r="R43" s="1">
        <f>K43*M43</f>
        <v>2820</v>
      </c>
      <c r="S43" s="1">
        <f>R43-Q43</f>
        <v>648.6</v>
      </c>
      <c r="T43" t="str">
        <f>IF(M43=0,"نافد",IF(M43&lt;=N43,"قرب ينفد","متوفر"))</f>
        <v>متوفر</v>
      </c>
      <c r="U43" t="str">
        <v>فموي (Oral)</v>
      </c>
      <c r="V43" t="str">
        <v>فئة C (بحذر وإشراف طبي)</v>
      </c>
      <c r="W43" t="str">
        <v>لا</v>
      </c>
      <c r="X43" t="str">
        <v>لا</v>
      </c>
      <c r="Y43" t="str">
        <v>صرف مباشر (OTC)</v>
      </c>
      <c r="Z43">
        <v>3</v>
      </c>
      <c r="AA43">
        <v>0</v>
      </c>
      <c r="AB43" t="str">
        <v>MED-0145</v>
      </c>
    </row>
    <row r="44">
      <c r="A44">
        <v>41</v>
      </c>
      <c r="B44" t="str">
        <v>6221163000308</v>
      </c>
      <c r="C44" t="str">
        <v>اتورستات 10مجم 14 قرص (atorstat 10mg 14 f.c.tab)</v>
      </c>
      <c r="D44" t="str">
        <v>atorvastatin</v>
      </c>
      <c r="E44" t="str">
        <v>أقراص</v>
      </c>
      <c r="F44" t="str">
        <v>10مجم</v>
      </c>
      <c r="G44" t="str">
        <v>delta pharma</v>
      </c>
      <c r="H44" t="str">
        <v>أدوية ومستحضرات طبية عامة</v>
      </c>
      <c r="I44" t="str">
        <v>رف عام - أدوية ومستحضرات</v>
      </c>
      <c r="J44" t="str">
        <v>علبة</v>
      </c>
      <c r="K44">
        <v>56</v>
      </c>
      <c r="L44">
        <v>43.12</v>
      </c>
      <c r="M44">
        <v>20</v>
      </c>
      <c r="N44">
        <v>5</v>
      </c>
      <c r="O44" s="1">
        <f>K44-L44</f>
        <v>12.88</v>
      </c>
      <c r="P44" s="2">
        <f>IF(L44&gt;0,O44/L44,0)</f>
        <v>0.2987</v>
      </c>
      <c r="Q44" s="1">
        <f>L44*M44</f>
        <v>862.4</v>
      </c>
      <c r="R44" s="1">
        <f>K44*M44</f>
        <v>1120</v>
      </c>
      <c r="S44" s="1">
        <f>R44-Q44</f>
        <v>257.6</v>
      </c>
      <c r="T44" t="str">
        <f>IF(M44=0,"نافد",IF(M44&lt;=N44,"قرب ينفد","متوفر"))</f>
        <v>متوفر</v>
      </c>
      <c r="U44" t="str">
        <v>فموي (Oral)</v>
      </c>
      <c r="V44" t="str">
        <v>فئة B (آمن إلى حد كبير)</v>
      </c>
      <c r="W44" t="str">
        <v>لا</v>
      </c>
      <c r="X44" t="str">
        <v>لا</v>
      </c>
      <c r="Y44" t="str">
        <v>صرف مباشر (OTC)</v>
      </c>
      <c r="Z44">
        <v>2</v>
      </c>
      <c r="AA44">
        <v>0</v>
      </c>
      <c r="AB44" t="str">
        <v>MED-0146</v>
      </c>
    </row>
    <row r="45">
      <c r="A45">
        <v>42</v>
      </c>
      <c r="B45" t="str">
        <v>6221163009943</v>
      </c>
      <c r="C45" t="str">
        <v>اتورستات 20مجم 14 قرص (atorstat 20mg 14 scored tabs)</v>
      </c>
      <c r="D45" t="str">
        <v>atorvastatin</v>
      </c>
      <c r="E45" t="str">
        <v>أقراص</v>
      </c>
      <c r="F45" t="str">
        <v>20مجم</v>
      </c>
      <c r="G45" t="str">
        <v>delta pharma</v>
      </c>
      <c r="H45" t="str">
        <v>أدوية ومستحضرات طبية عامة</v>
      </c>
      <c r="I45" t="str">
        <v>رف عام - أدوية ومستحضرات</v>
      </c>
      <c r="J45" t="str">
        <v>علبة</v>
      </c>
      <c r="K45">
        <v>64</v>
      </c>
      <c r="L45">
        <v>49.28</v>
      </c>
      <c r="M45">
        <v>20</v>
      </c>
      <c r="N45">
        <v>5</v>
      </c>
      <c r="O45" s="1">
        <f>K45-L45</f>
        <v>14.72</v>
      </c>
      <c r="P45" s="2">
        <f>IF(L45&gt;0,O45/L45,0)</f>
        <v>0.2987</v>
      </c>
      <c r="Q45" s="1">
        <f>L45*M45</f>
        <v>985.6</v>
      </c>
      <c r="R45" s="1">
        <f>K45*M45</f>
        <v>1280</v>
      </c>
      <c r="S45" s="1">
        <f>R45-Q45</f>
        <v>294.4</v>
      </c>
      <c r="T45" t="str">
        <f>IF(M45=0,"نافد",IF(M45&lt;=N45,"قرب ينفد","متوفر"))</f>
        <v>متوفر</v>
      </c>
      <c r="U45" t="str">
        <v>فموي (Oral)</v>
      </c>
      <c r="V45" t="str">
        <v>فئة B (آمن إلى حد كبير)</v>
      </c>
      <c r="W45" t="str">
        <v>لا</v>
      </c>
      <c r="X45" t="str">
        <v>لا</v>
      </c>
      <c r="Y45" t="str">
        <v>صرف مباشر (OTC)</v>
      </c>
      <c r="Z45">
        <v>2</v>
      </c>
      <c r="AA45">
        <v>0</v>
      </c>
      <c r="AB45" t="str">
        <v>MED-0147</v>
      </c>
    </row>
    <row r="46">
      <c r="A46">
        <v>43</v>
      </c>
      <c r="B46" t="str">
        <v>6221163009950</v>
      </c>
      <c r="C46" t="str">
        <v>اتورستات 40مجم 14 قرص (atorstat 40mg 14 biscored tabs)</v>
      </c>
      <c r="D46" t="str">
        <v>atorvastatin</v>
      </c>
      <c r="E46" t="str">
        <v>أقراص</v>
      </c>
      <c r="F46" t="str">
        <v>40مجم</v>
      </c>
      <c r="G46" t="str">
        <v>delta pharma</v>
      </c>
      <c r="H46" t="str">
        <v>أدوية ومستحضرات طبية عامة</v>
      </c>
      <c r="I46" t="str">
        <v>رف عام - أدوية ومستحضرات</v>
      </c>
      <c r="J46" t="str">
        <v>علبة</v>
      </c>
      <c r="K46">
        <v>76</v>
      </c>
      <c r="L46">
        <v>58.52</v>
      </c>
      <c r="M46">
        <v>20</v>
      </c>
      <c r="N46">
        <v>5</v>
      </c>
      <c r="O46" s="1">
        <f>K46-L46</f>
        <v>17.48</v>
      </c>
      <c r="P46" s="2">
        <f>IF(L46&gt;0,O46/L46,0)</f>
        <v>0.2987</v>
      </c>
      <c r="Q46" s="1">
        <f>L46*M46</f>
        <v>1170.4</v>
      </c>
      <c r="R46" s="1">
        <f>K46*M46</f>
        <v>1520</v>
      </c>
      <c r="S46" s="1">
        <f>R46-Q46</f>
        <v>349.6</v>
      </c>
      <c r="T46" t="str">
        <f>IF(M46=0,"نافد",IF(M46&lt;=N46,"قرب ينفد","متوفر"))</f>
        <v>متوفر</v>
      </c>
      <c r="U46" t="str">
        <v>فموي (Oral)</v>
      </c>
      <c r="V46" t="str">
        <v>فئة B (آمن إلى حد كبير)</v>
      </c>
      <c r="W46" t="str">
        <v>لا</v>
      </c>
      <c r="X46" t="str">
        <v>لا</v>
      </c>
      <c r="Y46" t="str">
        <v>صرف مباشر (OTC)</v>
      </c>
      <c r="Z46">
        <v>2</v>
      </c>
      <c r="AA46">
        <v>0</v>
      </c>
      <c r="AB46" t="str">
        <v>MED-0148</v>
      </c>
    </row>
    <row r="47">
      <c r="A47">
        <v>44</v>
      </c>
      <c r="B47" t="str">
        <v>6223002570072</v>
      </c>
      <c r="C47" t="str">
        <v>بورجاستاتين 40مجم 10 اقراص (borgastatin 40mg 10 tab)</v>
      </c>
      <c r="D47" t="str">
        <v>atorvastatin</v>
      </c>
      <c r="E47" t="str">
        <v>أقراص</v>
      </c>
      <c r="F47" t="str">
        <v>40مجم</v>
      </c>
      <c r="G47" t="str">
        <v>borg</v>
      </c>
      <c r="H47" t="str">
        <v>أدوية ومستحضرات طبية عامة</v>
      </c>
      <c r="I47" t="str">
        <v>رف عام - أدوية ومستحضرات</v>
      </c>
      <c r="J47" t="str">
        <v>علبة</v>
      </c>
      <c r="K47">
        <v>53</v>
      </c>
      <c r="L47">
        <v>40.81</v>
      </c>
      <c r="M47">
        <v>20</v>
      </c>
      <c r="N47">
        <v>5</v>
      </c>
      <c r="O47" s="1">
        <f>K47-L47</f>
        <v>12.19</v>
      </c>
      <c r="P47" s="2">
        <f>IF(L47&gt;0,O47/L47,0)</f>
        <v>0.2987</v>
      </c>
      <c r="Q47" s="1">
        <f>L47*M47</f>
        <v>816.2</v>
      </c>
      <c r="R47" s="1">
        <f>K47*M47</f>
        <v>1060</v>
      </c>
      <c r="S47" s="1">
        <f>R47-Q47</f>
        <v>243.8</v>
      </c>
      <c r="T47" t="str">
        <f>IF(M47=0,"نافد",IF(M47&lt;=N47,"قرب ينفد","متوفر"))</f>
        <v>متوفر</v>
      </c>
      <c r="U47" t="str">
        <v>فموي (Oral)</v>
      </c>
      <c r="V47" t="str">
        <v>فئة B (آمن إلى حد كبير)</v>
      </c>
      <c r="W47" t="str">
        <v>لا</v>
      </c>
      <c r="X47" t="str">
        <v>لا</v>
      </c>
      <c r="Y47" t="str">
        <v>صرف مباشر (OTC)</v>
      </c>
      <c r="Z47">
        <v>1</v>
      </c>
      <c r="AA47">
        <v>0</v>
      </c>
      <c r="AB47" t="str">
        <v>MED-0149</v>
      </c>
    </row>
    <row r="48">
      <c r="A48">
        <v>45</v>
      </c>
      <c r="B48" t="str">
        <v>6220001015559</v>
      </c>
      <c r="C48" t="str">
        <v>كرينون 8% جل مهبلي 15 حقنة معبأة (crinone 8% vag. gel 15 pre-filled applicators)</v>
      </c>
      <c r="D48" t="str">
        <v>progesterone</v>
      </c>
      <c r="E48" t="str">
        <v>حقن</v>
      </c>
      <c r="F48" t="str">
        <v>8%</v>
      </c>
      <c r="G48" t="str">
        <v>merck sharp &amp; dohme &gt; united company for trading &amp; distribution</v>
      </c>
      <c r="H48" t="str">
        <v>فيتامينات ومعادن ومكملات غذائية</v>
      </c>
      <c r="I48" t="str">
        <v>رف F1 - فيتامينات ومكملات</v>
      </c>
      <c r="J48" t="str">
        <v>قطعة</v>
      </c>
      <c r="K48">
        <v>330.5</v>
      </c>
      <c r="L48">
        <v>254.49</v>
      </c>
      <c r="M48">
        <v>20</v>
      </c>
      <c r="N48">
        <v>5</v>
      </c>
      <c r="O48" s="1">
        <f>K48-L48</f>
        <v>76.01</v>
      </c>
      <c r="P48" s="2">
        <f>IF(L48&gt;0,O48/L48,0)</f>
        <v>0.2987</v>
      </c>
      <c r="Q48" s="1">
        <f>L48*M48</f>
        <v>5089.8</v>
      </c>
      <c r="R48" s="1">
        <f>K48*M48</f>
        <v>6610</v>
      </c>
      <c r="S48" s="1">
        <f>R48-Q48</f>
        <v>1520.2</v>
      </c>
      <c r="T48" t="str">
        <f>IF(M48=0,"نافد",IF(M48&lt;=N48,"قرب ينفد","متوفر"))</f>
        <v>متوفر</v>
      </c>
      <c r="U48" t="str">
        <v>حقن عضل / وريد (Parenteral)</v>
      </c>
      <c r="V48" t="str">
        <v>فئة C (بحذر وإشراف طبي)</v>
      </c>
      <c r="W48" t="str">
        <v>لا</v>
      </c>
      <c r="X48" t="str">
        <v>لا</v>
      </c>
      <c r="Y48" t="str">
        <v>روشتة طبية (Rx)</v>
      </c>
      <c r="Z48">
        <v>1</v>
      </c>
      <c r="AA48">
        <v>0</v>
      </c>
      <c r="AB48" t="str">
        <v>MED-0150</v>
      </c>
    </row>
    <row r="49">
      <c r="A49">
        <v>46</v>
      </c>
      <c r="B49" t="str">
        <v>6220001018819</v>
      </c>
      <c r="C49" t="str">
        <v>هيبوليكسافاست 10مجم 30 قرص مضغ (hipolixavast 10 mg 30 chew. tabs)</v>
      </c>
      <c r="D49" t="str">
        <v>atorvastatin</v>
      </c>
      <c r="E49" t="str">
        <v>أقراص</v>
      </c>
      <c r="F49" t="str">
        <v>10مجم</v>
      </c>
      <c r="G49" t="str">
        <v>egpi</v>
      </c>
      <c r="H49" t="str">
        <v>أدوية ومستحضرات طبية عامة</v>
      </c>
      <c r="I49" t="str">
        <v>رف عام - أدوية ومستحضرات</v>
      </c>
      <c r="J49" t="str">
        <v>علبة</v>
      </c>
      <c r="K49">
        <v>114</v>
      </c>
      <c r="L49">
        <v>87.78</v>
      </c>
      <c r="M49">
        <v>20</v>
      </c>
      <c r="N49">
        <v>5</v>
      </c>
      <c r="O49" s="1">
        <f>K49-L49</f>
        <v>26.22</v>
      </c>
      <c r="P49" s="2">
        <f>IF(L49&gt;0,O49/L49,0)</f>
        <v>0.2987</v>
      </c>
      <c r="Q49" s="1">
        <f>L49*M49</f>
        <v>1755.6</v>
      </c>
      <c r="R49" s="1">
        <f>K49*M49</f>
        <v>2280</v>
      </c>
      <c r="S49" s="1">
        <f>R49-Q49</f>
        <v>524.4</v>
      </c>
      <c r="T49" t="str">
        <f>IF(M49=0,"نافد",IF(M49&lt;=N49,"قرب ينفد","متوفر"))</f>
        <v>متوفر</v>
      </c>
      <c r="U49" t="str">
        <v>فموي (Oral)</v>
      </c>
      <c r="V49" t="str">
        <v>فئة B (آمن إلى حد كبير)</v>
      </c>
      <c r="W49" t="str">
        <v>لا</v>
      </c>
      <c r="X49" t="str">
        <v>لا</v>
      </c>
      <c r="Y49" t="str">
        <v>صرف مباشر (OTC)</v>
      </c>
      <c r="Z49">
        <v>3</v>
      </c>
      <c r="AA49">
        <v>0</v>
      </c>
      <c r="AB49" t="str">
        <v>MED-0151</v>
      </c>
    </row>
    <row r="50">
      <c r="A50">
        <v>47</v>
      </c>
      <c r="B50" t="str">
        <v>6220001018826</v>
      </c>
      <c r="C50" t="str">
        <v>هيبوليكسافاست 20مجم 30 قرص مضغ (hipolixavast 20 mg 30 chew. tabs)</v>
      </c>
      <c r="D50" t="str">
        <v>atorvastatin</v>
      </c>
      <c r="E50" t="str">
        <v>أقراص</v>
      </c>
      <c r="F50" t="str">
        <v>20مجم</v>
      </c>
      <c r="G50" t="str">
        <v>egpi</v>
      </c>
      <c r="H50" t="str">
        <v>أدوية ومستحضرات طبية عامة</v>
      </c>
      <c r="I50" t="str">
        <v>رف عام - أدوية ومستحضرات</v>
      </c>
      <c r="J50" t="str">
        <v>علبة</v>
      </c>
      <c r="K50">
        <v>127.5</v>
      </c>
      <c r="L50">
        <v>98.17</v>
      </c>
      <c r="M50">
        <v>20</v>
      </c>
      <c r="N50">
        <v>5</v>
      </c>
      <c r="O50" s="1">
        <f>K50-L50</f>
        <v>29.33</v>
      </c>
      <c r="P50" s="2">
        <f>IF(L50&gt;0,O50/L50,0)</f>
        <v>0.2988</v>
      </c>
      <c r="Q50" s="1">
        <f>L50*M50</f>
        <v>1963.4</v>
      </c>
      <c r="R50" s="1">
        <f>K50*M50</f>
        <v>2550</v>
      </c>
      <c r="S50" s="1">
        <f>R50-Q50</f>
        <v>586.6</v>
      </c>
      <c r="T50" t="str">
        <f>IF(M50=0,"نافد",IF(M50&lt;=N50,"قرب ينفد","متوفر"))</f>
        <v>متوفر</v>
      </c>
      <c r="U50" t="str">
        <v>فموي (Oral)</v>
      </c>
      <c r="V50" t="str">
        <v>فئة B (آمن إلى حد كبير)</v>
      </c>
      <c r="W50" t="str">
        <v>لا</v>
      </c>
      <c r="X50" t="str">
        <v>لا</v>
      </c>
      <c r="Y50" t="str">
        <v>صرف مباشر (OTC)</v>
      </c>
      <c r="Z50">
        <v>3</v>
      </c>
      <c r="AA50">
        <v>0</v>
      </c>
      <c r="AB50" t="str">
        <v>MED-0152</v>
      </c>
    </row>
    <row r="51">
      <c r="A51">
        <v>48</v>
      </c>
      <c r="B51" t="str">
        <v>6223002978366</v>
      </c>
      <c r="C51" t="str">
        <v>ايزاستاتين 40/10 مجم 30 قرص (ezastatin 40/10mg 30 tab)</v>
      </c>
      <c r="D51" t="str">
        <v>atorvastatin+ezetimibe</v>
      </c>
      <c r="E51" t="str">
        <v>أقراص</v>
      </c>
      <c r="F51" t="str">
        <v>10 مجم</v>
      </c>
      <c r="G51" t="str">
        <v>adwia</v>
      </c>
      <c r="H51" t="str">
        <v>أدوية ومستحضرات طبية عامة</v>
      </c>
      <c r="I51" t="str">
        <v>رف عام - أدوية ومستحضرات</v>
      </c>
      <c r="J51" t="str">
        <v>علبة</v>
      </c>
      <c r="K51">
        <v>135</v>
      </c>
      <c r="L51">
        <v>103.95</v>
      </c>
      <c r="M51">
        <v>20</v>
      </c>
      <c r="N51">
        <v>5</v>
      </c>
      <c r="O51" s="1">
        <f>K51-L51</f>
        <v>31.05</v>
      </c>
      <c r="P51" s="2">
        <f>IF(L51&gt;0,O51/L51,0)</f>
        <v>0.2987</v>
      </c>
      <c r="Q51" s="1">
        <f>L51*M51</f>
        <v>2079</v>
      </c>
      <c r="R51" s="1">
        <f>K51*M51</f>
        <v>2700</v>
      </c>
      <c r="S51" s="1">
        <f>R51-Q51</f>
        <v>621</v>
      </c>
      <c r="T51" t="str">
        <f>IF(M51=0,"نافد",IF(M51&lt;=N51,"قرب ينفد","متوفر"))</f>
        <v>متوفر</v>
      </c>
      <c r="U51" t="str">
        <v>فموي (Oral)</v>
      </c>
      <c r="V51" t="str">
        <v>فئة C (بحذر وإشراف طبي)</v>
      </c>
      <c r="W51" t="str">
        <v>لا</v>
      </c>
      <c r="X51" t="str">
        <v>لا</v>
      </c>
      <c r="Y51" t="str">
        <v>صرف مباشر (OTC)</v>
      </c>
      <c r="Z51">
        <v>3</v>
      </c>
      <c r="AA51">
        <v>0</v>
      </c>
      <c r="AB51" t="str">
        <v>MED-0153</v>
      </c>
    </row>
    <row r="52">
      <c r="A52">
        <v>49</v>
      </c>
      <c r="B52" t="str">
        <v>6223002971411</v>
      </c>
      <c r="C52" t="str">
        <v>ايزاستاتين 10مجم  30 قرص (ezastatin 10/10mg 30 tab)</v>
      </c>
      <c r="D52" t="str">
        <v>atorvastatin+ezetimibe</v>
      </c>
      <c r="E52" t="str">
        <v>أقراص</v>
      </c>
      <c r="F52" t="str">
        <v>10مجم</v>
      </c>
      <c r="G52" t="str">
        <v>adwia</v>
      </c>
      <c r="H52" t="str">
        <v>أدوية ومستحضرات طبية عامة</v>
      </c>
      <c r="I52" t="str">
        <v>رف عام - أدوية ومستحضرات</v>
      </c>
      <c r="J52" t="str">
        <v>علبة</v>
      </c>
      <c r="K52">
        <v>96</v>
      </c>
      <c r="L52">
        <v>73.92</v>
      </c>
      <c r="M52">
        <v>20</v>
      </c>
      <c r="N52">
        <v>5</v>
      </c>
      <c r="O52" s="1">
        <f>K52-L52</f>
        <v>22.08</v>
      </c>
      <c r="P52" s="2">
        <f>IF(L52&gt;0,O52/L52,0)</f>
        <v>0.2987</v>
      </c>
      <c r="Q52" s="1">
        <f>L52*M52</f>
        <v>1478.4</v>
      </c>
      <c r="R52" s="1">
        <f>K52*M52</f>
        <v>1920</v>
      </c>
      <c r="S52" s="1">
        <f>R52-Q52</f>
        <v>441.6</v>
      </c>
      <c r="T52" t="str">
        <f>IF(M52=0,"نافد",IF(M52&lt;=N52,"قرب ينفد","متوفر"))</f>
        <v>متوفر</v>
      </c>
      <c r="U52" t="str">
        <v>فموي (Oral)</v>
      </c>
      <c r="V52" t="str">
        <v>فئة C (بحذر وإشراف طبي)</v>
      </c>
      <c r="W52" t="str">
        <v>لا</v>
      </c>
      <c r="X52" t="str">
        <v>لا</v>
      </c>
      <c r="Y52" t="str">
        <v>صرف مباشر (OTC)</v>
      </c>
      <c r="Z52">
        <v>3</v>
      </c>
      <c r="AA52">
        <v>0</v>
      </c>
      <c r="AB52" t="str">
        <v>MED-0154</v>
      </c>
    </row>
    <row r="53">
      <c r="A53">
        <v>50</v>
      </c>
      <c r="B53" t="str">
        <v>6221151000891</v>
      </c>
      <c r="C53" t="str">
        <v>فاركولين محلول تنفسي نقط استنشاق (farcolin respirator 0.5% soln. 20 ml)</v>
      </c>
      <c r="D53" t="str">
        <v>salbutamol</v>
      </c>
      <c r="E53" t="str">
        <v>نقط (فم / عين / أذن)</v>
      </c>
      <c r="F53" t="str">
        <v>0.5%</v>
      </c>
      <c r="G53" t="str">
        <v>pharco</v>
      </c>
      <c r="H53" t="str">
        <v>أدوية الجهاز التنفسي وموسعات الشعب والسعال</v>
      </c>
      <c r="I53" t="str">
        <v>رف عام - أدوية ومستحضرات</v>
      </c>
      <c r="J53" t="str">
        <v>قطعة</v>
      </c>
      <c r="K53">
        <v>37</v>
      </c>
      <c r="L53">
        <v>28.49</v>
      </c>
      <c r="M53">
        <v>20</v>
      </c>
      <c r="N53">
        <v>5</v>
      </c>
      <c r="O53" s="1">
        <f>K53-L53</f>
        <v>8.51</v>
      </c>
      <c r="P53" s="2">
        <f>IF(L53&gt;0,O53/L53,0)</f>
        <v>0.2987</v>
      </c>
      <c r="Q53" s="1">
        <f>L53*M53</f>
        <v>569.8</v>
      </c>
      <c r="R53" s="1">
        <f>K53*M53</f>
        <v>740</v>
      </c>
      <c r="S53" s="1">
        <f>R53-Q53</f>
        <v>170.2</v>
      </c>
      <c r="T53" t="str">
        <f>IF(M53=0,"نافد",IF(M53&lt;=N53,"قرب ينفد","متوفر"))</f>
        <v>متوفر</v>
      </c>
      <c r="U53" t="str">
        <v>قطرة عين / أذن (Drops)</v>
      </c>
      <c r="V53" t="str">
        <v>فئة B (آمن إلى حد كبير)</v>
      </c>
      <c r="W53" t="str">
        <v>لا</v>
      </c>
      <c r="X53" t="str">
        <v>لا</v>
      </c>
      <c r="Y53" t="str">
        <v>صرف مباشر (OTC)</v>
      </c>
      <c r="Z53">
        <v>1</v>
      </c>
      <c r="AA53">
        <v>0</v>
      </c>
      <c r="AB53" t="str">
        <v>MED-0155</v>
      </c>
    </row>
    <row r="54">
      <c r="A54">
        <v>51</v>
      </c>
      <c r="B54" t="str">
        <v>6220001021819</v>
      </c>
      <c r="C54" t="str">
        <v>فاتستاتين 80 مجم 10 أقراص (fatestatin 80mg 10 f.c. tab)</v>
      </c>
      <c r="D54" t="str">
        <v>atorvastatin</v>
      </c>
      <c r="E54" t="str">
        <v>أقراص</v>
      </c>
      <c r="F54" t="str">
        <v>80 مجم</v>
      </c>
      <c r="G54" t="str">
        <v>egpi &gt; sea pharm for pharmaceuticals</v>
      </c>
      <c r="H54" t="str">
        <v>أدوية ومستحضرات طبية عامة</v>
      </c>
      <c r="I54" t="str">
        <v>رف عام - أدوية ومستحضرات</v>
      </c>
      <c r="J54" t="str">
        <v>علبة</v>
      </c>
      <c r="K54">
        <v>52.5</v>
      </c>
      <c r="L54">
        <v>40.43</v>
      </c>
      <c r="M54">
        <v>20</v>
      </c>
      <c r="N54">
        <v>5</v>
      </c>
      <c r="O54" s="1">
        <f>K54-L54</f>
        <v>12.07</v>
      </c>
      <c r="P54" s="2">
        <f>IF(L54&gt;0,O54/L54,0)</f>
        <v>0.2985</v>
      </c>
      <c r="Q54" s="1">
        <f>L54*M54</f>
        <v>808.6</v>
      </c>
      <c r="R54" s="1">
        <f>K54*M54</f>
        <v>1050</v>
      </c>
      <c r="S54" s="1">
        <f>R54-Q54</f>
        <v>241.4</v>
      </c>
      <c r="T54" t="str">
        <f>IF(M54=0,"نافد",IF(M54&lt;=N54,"قرب ينفد","متوفر"))</f>
        <v>متوفر</v>
      </c>
      <c r="U54" t="str">
        <v>فموي (Oral)</v>
      </c>
      <c r="V54" t="str">
        <v>فئة B (آمن إلى حد كبير)</v>
      </c>
      <c r="W54" t="str">
        <v>لا</v>
      </c>
      <c r="X54" t="str">
        <v>لا</v>
      </c>
      <c r="Y54" t="str">
        <v>صرف مباشر (OTC)</v>
      </c>
      <c r="Z54">
        <v>1</v>
      </c>
      <c r="AA54">
        <v>0</v>
      </c>
      <c r="AB54" t="str">
        <v>MED-0156</v>
      </c>
    </row>
    <row r="55">
      <c r="A55">
        <v>52</v>
      </c>
      <c r="B55" t="str">
        <v>6223003571139</v>
      </c>
      <c r="C55" t="str">
        <v>جينوترا زوناجين 600مجم 3 اقماع لبوس مهبلي (gynotrazonagen 600mg 3 vaginal ovules+applicator)</v>
      </c>
      <c r="D55" t="str">
        <v>isoconazole nitrate</v>
      </c>
      <c r="E55" t="str">
        <v>لبوس / تحاميل</v>
      </c>
      <c r="F55" t="str">
        <v>600مجم</v>
      </c>
      <c r="G55" t="str">
        <v>marcyrl co.</v>
      </c>
      <c r="H55" t="str">
        <v>مضادات الفطريات</v>
      </c>
      <c r="I55" t="str">
        <v>رف عام - أدوية ومستحضرات</v>
      </c>
      <c r="J55" t="str">
        <v>قطعة</v>
      </c>
      <c r="K55">
        <v>33</v>
      </c>
      <c r="L55">
        <v>25.41</v>
      </c>
      <c r="M55">
        <v>20</v>
      </c>
      <c r="N55">
        <v>5</v>
      </c>
      <c r="O55" s="1">
        <f>K55-L55</f>
        <v>7.59</v>
      </c>
      <c r="P55" s="2">
        <f>IF(L55&gt;0,O55/L55,0)</f>
        <v>0.2987</v>
      </c>
      <c r="Q55" s="1">
        <f>L55*M55</f>
        <v>508.2</v>
      </c>
      <c r="R55" s="1">
        <f>K55*M55</f>
        <v>660</v>
      </c>
      <c r="S55" s="1">
        <f>R55-Q55</f>
        <v>151.8</v>
      </c>
      <c r="T55" t="str">
        <f>IF(M55=0,"نافد",IF(M55&lt;=N55,"قرب ينفد","متوفر"))</f>
        <v>متوفر</v>
      </c>
      <c r="U55" t="str">
        <v>لبوس / شرجي (Rectal)</v>
      </c>
      <c r="V55" t="str">
        <v>فئة B (آمن إلى حد كبير)</v>
      </c>
      <c r="W55" t="str">
        <v>لا</v>
      </c>
      <c r="X55" t="str">
        <v>لا</v>
      </c>
      <c r="Y55" t="str">
        <v>صرف مباشر (OTC)</v>
      </c>
      <c r="Z55">
        <v>1</v>
      </c>
      <c r="AA55">
        <v>0</v>
      </c>
      <c r="AB55" t="str">
        <v>MED-0157</v>
      </c>
    </row>
    <row r="56">
      <c r="A56">
        <v>53</v>
      </c>
      <c r="B56" t="str">
        <v>6224001820403</v>
      </c>
      <c r="C56" t="str">
        <v>جاستين بلو منشط للشعر 30 كبسولة (justin blue hair activator 30 h.g. caps)</v>
      </c>
      <c r="D56" t="str">
        <v>copper+selenium+zinc+vitamin e+vitamin c+l-cysteine+l-methionine+l-arginine</v>
      </c>
      <c r="E56" t="str">
        <v>كبسولات</v>
      </c>
      <c r="F56" t="str">
        <v>قياسي</v>
      </c>
      <c r="G56" t="str">
        <v>egypharma</v>
      </c>
      <c r="H56" t="str">
        <v>فيتامينات ومعادن ومكملات غذائية</v>
      </c>
      <c r="I56" t="str">
        <v>رف F1 - فيتامينات ومكملات</v>
      </c>
      <c r="J56" t="str">
        <v>علبة</v>
      </c>
      <c r="K56">
        <v>350</v>
      </c>
      <c r="L56">
        <v>269.5</v>
      </c>
      <c r="M56">
        <v>20</v>
      </c>
      <c r="N56">
        <v>5</v>
      </c>
      <c r="O56" s="1">
        <f>K56-L56</f>
        <v>80.5</v>
      </c>
      <c r="P56" s="2">
        <f>IF(L56&gt;0,O56/L56,0)</f>
        <v>0.2987</v>
      </c>
      <c r="Q56" s="1">
        <f>L56*M56</f>
        <v>5390</v>
      </c>
      <c r="R56" s="1">
        <f>K56*M56</f>
        <v>7000</v>
      </c>
      <c r="S56" s="1">
        <f>R56-Q56</f>
        <v>1610</v>
      </c>
      <c r="T56" t="str">
        <f>IF(M56=0,"نافد",IF(M56&lt;=N56,"قرب ينفد","متوفر"))</f>
        <v>متوفر</v>
      </c>
      <c r="U56" t="str">
        <v>فموي (Oral)</v>
      </c>
      <c r="V56" t="str">
        <v>فئة C (بحذر وإشراف طبي)</v>
      </c>
      <c r="W56" t="str">
        <v>لا</v>
      </c>
      <c r="X56" t="str">
        <v>لا</v>
      </c>
      <c r="Y56" t="str">
        <v>صرف مباشر (OTC)</v>
      </c>
      <c r="Z56">
        <v>3</v>
      </c>
      <c r="AA56">
        <v>0</v>
      </c>
      <c r="AB56" t="str">
        <v>MED-0158</v>
      </c>
    </row>
    <row r="57">
      <c r="A57">
        <v>54</v>
      </c>
      <c r="B57" t="str">
        <v>6220001033829</v>
      </c>
      <c r="C57" t="str">
        <v>ليبيكلير 10/5 مجم 14 قرص (lipiclear 5/10 mg 14 f.c. tabs)</v>
      </c>
      <c r="D57" t="str">
        <v>amlodipine+atorvastatin</v>
      </c>
      <c r="E57" t="str">
        <v>أقراص</v>
      </c>
      <c r="F57" t="str">
        <v>5 مجم</v>
      </c>
      <c r="G57" t="str">
        <v>chemipharm</v>
      </c>
      <c r="H57" t="str">
        <v>أدوية ضغط الدم والقلب</v>
      </c>
      <c r="I57" t="str">
        <v>رف عام - أدوية ومستحضرات</v>
      </c>
      <c r="J57" t="str">
        <v>علبة</v>
      </c>
      <c r="K57">
        <v>28.8</v>
      </c>
      <c r="L57">
        <v>22.18</v>
      </c>
      <c r="M57">
        <v>20</v>
      </c>
      <c r="N57">
        <v>5</v>
      </c>
      <c r="O57" s="1">
        <f>K57-L57</f>
        <v>6.62</v>
      </c>
      <c r="P57" s="2">
        <f>IF(L57&gt;0,O57/L57,0)</f>
        <v>0.2985</v>
      </c>
      <c r="Q57" s="1">
        <f>L57*M57</f>
        <v>443.6</v>
      </c>
      <c r="R57" s="1">
        <f>K57*M57</f>
        <v>576</v>
      </c>
      <c r="S57" s="1">
        <f>R57-Q57</f>
        <v>132.4</v>
      </c>
      <c r="T57" t="str">
        <f>IF(M57=0,"نافد",IF(M57&lt;=N57,"قرب ينفد","متوفر"))</f>
        <v>متوفر</v>
      </c>
      <c r="U57" t="str">
        <v>قطرة عين / أذن (Drops)</v>
      </c>
      <c r="V57" t="str">
        <v>فئة B (آمن إلى حد كبير)</v>
      </c>
      <c r="W57" t="str">
        <v>لا</v>
      </c>
      <c r="X57" t="str">
        <v>لا</v>
      </c>
      <c r="Y57" t="str">
        <v>صرف مباشر (OTC)</v>
      </c>
      <c r="Z57">
        <v>2</v>
      </c>
      <c r="AA57">
        <v>0</v>
      </c>
      <c r="AB57" t="str">
        <v>MED-0159</v>
      </c>
    </row>
    <row r="58">
      <c r="A58">
        <v>55</v>
      </c>
      <c r="B58" t="str">
        <v>6221094026323</v>
      </c>
      <c r="C58" t="str">
        <v>ليبيكول 10 مجم 10 اقراص (lipicole 10mg 10 tab)</v>
      </c>
      <c r="D58" t="str">
        <v>atorvastatin</v>
      </c>
      <c r="E58" t="str">
        <v>أقراص</v>
      </c>
      <c r="F58" t="str">
        <v>10 مجم</v>
      </c>
      <c r="G58" t="str">
        <v>pharopharma</v>
      </c>
      <c r="H58" t="str">
        <v>أدوية ومستحضرات طبية عامة</v>
      </c>
      <c r="I58" t="str">
        <v>رف عام - أدوية ومستحضرات</v>
      </c>
      <c r="J58" t="str">
        <v>علبة</v>
      </c>
      <c r="K58">
        <v>21.6</v>
      </c>
      <c r="L58">
        <v>16.63</v>
      </c>
      <c r="M58">
        <v>20</v>
      </c>
      <c r="N58">
        <v>5</v>
      </c>
      <c r="O58" s="1">
        <f>K58-L58</f>
        <v>4.97</v>
      </c>
      <c r="P58" s="2">
        <f>IF(L58&gt;0,O58/L58,0)</f>
        <v>0.2989</v>
      </c>
      <c r="Q58" s="1">
        <f>L58*M58</f>
        <v>332.6</v>
      </c>
      <c r="R58" s="1">
        <f>K58*M58</f>
        <v>432</v>
      </c>
      <c r="S58" s="1">
        <f>R58-Q58</f>
        <v>99.4</v>
      </c>
      <c r="T58" t="str">
        <f>IF(M58=0,"نافد",IF(M58&lt;=N58,"قرب ينفد","متوفر"))</f>
        <v>متوفر</v>
      </c>
      <c r="U58" t="str">
        <v>فموي (Oral)</v>
      </c>
      <c r="V58" t="str">
        <v>فئة B (آمن إلى حد كبير)</v>
      </c>
      <c r="W58" t="str">
        <v>لا</v>
      </c>
      <c r="X58" t="str">
        <v>لا</v>
      </c>
      <c r="Y58" t="str">
        <v>صرف مباشر (OTC)</v>
      </c>
      <c r="Z58">
        <v>1</v>
      </c>
      <c r="AA58">
        <v>0</v>
      </c>
      <c r="AB58" t="str">
        <v>MED-0160</v>
      </c>
    </row>
    <row r="59">
      <c r="A59">
        <v>56</v>
      </c>
      <c r="B59" t="str">
        <v>6221094026330</v>
      </c>
      <c r="C59" t="str">
        <v>ليبيكول 20مجم 10 اقراص (lipicole 20mg 10 tablets)</v>
      </c>
      <c r="D59" t="str">
        <v>atorvastatin</v>
      </c>
      <c r="E59" t="str">
        <v>أقراص</v>
      </c>
      <c r="F59" t="str">
        <v>20مجم</v>
      </c>
      <c r="G59" t="str">
        <v>pharopharma</v>
      </c>
      <c r="H59" t="str">
        <v>أدوية ومستحضرات طبية عامة</v>
      </c>
      <c r="I59" t="str">
        <v>رف عام - أدوية ومستحضرات</v>
      </c>
      <c r="J59" t="str">
        <v>علبة</v>
      </c>
      <c r="K59">
        <v>24</v>
      </c>
      <c r="L59">
        <v>18.48</v>
      </c>
      <c r="M59">
        <v>20</v>
      </c>
      <c r="N59">
        <v>5</v>
      </c>
      <c r="O59" s="1">
        <f>K59-L59</f>
        <v>5.52</v>
      </c>
      <c r="P59" s="2">
        <f>IF(L59&gt;0,O59/L59,0)</f>
        <v>0.2987</v>
      </c>
      <c r="Q59" s="1">
        <f>L59*M59</f>
        <v>369.6</v>
      </c>
      <c r="R59" s="1">
        <f>K59*M59</f>
        <v>480</v>
      </c>
      <c r="S59" s="1">
        <f>R59-Q59</f>
        <v>110.4</v>
      </c>
      <c r="T59" t="str">
        <f>IF(M59=0,"نافد",IF(M59&lt;=N59,"قرب ينفد","متوفر"))</f>
        <v>متوفر</v>
      </c>
      <c r="U59" t="str">
        <v>فموي (Oral)</v>
      </c>
      <c r="V59" t="str">
        <v>فئة B (آمن إلى حد كبير)</v>
      </c>
      <c r="W59" t="str">
        <v>لا</v>
      </c>
      <c r="X59" t="str">
        <v>لا</v>
      </c>
      <c r="Y59" t="str">
        <v>صرف مباشر (OTC)</v>
      </c>
      <c r="Z59">
        <v>1</v>
      </c>
      <c r="AA59">
        <v>0</v>
      </c>
      <c r="AB59" t="str">
        <v>MED-0161</v>
      </c>
    </row>
    <row r="60">
      <c r="A60">
        <v>57</v>
      </c>
      <c r="B60" t="str">
        <v>6221025024466</v>
      </c>
      <c r="C60" t="str">
        <v>ليبيلس 10مجم 30 قرص (lipiless 10mg 30 f.c.tab)</v>
      </c>
      <c r="D60" t="str">
        <v>atorvastatin</v>
      </c>
      <c r="E60" t="str">
        <v>أقراص</v>
      </c>
      <c r="F60" t="str">
        <v>10مجم</v>
      </c>
      <c r="G60" t="str">
        <v>amoun</v>
      </c>
      <c r="H60" t="str">
        <v>أدوية ومستحضرات طبية عامة</v>
      </c>
      <c r="I60" t="str">
        <v>رف عام - أدوية ومستحضرات</v>
      </c>
      <c r="J60" t="str">
        <v>علبة</v>
      </c>
      <c r="K60">
        <v>75</v>
      </c>
      <c r="L60">
        <v>57.75</v>
      </c>
      <c r="M60">
        <v>20</v>
      </c>
      <c r="N60">
        <v>5</v>
      </c>
      <c r="O60" s="1">
        <f>K60-L60</f>
        <v>17.25</v>
      </c>
      <c r="P60" s="2">
        <f>IF(L60&gt;0,O60/L60,0)</f>
        <v>0.2987</v>
      </c>
      <c r="Q60" s="1">
        <f>L60*M60</f>
        <v>1155</v>
      </c>
      <c r="R60" s="1">
        <f>K60*M60</f>
        <v>1500</v>
      </c>
      <c r="S60" s="1">
        <f>R60-Q60</f>
        <v>345</v>
      </c>
      <c r="T60" t="str">
        <f>IF(M60=0,"نافد",IF(M60&lt;=N60,"قرب ينفد","متوفر"))</f>
        <v>متوفر</v>
      </c>
      <c r="U60" t="str">
        <v>فموي (Oral)</v>
      </c>
      <c r="V60" t="str">
        <v>فئة B (آمن إلى حد كبير)</v>
      </c>
      <c r="W60" t="str">
        <v>لا</v>
      </c>
      <c r="X60" t="str">
        <v>لا</v>
      </c>
      <c r="Y60" t="str">
        <v>صرف مباشر (OTC)</v>
      </c>
      <c r="Z60">
        <v>3</v>
      </c>
      <c r="AA60">
        <v>0</v>
      </c>
      <c r="AB60" t="str">
        <v>MED-0162</v>
      </c>
    </row>
    <row r="61">
      <c r="A61">
        <v>58</v>
      </c>
      <c r="B61" t="str">
        <v>6221508511919</v>
      </c>
      <c r="C61" t="str">
        <v>ليبينورم 10 مجم 7 اقراص (lipinorm 10 mg 7 f.c.tab)</v>
      </c>
      <c r="D61" t="str">
        <v>atorvastatin</v>
      </c>
      <c r="E61" t="str">
        <v>أقراص</v>
      </c>
      <c r="F61" t="str">
        <v>10 مجم</v>
      </c>
      <c r="G61" t="str">
        <v>mup</v>
      </c>
      <c r="H61" t="str">
        <v>أدوية ومستحضرات طبية عامة</v>
      </c>
      <c r="I61" t="str">
        <v>رف عام - أدوية ومستحضرات</v>
      </c>
      <c r="J61" t="str">
        <v>علبة</v>
      </c>
      <c r="K61">
        <v>28</v>
      </c>
      <c r="L61">
        <v>21.56</v>
      </c>
      <c r="M61">
        <v>20</v>
      </c>
      <c r="N61">
        <v>5</v>
      </c>
      <c r="O61" s="1">
        <f>K61-L61</f>
        <v>6.44</v>
      </c>
      <c r="P61" s="2">
        <f>IF(L61&gt;0,O61/L61,0)</f>
        <v>0.2987</v>
      </c>
      <c r="Q61" s="1">
        <f>L61*M61</f>
        <v>431.2</v>
      </c>
      <c r="R61" s="1">
        <f>K61*M61</f>
        <v>560</v>
      </c>
      <c r="S61" s="1">
        <f>R61-Q61</f>
        <v>128.8</v>
      </c>
      <c r="T61" t="str">
        <f>IF(M61=0,"نافد",IF(M61&lt;=N61,"قرب ينفد","متوفر"))</f>
        <v>متوفر</v>
      </c>
      <c r="U61" t="str">
        <v>فموي (Oral)</v>
      </c>
      <c r="V61" t="str">
        <v>فئة B (آمن إلى حد كبير)</v>
      </c>
      <c r="W61" t="str">
        <v>لا</v>
      </c>
      <c r="X61" t="str">
        <v>لا</v>
      </c>
      <c r="Y61" t="str">
        <v>صرف مباشر (OTC)</v>
      </c>
      <c r="Z61">
        <v>1</v>
      </c>
      <c r="AA61">
        <v>0</v>
      </c>
      <c r="AB61" t="str">
        <v>MED-0163</v>
      </c>
    </row>
    <row r="62">
      <c r="A62">
        <v>59</v>
      </c>
      <c r="B62" t="str">
        <v>610644921113</v>
      </c>
      <c r="C62" t="str">
        <v>ليبيتور 10مجم 7 اقراص (lipitor 10mg 7 tab)</v>
      </c>
      <c r="D62" t="str">
        <v>atorvastatin</v>
      </c>
      <c r="E62" t="str">
        <v>أقراص</v>
      </c>
      <c r="F62" t="str">
        <v>10مجم</v>
      </c>
      <c r="G62" t="str">
        <v>pfizer</v>
      </c>
      <c r="H62" t="str">
        <v>أدوية ومستحضرات طبية عامة</v>
      </c>
      <c r="I62" t="str">
        <v>رف عام - أدوية ومستحضرات</v>
      </c>
      <c r="J62" t="str">
        <v>علبة</v>
      </c>
      <c r="K62">
        <v>67</v>
      </c>
      <c r="L62">
        <v>51.59</v>
      </c>
      <c r="M62">
        <v>20</v>
      </c>
      <c r="N62">
        <v>5</v>
      </c>
      <c r="O62" s="1">
        <f>K62-L62</f>
        <v>15.41</v>
      </c>
      <c r="P62" s="2">
        <f>IF(L62&gt;0,O62/L62,0)</f>
        <v>0.2987</v>
      </c>
      <c r="Q62" s="1">
        <f>L62*M62</f>
        <v>1031.8</v>
      </c>
      <c r="R62" s="1">
        <f>K62*M62</f>
        <v>1340</v>
      </c>
      <c r="S62" s="1">
        <f>R62-Q62</f>
        <v>308.2</v>
      </c>
      <c r="T62" t="str">
        <f>IF(M62=0,"نافد",IF(M62&lt;=N62,"قرب ينفد","متوفر"))</f>
        <v>متوفر</v>
      </c>
      <c r="U62" t="str">
        <v>فموي (Oral)</v>
      </c>
      <c r="V62" t="str">
        <v>فئة B (آمن إلى حد كبير)</v>
      </c>
      <c r="W62" t="str">
        <v>لا</v>
      </c>
      <c r="X62" t="str">
        <v>لا</v>
      </c>
      <c r="Y62" t="str">
        <v>صرف مباشر (OTC)</v>
      </c>
      <c r="Z62">
        <v>1</v>
      </c>
      <c r="AA62">
        <v>0</v>
      </c>
      <c r="AB62" t="str">
        <v>MED-0164</v>
      </c>
    </row>
    <row r="63">
      <c r="A63">
        <v>60</v>
      </c>
      <c r="B63" t="str">
        <v>6221180000497</v>
      </c>
      <c r="C63" t="str">
        <v>ليبيتور 40مجم 7 قرص (lipitor 40mg 7 tabs)</v>
      </c>
      <c r="D63" t="str">
        <v>atorvastatin</v>
      </c>
      <c r="E63" t="str">
        <v>أقراص</v>
      </c>
      <c r="F63" t="str">
        <v>40مجم</v>
      </c>
      <c r="G63" t="str">
        <v>pfizer</v>
      </c>
      <c r="H63" t="str">
        <v>أدوية ومستحضرات طبية عامة</v>
      </c>
      <c r="I63" t="str">
        <v>رف عام - أدوية ومستحضرات</v>
      </c>
      <c r="J63" t="str">
        <v>علبة</v>
      </c>
      <c r="K63">
        <v>113</v>
      </c>
      <c r="L63">
        <v>87.01</v>
      </c>
      <c r="M63">
        <v>20</v>
      </c>
      <c r="N63">
        <v>5</v>
      </c>
      <c r="O63" s="1">
        <f>K63-L63</f>
        <v>25.99</v>
      </c>
      <c r="P63" s="2">
        <f>IF(L63&gt;0,O63/L63,0)</f>
        <v>0.2987</v>
      </c>
      <c r="Q63" s="1">
        <f>L63*M63</f>
        <v>1740.2</v>
      </c>
      <c r="R63" s="1">
        <f>K63*M63</f>
        <v>2260</v>
      </c>
      <c r="S63" s="1">
        <f>R63-Q63</f>
        <v>519.8</v>
      </c>
      <c r="T63" t="str">
        <f>IF(M63=0,"نافد",IF(M63&lt;=N63,"قرب ينفد","متوفر"))</f>
        <v>متوفر</v>
      </c>
      <c r="U63" t="str">
        <v>فموي (Oral)</v>
      </c>
      <c r="V63" t="str">
        <v>فئة B (آمن إلى حد كبير)</v>
      </c>
      <c r="W63" t="str">
        <v>لا</v>
      </c>
      <c r="X63" t="str">
        <v>لا</v>
      </c>
      <c r="Y63" t="str">
        <v>صرف مباشر (OTC)</v>
      </c>
      <c r="Z63">
        <v>1</v>
      </c>
      <c r="AA63">
        <v>0</v>
      </c>
      <c r="AB63" t="str">
        <v>MED-0165</v>
      </c>
    </row>
    <row r="64">
      <c r="A64" t="str">
        <v>الإجمالي</v>
      </c>
      <c r="B64" t="str">
        <v>عدد الأصناف: 60</v>
      </c>
      <c r="C64" t="str">
        <v/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s="1">
        <f>AVERAGE(K4:K63)</f>
        <v>105.36</v>
      </c>
      <c r="L64" s="1">
        <f>AVERAGE(L4:L63)</f>
        <v>81.13</v>
      </c>
      <c r="M64" s="3">
        <f>SUM(M4:M63)</f>
        <v>1200</v>
      </c>
      <c r="N64" s="3">
        <f>SUM(N4:N63)</f>
        <v>300</v>
      </c>
      <c r="O64" s="1">
        <f>AVERAGE(O4:O63)</f>
        <v>24.23</v>
      </c>
      <c r="P64" s="2">
        <f>AVERAGE(P4:P63)</f>
        <v>0.2987</v>
      </c>
      <c r="Q64" s="1">
        <f>SUM(Q4:Q63)</f>
        <v>97356</v>
      </c>
      <c r="R64" s="1">
        <f>SUM(R4:R63)</f>
        <v>126432</v>
      </c>
      <c r="S64" s="1">
        <f>SUM(S4:S63)</f>
        <v>29076</v>
      </c>
      <c r="T64" t="str">
        <v>محسوب بمعادلات إكسل</v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/>
      </c>
      <c r="AA64" t="str">
        <v/>
      </c>
      <c r="AB64" t="str">
        <v/>
      </c>
    </row>
  </sheetData>
  <mergeCells count="2">
    <mergeCell ref="A1:AB1"/>
    <mergeCell ref="A2:AB2"/>
  </mergeCells>
  <ignoredErrors>
    <ignoredError numberStoredAsText="1" sqref="A1:AB6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B59"/>
  <sheetViews>
    <sheetView workbookViewId="0"/>
  </sheetViews>
  <cols>
    <col min="1" max="1" width="6.83203125" customWidth="1"/>
    <col min="2" max="2" width="18.83203125" customWidth="1"/>
    <col min="3" max="3" width="45.83203125" customWidth="1"/>
    <col min="4" max="4" width="42.83203125" customWidth="1"/>
    <col min="5" max="5" width="18.83203125" customWidth="1"/>
    <col min="6" max="6" width="16.83203125" customWidth="1"/>
    <col min="7" max="7" width="25.83203125" customWidth="1"/>
    <col min="8" max="8" width="32.83203125" customWidth="1"/>
    <col min="9" max="9" width="24.83203125" customWidth="1"/>
    <col min="10" max="10" width="16.83203125" customWidth="1"/>
    <col min="11" max="11" width="18.83203125" customWidth="1"/>
    <col min="12" max="12" width="18.83203125" customWidth="1"/>
    <col min="13" max="13" width="16.83203125" customWidth="1"/>
    <col min="14" max="14" width="16.83203125" customWidth="1"/>
    <col min="15" max="15" width="16.83203125" customWidth="1"/>
    <col min="16" max="16" width="14.83203125" customWidth="1"/>
    <col min="17" max="17" width="18.83203125" customWidth="1"/>
    <col min="18" max="18" width="18.83203125" customWidth="1"/>
    <col min="19" max="19" width="18.83203125" customWidth="1"/>
    <col min="20" max="20" width="16.83203125" customWidth="1"/>
    <col min="21" max="21" width="22.83203125" customWidth="1"/>
    <col min="22" max="22" width="24.83203125" customWidth="1"/>
    <col min="23" max="23" width="15.83203125" customWidth="1"/>
    <col min="24" max="24" width="18.83203125" customWidth="1"/>
    <col min="25" max="25" width="18.83203125" customWidth="1"/>
    <col min="26" max="26" width="18.83203125" customWidth="1"/>
    <col min="27" max="27" width="14.83203125" customWidth="1"/>
    <col min="28" max="28" width="16.83203125" customWidth="1"/>
  </cols>
  <sheetData>
    <row r="1">
      <c r="A1" t="str">
        <v>رفيق POS - قائمة أصناف قسم: [مضادات حيوية ومطهرات بكتيرية]</v>
      </c>
    </row>
    <row r="2">
      <c r="A2" t="str">
        <v>تعليمات هامة: الأعمدة المميزة بنجمة (*) إلزامية | يتضمن النموذج كافة البيانات السريرية والصيدلية المعتمدة | المعادلات المالية والمخزنية تتحدث تلقائياً</v>
      </c>
    </row>
    <row r="3">
      <c r="A3" t="str">
        <v>م</v>
      </c>
      <c r="B3" t="str">
        <v>باركود الدواء *</v>
      </c>
      <c r="C3" t="str">
        <v>الاسم التجاري (عربي / إنجليزي) *</v>
      </c>
      <c r="D3" t="str">
        <v>الاسم العلمي (المادة الفعالة والتركيبة) *</v>
      </c>
      <c r="E3" t="str">
        <v>الشكل الدوائي (Dosage Form)</v>
      </c>
      <c r="F3" t="str">
        <v>التركيز والحجم</v>
      </c>
      <c r="G3" t="str">
        <v>الشركة المصنعة (Manufacturer)</v>
      </c>
      <c r="H3" t="str">
        <v>المجموعة العلاجية (Therapeutic Class)</v>
      </c>
      <c r="I3" t="str">
        <v>مكان التخزين / الرف / الدرج</v>
      </c>
      <c r="J3" t="str">
        <v>الوحدة الأساسية (علبة / قطعة)</v>
      </c>
      <c r="K3" t="str">
        <v>سعر الجمهور الرسمي (ج.م) *</v>
      </c>
      <c r="L3" t="str">
        <v>سعر التكلفة / الشراء (ج.م) *</v>
      </c>
      <c r="M3" t="str">
        <v>الرصيد الافتتاحي (علب)</v>
      </c>
      <c r="N3" t="str">
        <v>حد الطلب الأدنى</v>
      </c>
      <c r="O3" t="str">
        <v>هامش ربح العلبة (ج.م)</v>
      </c>
      <c r="P3" t="str">
        <v>نسبة الربح (%)</v>
      </c>
      <c r="Q3" t="str">
        <v>إجمالي قيمة التكلفة (ج.م)</v>
      </c>
      <c r="R3" t="str">
        <v>إجمالي القيمة البيعية (ج.م)</v>
      </c>
      <c r="S3" t="str">
        <v>إجمالي الربح المتوقع (ج.م)</v>
      </c>
      <c r="T3" t="str">
        <v>حالة المخزون التلقائية</v>
      </c>
      <c r="U3" t="str">
        <v>طريقة الاستخدام (Route)</v>
      </c>
      <c r="V3" t="str">
        <v>فئة أمان الحمل والرضاعة</v>
      </c>
      <c r="W3" t="str">
        <v>مضاد حيوي (نعم / لا)</v>
      </c>
      <c r="X3" t="str">
        <v>سلسلة التبريد / ثلاجة (نعم / لا)</v>
      </c>
      <c r="Y3" t="str">
        <v>نوع الوصفة والصرف (Rx Status)</v>
      </c>
      <c r="Z3" t="str">
        <v>عدد الوحدات / الأشرطة بالعلبة</v>
      </c>
      <c r="AA3" t="str">
        <v>نسبة الضريبة (%)</v>
      </c>
      <c r="AB3" t="str">
        <v>كود الصنف الداخلي (SKU)</v>
      </c>
    </row>
    <row r="4">
      <c r="A4">
        <v>1</v>
      </c>
      <c r="B4" t="str">
        <v>6221045011279</v>
      </c>
      <c r="C4" t="str">
        <v>اوجمنتين 1جم 14 قرص (augmentin 1 gm 14 f.c. tabs)</v>
      </c>
      <c r="D4" t="str">
        <v>amoxicillin+clavulanic acid</v>
      </c>
      <c r="E4" t="str">
        <v>أقراص</v>
      </c>
      <c r="F4" t="str">
        <v>1 g</v>
      </c>
      <c r="G4" t="str">
        <v>mup &gt; smithkline beecham</v>
      </c>
      <c r="H4" t="str">
        <v>مضادات حيوية ومضادات بكتيرية</v>
      </c>
      <c r="I4" t="str">
        <v>رف B1 - مضادات حيوية</v>
      </c>
      <c r="J4" t="str">
        <v>علبة</v>
      </c>
      <c r="K4">
        <v>210</v>
      </c>
      <c r="L4">
        <v>161.7</v>
      </c>
      <c r="M4">
        <v>20</v>
      </c>
      <c r="N4">
        <v>5</v>
      </c>
      <c r="O4" s="1">
        <f>K4-L4</f>
        <v>48.3</v>
      </c>
      <c r="P4" s="2">
        <f>IF(L4&gt;0,O4/L4,0)</f>
        <v>0.2987</v>
      </c>
      <c r="Q4" s="1">
        <f>L4*M4</f>
        <v>3234</v>
      </c>
      <c r="R4" s="1">
        <f>K4*M4</f>
        <v>4200</v>
      </c>
      <c r="S4" s="1">
        <f>R4-Q4</f>
        <v>966</v>
      </c>
      <c r="T4" t="str">
        <f>IF(M4=0,"نافد",IF(M4&lt;=N4,"قرب ينفد","متوفر"))</f>
        <v>متوفر</v>
      </c>
      <c r="U4" t="str">
        <v>فموي (Oral)</v>
      </c>
      <c r="V4" t="str">
        <v>فئة B (آمن إلى حد كبير)</v>
      </c>
      <c r="W4" t="str">
        <v>نعم</v>
      </c>
      <c r="X4" t="str">
        <v>لا</v>
      </c>
      <c r="Y4" t="str">
        <v>روشتة طبية (Rx)</v>
      </c>
      <c r="Z4">
        <v>2</v>
      </c>
      <c r="AA4">
        <v>0</v>
      </c>
      <c r="AB4" t="str">
        <v>MED-0166</v>
      </c>
    </row>
    <row r="5">
      <c r="A5">
        <v>2</v>
      </c>
      <c r="B5" t="str">
        <v>6221045999799</v>
      </c>
      <c r="C5" t="str">
        <v>اوجمنتين 457مجم/5مل معلق 70 مل (augmentin 457mg/5ml susp. 70 ml)</v>
      </c>
      <c r="D5" t="str">
        <v>amoxicillin+clavulanic acid</v>
      </c>
      <c r="E5" t="str">
        <v>معلق</v>
      </c>
      <c r="F5" t="str">
        <v>457مجم</v>
      </c>
      <c r="G5" t="str">
        <v>mup &gt; glaxo smithkline</v>
      </c>
      <c r="H5" t="str">
        <v>مضادات حيوية ومضادات بكتيرية</v>
      </c>
      <c r="I5" t="str">
        <v>رف B1 - مضادات حيوية</v>
      </c>
      <c r="J5" t="str">
        <v>قطعة</v>
      </c>
      <c r="K5">
        <v>137</v>
      </c>
      <c r="L5">
        <v>105.49</v>
      </c>
      <c r="M5">
        <v>20</v>
      </c>
      <c r="N5">
        <v>5</v>
      </c>
      <c r="O5" s="1">
        <f>K5-L5</f>
        <v>31.51</v>
      </c>
      <c r="P5" s="2">
        <f>IF(L5&gt;0,O5/L5,0)</f>
        <v>0.2987</v>
      </c>
      <c r="Q5" s="1">
        <f>L5*M5</f>
        <v>2109.8</v>
      </c>
      <c r="R5" s="1">
        <f>K5*M5</f>
        <v>2740</v>
      </c>
      <c r="S5" s="1">
        <f>R5-Q5</f>
        <v>630.2</v>
      </c>
      <c r="T5" t="str">
        <f>IF(M5=0,"نافد",IF(M5&lt;=N5,"قرب ينفد","متوفر"))</f>
        <v>متوفر</v>
      </c>
      <c r="U5" t="str">
        <v>فموي (Oral)</v>
      </c>
      <c r="V5" t="str">
        <v>فئة B (آمن إلى حد كبير)</v>
      </c>
      <c r="W5" t="str">
        <v>نعم</v>
      </c>
      <c r="X5" t="str">
        <v>لا</v>
      </c>
      <c r="Y5" t="str">
        <v>روشتة طبية (Rx)</v>
      </c>
      <c r="Z5">
        <v>1</v>
      </c>
      <c r="AA5">
        <v>0</v>
      </c>
      <c r="AB5" t="str">
        <v>MED-0167</v>
      </c>
    </row>
    <row r="6">
      <c r="A6">
        <v>3</v>
      </c>
      <c r="B6" t="str">
        <v>6220001006021</v>
      </c>
      <c r="C6" t="str">
        <v>اوجمنتين 62.5مجم/مل نقط أطفال 20 مل (augmentin 62.5mg/ml infant drops 20 ml)</v>
      </c>
      <c r="D6" t="str">
        <v>amoxicillin+clavulanic acid</v>
      </c>
      <c r="E6" t="str">
        <v>نقط (فم / عين / أذن)</v>
      </c>
      <c r="F6" t="str">
        <v>62.5مجم</v>
      </c>
      <c r="G6" t="str">
        <v>mup &gt; smithkline beecham</v>
      </c>
      <c r="H6" t="str">
        <v>مضادات حيوية ومضادات بكتيرية</v>
      </c>
      <c r="I6" t="str">
        <v>رف B1 - مضادات حيوية</v>
      </c>
      <c r="J6" t="str">
        <v>قطعة</v>
      </c>
      <c r="K6">
        <v>86</v>
      </c>
      <c r="L6">
        <v>66.22</v>
      </c>
      <c r="M6">
        <v>20</v>
      </c>
      <c r="N6">
        <v>5</v>
      </c>
      <c r="O6" s="1">
        <f>K6-L6</f>
        <v>19.78</v>
      </c>
      <c r="P6" s="2">
        <f>IF(L6&gt;0,O6/L6,0)</f>
        <v>0.2987</v>
      </c>
      <c r="Q6" s="1">
        <f>L6*M6</f>
        <v>1324.4</v>
      </c>
      <c r="R6" s="1">
        <f>K6*M6</f>
        <v>1720</v>
      </c>
      <c r="S6" s="1">
        <f>R6-Q6</f>
        <v>395.6</v>
      </c>
      <c r="T6" t="str">
        <f>IF(M6=0,"نافد",IF(M6&lt;=N6,"قرب ينفد","متوفر"))</f>
        <v>متوفر</v>
      </c>
      <c r="U6" t="str">
        <v>قطرة عين / أذن (Drops)</v>
      </c>
      <c r="V6" t="str">
        <v>فئة B (آمن إلى حد كبير)</v>
      </c>
      <c r="W6" t="str">
        <v>نعم</v>
      </c>
      <c r="X6" t="str">
        <v>لا</v>
      </c>
      <c r="Y6" t="str">
        <v>روشتة طبية (Rx)</v>
      </c>
      <c r="Z6">
        <v>1</v>
      </c>
      <c r="AA6">
        <v>0</v>
      </c>
      <c r="AB6" t="str">
        <v>MED-0168</v>
      </c>
    </row>
    <row r="7">
      <c r="A7">
        <v>4</v>
      </c>
      <c r="B7" t="str">
        <v>6221045011309</v>
      </c>
      <c r="C7" t="str">
        <v>اوجمنتين اي اس-600 معلق 75 مل (augmentin es-600 pd. for oral susp. 75 ml)</v>
      </c>
      <c r="D7" t="str">
        <v>amoxicillin+clavulanic acid</v>
      </c>
      <c r="E7" t="str">
        <v>معلق</v>
      </c>
      <c r="F7" t="str">
        <v>75 مل</v>
      </c>
      <c r="G7" t="str">
        <v>mup &gt; glaxo smithkline</v>
      </c>
      <c r="H7" t="str">
        <v>مضادات حيوية ومضادات بكتيرية</v>
      </c>
      <c r="I7" t="str">
        <v>رف B1 - مضادات حيوية</v>
      </c>
      <c r="J7" t="str">
        <v>قطعة</v>
      </c>
      <c r="K7">
        <v>169</v>
      </c>
      <c r="L7">
        <v>130.13</v>
      </c>
      <c r="M7">
        <v>20</v>
      </c>
      <c r="N7">
        <v>5</v>
      </c>
      <c r="O7" s="1">
        <f>K7-L7</f>
        <v>38.87</v>
      </c>
      <c r="P7" s="2">
        <f>IF(L7&gt;0,O7/L7,0)</f>
        <v>0.2987</v>
      </c>
      <c r="Q7" s="1">
        <f>L7*M7</f>
        <v>2602.6</v>
      </c>
      <c r="R7" s="1">
        <f>K7*M7</f>
        <v>3380</v>
      </c>
      <c r="S7" s="1">
        <f>R7-Q7</f>
        <v>777.4</v>
      </c>
      <c r="T7" t="str">
        <f>IF(M7=0,"نافد",IF(M7&lt;=N7,"قرب ينفد","متوفر"))</f>
        <v>متوفر</v>
      </c>
      <c r="U7" t="str">
        <v>فموي (Oral)</v>
      </c>
      <c r="V7" t="str">
        <v>فئة B (آمن إلى حد كبير)</v>
      </c>
      <c r="W7" t="str">
        <v>نعم</v>
      </c>
      <c r="X7" t="str">
        <v>لا</v>
      </c>
      <c r="Y7" t="str">
        <v>روشتة طبية (Rx)</v>
      </c>
      <c r="Z7">
        <v>1</v>
      </c>
      <c r="AA7">
        <v>0</v>
      </c>
      <c r="AB7" t="str">
        <v>MED-0169</v>
      </c>
    </row>
    <row r="8">
      <c r="A8">
        <v>5</v>
      </c>
      <c r="B8" t="str">
        <v>6221045009139</v>
      </c>
      <c r="C8" t="str">
        <v>اوجمنتين 1.2 جم 1فيال (augmentin 1.2g vial for i.v. inj./inf)</v>
      </c>
      <c r="D8" t="str">
        <v>amoxicillin+clavulanic acid</v>
      </c>
      <c r="E8" t="str">
        <v>حقن</v>
      </c>
      <c r="F8" t="str">
        <v>1.2g</v>
      </c>
      <c r="G8" t="str">
        <v>mup &gt; glaxo smithkline</v>
      </c>
      <c r="H8" t="str">
        <v>مضادات حيوية ومضادات بكتيرية</v>
      </c>
      <c r="I8" t="str">
        <v>رف B1 - مضادات حيوية</v>
      </c>
      <c r="J8" t="str">
        <v>قطعة</v>
      </c>
      <c r="K8">
        <v>36</v>
      </c>
      <c r="L8">
        <v>27.72</v>
      </c>
      <c r="M8">
        <v>20</v>
      </c>
      <c r="N8">
        <v>5</v>
      </c>
      <c r="O8" s="1">
        <f>K8-L8</f>
        <v>8.28</v>
      </c>
      <c r="P8" s="2">
        <f>IF(L8&gt;0,O8/L8,0)</f>
        <v>0.2987</v>
      </c>
      <c r="Q8" s="1">
        <f>L8*M8</f>
        <v>554.4</v>
      </c>
      <c r="R8" s="1">
        <f>K8*M8</f>
        <v>720</v>
      </c>
      <c r="S8" s="1">
        <f>R8-Q8</f>
        <v>165.6</v>
      </c>
      <c r="T8" t="str">
        <f>IF(M8=0,"نافد",IF(M8&lt;=N8,"قرب ينفد","متوفر"))</f>
        <v>متوفر</v>
      </c>
      <c r="U8" t="str">
        <v>حقن عضل / وريد (Parenteral)</v>
      </c>
      <c r="V8" t="str">
        <v>فئة B (آمن إلى حد كبير)</v>
      </c>
      <c r="W8" t="str">
        <v>نعم</v>
      </c>
      <c r="X8" t="str">
        <v>لا</v>
      </c>
      <c r="Y8" t="str">
        <v>روشتة طبية (Rx)</v>
      </c>
      <c r="Z8">
        <v>1</v>
      </c>
      <c r="AA8">
        <v>0</v>
      </c>
      <c r="AB8" t="str">
        <v>MED-0170</v>
      </c>
    </row>
    <row r="9">
      <c r="A9">
        <v>6</v>
      </c>
      <c r="B9" t="str">
        <v>6221045011323</v>
      </c>
      <c r="C9" t="str">
        <v>اوجمنتين 156مجم/5مل معلق 80 مل (augmentin 156 mg/5 ml susp. 80 ml)</v>
      </c>
      <c r="D9" t="str">
        <v>amoxicillin+clavulanic acid</v>
      </c>
      <c r="E9" t="str">
        <v>معلق</v>
      </c>
      <c r="F9" t="str">
        <v>156مجم</v>
      </c>
      <c r="G9" t="str">
        <v>mup &gt; smithkline beecham</v>
      </c>
      <c r="H9" t="str">
        <v>مضادات حيوية ومضادات بكتيرية</v>
      </c>
      <c r="I9" t="str">
        <v>رف B1 - مضادات حيوية</v>
      </c>
      <c r="J9" t="str">
        <v>قطعة</v>
      </c>
      <c r="K9">
        <v>99</v>
      </c>
      <c r="L9">
        <v>76.23</v>
      </c>
      <c r="M9">
        <v>20</v>
      </c>
      <c r="N9">
        <v>5</v>
      </c>
      <c r="O9" s="1">
        <f>K9-L9</f>
        <v>22.77</v>
      </c>
      <c r="P9" s="2">
        <f>IF(L9&gt;0,O9/L9,0)</f>
        <v>0.2987</v>
      </c>
      <c r="Q9" s="1">
        <f>L9*M9</f>
        <v>1524.6</v>
      </c>
      <c r="R9" s="1">
        <f>K9*M9</f>
        <v>1980</v>
      </c>
      <c r="S9" s="1">
        <f>R9-Q9</f>
        <v>455.4</v>
      </c>
      <c r="T9" t="str">
        <f>IF(M9=0,"نافد",IF(M9&lt;=N9,"قرب ينفد","متوفر"))</f>
        <v>متوفر</v>
      </c>
      <c r="U9" t="str">
        <v>فموي (Oral)</v>
      </c>
      <c r="V9" t="str">
        <v>فئة B (آمن إلى حد كبير)</v>
      </c>
      <c r="W9" t="str">
        <v>نعم</v>
      </c>
      <c r="X9" t="str">
        <v>لا</v>
      </c>
      <c r="Y9" t="str">
        <v>روشتة طبية (Rx)</v>
      </c>
      <c r="Z9">
        <v>1</v>
      </c>
      <c r="AA9">
        <v>0</v>
      </c>
      <c r="AB9" t="str">
        <v>MED-0171</v>
      </c>
    </row>
    <row r="10">
      <c r="A10">
        <v>7</v>
      </c>
      <c r="B10" t="str">
        <v>6221045011347</v>
      </c>
      <c r="C10" t="str">
        <v>اوجمنتين 312مجم/5مل معلق 80 مل (augmentin 312 mg/5ml susp. 80 ml)</v>
      </c>
      <c r="D10" t="str">
        <v>amoxicillin+clavulanic acid</v>
      </c>
      <c r="E10" t="str">
        <v>معلق</v>
      </c>
      <c r="F10" t="str">
        <v>312مجم</v>
      </c>
      <c r="G10" t="str">
        <v>mup &gt; smithkline beecham</v>
      </c>
      <c r="H10" t="str">
        <v>مضادات حيوية ومضادات بكتيرية</v>
      </c>
      <c r="I10" t="str">
        <v>رف B1 - مضادات حيوية</v>
      </c>
      <c r="J10" t="str">
        <v>قطعة</v>
      </c>
      <c r="K10">
        <v>120</v>
      </c>
      <c r="L10">
        <v>92.4</v>
      </c>
      <c r="M10">
        <v>20</v>
      </c>
      <c r="N10">
        <v>5</v>
      </c>
      <c r="O10" s="1">
        <f>K10-L10</f>
        <v>27.6</v>
      </c>
      <c r="P10" s="2">
        <f>IF(L10&gt;0,O10/L10,0)</f>
        <v>0.2987</v>
      </c>
      <c r="Q10" s="1">
        <f>L10*M10</f>
        <v>1848</v>
      </c>
      <c r="R10" s="1">
        <f>K10*M10</f>
        <v>2400</v>
      </c>
      <c r="S10" s="1">
        <f>R10-Q10</f>
        <v>552</v>
      </c>
      <c r="T10" t="str">
        <f>IF(M10=0,"نافد",IF(M10&lt;=N10,"قرب ينفد","متوفر"))</f>
        <v>متوفر</v>
      </c>
      <c r="U10" t="str">
        <v>فموي (Oral)</v>
      </c>
      <c r="V10" t="str">
        <v>فئة B (آمن إلى حد كبير)</v>
      </c>
      <c r="W10" t="str">
        <v>نعم</v>
      </c>
      <c r="X10" t="str">
        <v>لا</v>
      </c>
      <c r="Y10" t="str">
        <v>روشتة طبية (Rx)</v>
      </c>
      <c r="Z10">
        <v>1</v>
      </c>
      <c r="AA10">
        <v>0</v>
      </c>
      <c r="AB10" t="str">
        <v>MED-0172</v>
      </c>
    </row>
    <row r="11">
      <c r="A11">
        <v>8</v>
      </c>
      <c r="B11" t="str">
        <v>6221045008958</v>
      </c>
      <c r="C11" t="str">
        <v>اوجمنتين 375 مجم 10 اقراص (augmentin 375 mg 10 tab)</v>
      </c>
      <c r="D11" t="str">
        <v>amoxicillin+clavulanic acid</v>
      </c>
      <c r="E11" t="str">
        <v>أقراص</v>
      </c>
      <c r="F11" t="str">
        <v>375 مجم</v>
      </c>
      <c r="G11" t="str">
        <v>mup &gt; smithkline beecham</v>
      </c>
      <c r="H11" t="str">
        <v>مضادات حيوية ومضادات بكتيرية</v>
      </c>
      <c r="I11" t="str">
        <v>رف B1 - مضادات حيوية</v>
      </c>
      <c r="J11" t="str">
        <v>علبة</v>
      </c>
      <c r="K11">
        <v>36.8</v>
      </c>
      <c r="L11">
        <v>28.34</v>
      </c>
      <c r="M11">
        <v>20</v>
      </c>
      <c r="N11">
        <v>5</v>
      </c>
      <c r="O11" s="1">
        <f>K11-L11</f>
        <v>8.46</v>
      </c>
      <c r="P11" s="2">
        <f>IF(L11&gt;0,O11/L11,0)</f>
        <v>0.2985</v>
      </c>
      <c r="Q11" s="1">
        <f>L11*M11</f>
        <v>566.8</v>
      </c>
      <c r="R11" s="1">
        <f>K11*M11</f>
        <v>736</v>
      </c>
      <c r="S11" s="1">
        <f>R11-Q11</f>
        <v>169.2</v>
      </c>
      <c r="T11" t="str">
        <f>IF(M11=0,"نافد",IF(M11&lt;=N11,"قرب ينفد","متوفر"))</f>
        <v>متوفر</v>
      </c>
      <c r="U11" t="str">
        <v>فموي (Oral)</v>
      </c>
      <c r="V11" t="str">
        <v>فئة B (آمن إلى حد كبير)</v>
      </c>
      <c r="W11" t="str">
        <v>نعم</v>
      </c>
      <c r="X11" t="str">
        <v>لا</v>
      </c>
      <c r="Y11" t="str">
        <v>روشتة طبية (Rx)</v>
      </c>
      <c r="Z11">
        <v>1</v>
      </c>
      <c r="AA11">
        <v>0</v>
      </c>
      <c r="AB11" t="str">
        <v>MED-0173</v>
      </c>
    </row>
    <row r="12">
      <c r="A12">
        <v>9</v>
      </c>
      <c r="B12" t="str">
        <v>622104500912</v>
      </c>
      <c r="C12" t="str">
        <v>اوجمنتين 600مجم 1 فيال حقن وريدي (augmentin 600mg vial for i.v)</v>
      </c>
      <c r="D12" t="str">
        <v>amoxicillin+clavulanic acid</v>
      </c>
      <c r="E12" t="str">
        <v>حقن</v>
      </c>
      <c r="F12" t="str">
        <v>600مجم</v>
      </c>
      <c r="G12" t="str">
        <v>mup &gt; smithkline beecham</v>
      </c>
      <c r="H12" t="str">
        <v>مضادات حيوية ومضادات بكتيرية</v>
      </c>
      <c r="I12" t="str">
        <v>رف B1 - مضادات حيوية</v>
      </c>
      <c r="J12" t="str">
        <v>قطعة</v>
      </c>
      <c r="K12">
        <v>20.75</v>
      </c>
      <c r="L12">
        <v>15.98</v>
      </c>
      <c r="M12">
        <v>20</v>
      </c>
      <c r="N12">
        <v>5</v>
      </c>
      <c r="O12" s="1">
        <f>K12-L12</f>
        <v>4.77</v>
      </c>
      <c r="P12" s="2">
        <f>IF(L12&gt;0,O12/L12,0)</f>
        <v>0.2985</v>
      </c>
      <c r="Q12" s="1">
        <f>L12*M12</f>
        <v>319.6</v>
      </c>
      <c r="R12" s="1">
        <f>K12*M12</f>
        <v>415</v>
      </c>
      <c r="S12" s="1">
        <f>R12-Q12</f>
        <v>95.4</v>
      </c>
      <c r="T12" t="str">
        <f>IF(M12=0,"نافد",IF(M12&lt;=N12,"قرب ينفد","متوفر"))</f>
        <v>متوفر</v>
      </c>
      <c r="U12" t="str">
        <v>حقن عضل / وريد (Parenteral)</v>
      </c>
      <c r="V12" t="str">
        <v>فئة B (آمن إلى حد كبير)</v>
      </c>
      <c r="W12" t="str">
        <v>نعم</v>
      </c>
      <c r="X12" t="str">
        <v>لا</v>
      </c>
      <c r="Y12" t="str">
        <v>روشتة طبية (Rx)</v>
      </c>
      <c r="Z12">
        <v>1</v>
      </c>
      <c r="AA12">
        <v>0</v>
      </c>
      <c r="AB12" t="str">
        <v>MED-0174</v>
      </c>
    </row>
    <row r="13">
      <c r="A13">
        <v>10</v>
      </c>
      <c r="B13" t="str">
        <v>6221045011286</v>
      </c>
      <c r="C13" t="str">
        <v>اوجمنتين 625 مجم 10 اقراص (augmentin 625mg 10 f.c. tab)</v>
      </c>
      <c r="D13" t="str">
        <v>amoxicillin+clavulanic acid</v>
      </c>
      <c r="E13" t="str">
        <v>أقراص</v>
      </c>
      <c r="F13" t="str">
        <v>625 مجم</v>
      </c>
      <c r="G13" t="str">
        <v>mup &gt; smithkline beecham</v>
      </c>
      <c r="H13" t="str">
        <v>مضادات حيوية ومضادات بكتيرية</v>
      </c>
      <c r="I13" t="str">
        <v>رف B1 - مضادات حيوية</v>
      </c>
      <c r="J13" t="str">
        <v>علبة</v>
      </c>
      <c r="K13">
        <v>117</v>
      </c>
      <c r="L13">
        <v>90.09</v>
      </c>
      <c r="M13">
        <v>20</v>
      </c>
      <c r="N13">
        <v>5</v>
      </c>
      <c r="O13" s="1">
        <f>K13-L13</f>
        <v>26.91</v>
      </c>
      <c r="P13" s="2">
        <f>IF(L13&gt;0,O13/L13,0)</f>
        <v>0.2987</v>
      </c>
      <c r="Q13" s="1">
        <f>L13*M13</f>
        <v>1801.8</v>
      </c>
      <c r="R13" s="1">
        <f>K13*M13</f>
        <v>2340</v>
      </c>
      <c r="S13" s="1">
        <f>R13-Q13</f>
        <v>538.2</v>
      </c>
      <c r="T13" t="str">
        <f>IF(M13=0,"نافد",IF(M13&lt;=N13,"قرب ينفد","متوفر"))</f>
        <v>متوفر</v>
      </c>
      <c r="U13" t="str">
        <v>فموي (Oral)</v>
      </c>
      <c r="V13" t="str">
        <v>فئة B (آمن إلى حد كبير)</v>
      </c>
      <c r="W13" t="str">
        <v>نعم</v>
      </c>
      <c r="X13" t="str">
        <v>لا</v>
      </c>
      <c r="Y13" t="str">
        <v>روشتة طبية (Rx)</v>
      </c>
      <c r="Z13">
        <v>1</v>
      </c>
      <c r="AA13">
        <v>0</v>
      </c>
      <c r="AB13" t="str">
        <v>MED-0175</v>
      </c>
    </row>
    <row r="14">
      <c r="A14">
        <v>11</v>
      </c>
      <c r="B14" t="str">
        <v>6220001057047</v>
      </c>
      <c r="C14" t="str">
        <v>اوجمنتين 1125مجم  1جم/125مجم 12 كيس لعمل معلق شرب كبار (augmentin adults 1gm/125mg 12 pwd. oral susp. sachets)</v>
      </c>
      <c r="D14" t="str">
        <v>amoxicillin+clavulanic acid</v>
      </c>
      <c r="E14" t="str">
        <v>معلق</v>
      </c>
      <c r="F14" t="str">
        <v>1125مجم</v>
      </c>
      <c r="G14" t="str">
        <v>mup &gt; smithkline beecham</v>
      </c>
      <c r="H14" t="str">
        <v>مضادات حيوية ومضادات بكتيرية</v>
      </c>
      <c r="I14" t="str">
        <v>رف B1 - مضادات حيوية</v>
      </c>
      <c r="J14" t="str">
        <v>قطعة</v>
      </c>
      <c r="K14">
        <v>169</v>
      </c>
      <c r="L14">
        <v>130.13</v>
      </c>
      <c r="M14">
        <v>20</v>
      </c>
      <c r="N14">
        <v>5</v>
      </c>
      <c r="O14" s="1">
        <f>K14-L14</f>
        <v>38.87</v>
      </c>
      <c r="P14" s="2">
        <f>IF(L14&gt;0,O14/L14,0)</f>
        <v>0.2987</v>
      </c>
      <c r="Q14" s="1">
        <f>L14*M14</f>
        <v>2602.6</v>
      </c>
      <c r="R14" s="1">
        <f>K14*M14</f>
        <v>3380</v>
      </c>
      <c r="S14" s="1">
        <f>R14-Q14</f>
        <v>777.4</v>
      </c>
      <c r="T14" t="str">
        <f>IF(M14=0,"نافد",IF(M14&lt;=N14,"قرب ينفد","متوفر"))</f>
        <v>متوفر</v>
      </c>
      <c r="U14" t="str">
        <v>فموي (Oral)</v>
      </c>
      <c r="V14" t="str">
        <v>فئة B (آمن إلى حد كبير)</v>
      </c>
      <c r="W14" t="str">
        <v>نعم</v>
      </c>
      <c r="X14" t="str">
        <v>لا</v>
      </c>
      <c r="Y14" t="str">
        <v>روشتة طبية (Rx)</v>
      </c>
      <c r="Z14">
        <v>12</v>
      </c>
      <c r="AA14">
        <v>0</v>
      </c>
      <c r="AB14" t="str">
        <v>MED-0176</v>
      </c>
    </row>
    <row r="15">
      <c r="A15">
        <v>12</v>
      </c>
      <c r="B15" t="str">
        <v>6220001057054</v>
      </c>
      <c r="C15" t="str">
        <v>اوجمنتين ديو 228مجم/5مل زجاجة معلق 70 مل (augmentin duo 228mg/5ml susp. 70 ml)</v>
      </c>
      <c r="D15" t="str">
        <v>amoxicillin+clavulanic acid</v>
      </c>
      <c r="E15" t="str">
        <v>معلق</v>
      </c>
      <c r="F15" t="str">
        <v>228مجم</v>
      </c>
      <c r="G15" t="str">
        <v>mup &gt; smithkline beecham</v>
      </c>
      <c r="H15" t="str">
        <v>مضادات حيوية ومضادات بكتيرية</v>
      </c>
      <c r="I15" t="str">
        <v>رف B1 - مضادات حيوية</v>
      </c>
      <c r="J15" t="str">
        <v>قطعة</v>
      </c>
      <c r="K15">
        <v>107</v>
      </c>
      <c r="L15">
        <v>82.39</v>
      </c>
      <c r="M15">
        <v>20</v>
      </c>
      <c r="N15">
        <v>5</v>
      </c>
      <c r="O15" s="1">
        <f>K15-L15</f>
        <v>24.61</v>
      </c>
      <c r="P15" s="2">
        <f>IF(L15&gt;0,O15/L15,0)</f>
        <v>0.2987</v>
      </c>
      <c r="Q15" s="1">
        <f>L15*M15</f>
        <v>1647.8</v>
      </c>
      <c r="R15" s="1">
        <f>K15*M15</f>
        <v>2140</v>
      </c>
      <c r="S15" s="1">
        <f>R15-Q15</f>
        <v>492.2</v>
      </c>
      <c r="T15" t="str">
        <f>IF(M15=0,"نافد",IF(M15&lt;=N15,"قرب ينفد","متوفر"))</f>
        <v>متوفر</v>
      </c>
      <c r="U15" t="str">
        <v>فموي (Oral)</v>
      </c>
      <c r="V15" t="str">
        <v>فئة B (آمن إلى حد كبير)</v>
      </c>
      <c r="W15" t="str">
        <v>نعم</v>
      </c>
      <c r="X15" t="str">
        <v>لا</v>
      </c>
      <c r="Y15" t="str">
        <v>روشتة طبية (Rx)</v>
      </c>
      <c r="Z15">
        <v>1</v>
      </c>
      <c r="AA15">
        <v>0</v>
      </c>
      <c r="AB15" t="str">
        <v>MED-0177</v>
      </c>
    </row>
    <row r="16">
      <c r="A16">
        <v>13</v>
      </c>
      <c r="B16" t="str">
        <v>6223014580496</v>
      </c>
      <c r="C16" t="str">
        <v>كيورام 625مجم 12 قرص (curam 625mg 12 f.c.tab)</v>
      </c>
      <c r="D16" t="str">
        <v>amoxicillin+clavulanic acid</v>
      </c>
      <c r="E16" t="str">
        <v>أقراص</v>
      </c>
      <c r="F16" t="str">
        <v>625مجم</v>
      </c>
      <c r="G16" t="str">
        <v>sandoz &gt; novartis</v>
      </c>
      <c r="H16" t="str">
        <v>مضادات حيوية ومضادات بكتيرية</v>
      </c>
      <c r="I16" t="str">
        <v>رف B1 - مضادات حيوية</v>
      </c>
      <c r="J16" t="str">
        <v>علبة</v>
      </c>
      <c r="K16">
        <v>108</v>
      </c>
      <c r="L16">
        <v>83.16</v>
      </c>
      <c r="M16">
        <v>20</v>
      </c>
      <c r="N16">
        <v>5</v>
      </c>
      <c r="O16" s="1">
        <f>K16-L16</f>
        <v>24.84</v>
      </c>
      <c r="P16" s="2">
        <f>IF(L16&gt;0,O16/L16,0)</f>
        <v>0.2987</v>
      </c>
      <c r="Q16" s="1">
        <f>L16*M16</f>
        <v>1663.2</v>
      </c>
      <c r="R16" s="1">
        <f>K16*M16</f>
        <v>2160</v>
      </c>
      <c r="S16" s="1">
        <f>R16-Q16</f>
        <v>496.8</v>
      </c>
      <c r="T16" t="str">
        <f>IF(M16=0,"نافد",IF(M16&lt;=N16,"قرب ينفد","متوفر"))</f>
        <v>متوفر</v>
      </c>
      <c r="U16" t="str">
        <v>فموي (Oral)</v>
      </c>
      <c r="V16" t="str">
        <v>فئة B (آمن إلى حد كبير)</v>
      </c>
      <c r="W16" t="str">
        <v>نعم</v>
      </c>
      <c r="X16" t="str">
        <v>لا</v>
      </c>
      <c r="Y16" t="str">
        <v>روشتة طبية (Rx)</v>
      </c>
      <c r="Z16">
        <v>3</v>
      </c>
      <c r="AA16">
        <v>0</v>
      </c>
      <c r="AB16" t="str">
        <v>MED-0178</v>
      </c>
    </row>
    <row r="17">
      <c r="A17">
        <v>14</v>
      </c>
      <c r="B17" t="str">
        <v>6223014580489</v>
      </c>
      <c r="C17" t="str">
        <v>كيورام 1جرام 12 قرص (curam 1gm 12 f.c. tabs)</v>
      </c>
      <c r="D17" t="str">
        <v>amoxicillin+clavulanic acid</v>
      </c>
      <c r="E17" t="str">
        <v>أقراص</v>
      </c>
      <c r="F17" t="str">
        <v>1g</v>
      </c>
      <c r="G17" t="str">
        <v>sandoz &gt; novartis</v>
      </c>
      <c r="H17" t="str">
        <v>مضادات حيوية ومضادات بكتيرية</v>
      </c>
      <c r="I17" t="str">
        <v>رف B1 - مضادات حيوية</v>
      </c>
      <c r="J17" t="str">
        <v>علبة</v>
      </c>
      <c r="K17">
        <v>182</v>
      </c>
      <c r="L17">
        <v>140.14</v>
      </c>
      <c r="M17">
        <v>20</v>
      </c>
      <c r="N17">
        <v>5</v>
      </c>
      <c r="O17" s="1">
        <f>K17-L17</f>
        <v>41.86</v>
      </c>
      <c r="P17" s="2">
        <f>IF(L17&gt;0,O17/L17,0)</f>
        <v>0.2987</v>
      </c>
      <c r="Q17" s="1">
        <f>L17*M17</f>
        <v>2802.8</v>
      </c>
      <c r="R17" s="1">
        <f>K17*M17</f>
        <v>3640</v>
      </c>
      <c r="S17" s="1">
        <f>R17-Q17</f>
        <v>837.2</v>
      </c>
      <c r="T17" t="str">
        <f>IF(M17=0,"نافد",IF(M17&lt;=N17,"قرب ينفد","متوفر"))</f>
        <v>متوفر</v>
      </c>
      <c r="U17" t="str">
        <v>فموي (Oral)</v>
      </c>
      <c r="V17" t="str">
        <v>فئة B (آمن إلى حد كبير)</v>
      </c>
      <c r="W17" t="str">
        <v>نعم</v>
      </c>
      <c r="X17" t="str">
        <v>لا</v>
      </c>
      <c r="Y17" t="str">
        <v>روشتة طبية (Rx)</v>
      </c>
      <c r="Z17">
        <v>3</v>
      </c>
      <c r="AA17">
        <v>0</v>
      </c>
      <c r="AB17" t="str">
        <v>MED-0179</v>
      </c>
    </row>
    <row r="18">
      <c r="A18">
        <v>15</v>
      </c>
      <c r="B18" t="str">
        <v>6223014580465</v>
      </c>
      <c r="C18" t="str">
        <v>كيورام 1.2جم فيال للحقن/للتنقيط الوريدي (curam 1.2g vial for i.v. inj./inf)</v>
      </c>
      <c r="D18" t="str">
        <v>amoxicillin+clavulanic acid</v>
      </c>
      <c r="E18" t="str">
        <v>حقن</v>
      </c>
      <c r="F18" t="str">
        <v>1.2g</v>
      </c>
      <c r="G18" t="str">
        <v>pharco &gt; novartis</v>
      </c>
      <c r="H18" t="str">
        <v>مضادات حيوية ومضادات بكتيرية</v>
      </c>
      <c r="I18" t="str">
        <v>رف B1 - مضادات حيوية</v>
      </c>
      <c r="J18" t="str">
        <v>قطعة</v>
      </c>
      <c r="K18">
        <v>31.5</v>
      </c>
      <c r="L18">
        <v>24.25</v>
      </c>
      <c r="M18">
        <v>20</v>
      </c>
      <c r="N18">
        <v>5</v>
      </c>
      <c r="O18" s="1">
        <f>K18-L18</f>
        <v>7.25</v>
      </c>
      <c r="P18" s="2">
        <f>IF(L18&gt;0,O18/L18,0)</f>
        <v>0.299</v>
      </c>
      <c r="Q18" s="1">
        <f>L18*M18</f>
        <v>485</v>
      </c>
      <c r="R18" s="1">
        <f>K18*M18</f>
        <v>630</v>
      </c>
      <c r="S18" s="1">
        <f>R18-Q18</f>
        <v>145</v>
      </c>
      <c r="T18" t="str">
        <f>IF(M18=0,"نافد",IF(M18&lt;=N18,"قرب ينفد","متوفر"))</f>
        <v>متوفر</v>
      </c>
      <c r="U18" t="str">
        <v>حقن عضل / وريد (Parenteral)</v>
      </c>
      <c r="V18" t="str">
        <v>فئة B (آمن إلى حد كبير)</v>
      </c>
      <c r="W18" t="str">
        <v>نعم</v>
      </c>
      <c r="X18" t="str">
        <v>لا</v>
      </c>
      <c r="Y18" t="str">
        <v>روشتة طبية (Rx)</v>
      </c>
      <c r="Z18">
        <v>1</v>
      </c>
      <c r="AA18">
        <v>0</v>
      </c>
      <c r="AB18" t="str">
        <v>MED-0180</v>
      </c>
    </row>
    <row r="19">
      <c r="A19">
        <v>16</v>
      </c>
      <c r="B19" t="str">
        <v>6223002641338</v>
      </c>
      <c r="C19" t="str">
        <v>كيورام 156.25/5مل معلق 75 مل (curam 156.25/5ml pd. for oral susp. 75ml)</v>
      </c>
      <c r="D19" t="str">
        <v>amoxicillin+clavulanic acid</v>
      </c>
      <c r="E19" t="str">
        <v>معلق</v>
      </c>
      <c r="F19" t="str">
        <v>5مل</v>
      </c>
      <c r="G19" t="str">
        <v>sandoz &gt; novartis</v>
      </c>
      <c r="H19" t="str">
        <v>مضادات حيوية ومضادات بكتيرية</v>
      </c>
      <c r="I19" t="str">
        <v>رف B1 - مضادات حيوية</v>
      </c>
      <c r="J19" t="str">
        <v>قطعة</v>
      </c>
      <c r="K19">
        <v>25.25</v>
      </c>
      <c r="L19">
        <v>19.44</v>
      </c>
      <c r="M19">
        <v>20</v>
      </c>
      <c r="N19">
        <v>5</v>
      </c>
      <c r="O19" s="1">
        <f>K19-L19</f>
        <v>5.81</v>
      </c>
      <c r="P19" s="2">
        <f>IF(L19&gt;0,O19/L19,0)</f>
        <v>0.2989</v>
      </c>
      <c r="Q19" s="1">
        <f>L19*M19</f>
        <v>388.8</v>
      </c>
      <c r="R19" s="1">
        <f>K19*M19</f>
        <v>505</v>
      </c>
      <c r="S19" s="1">
        <f>R19-Q19</f>
        <v>116.2</v>
      </c>
      <c r="T19" t="str">
        <f>IF(M19=0,"نافد",IF(M19&lt;=N19,"قرب ينفد","متوفر"))</f>
        <v>متوفر</v>
      </c>
      <c r="U19" t="str">
        <v>فموي (Oral)</v>
      </c>
      <c r="V19" t="str">
        <v>فئة B (آمن إلى حد كبير)</v>
      </c>
      <c r="W19" t="str">
        <v>نعم</v>
      </c>
      <c r="X19" t="str">
        <v>لا</v>
      </c>
      <c r="Y19" t="str">
        <v>روشتة طبية (Rx)</v>
      </c>
      <c r="Z19">
        <v>1</v>
      </c>
      <c r="AA19">
        <v>0</v>
      </c>
      <c r="AB19" t="str">
        <v>MED-0181</v>
      </c>
    </row>
    <row r="20">
      <c r="A20">
        <v>17</v>
      </c>
      <c r="B20" t="str">
        <v>6223002642342</v>
      </c>
      <c r="C20" t="str">
        <v>كيورام 228.5مجم/5مل معلق 75 مل (curam 228.5mg/5ml pd. for oral susp. 75ml)</v>
      </c>
      <c r="D20" t="str">
        <v>amoxicillin+clavulanic acid</v>
      </c>
      <c r="E20" t="str">
        <v>معلق</v>
      </c>
      <c r="F20" t="str">
        <v>228.5مجم</v>
      </c>
      <c r="G20" t="str">
        <v>pharco &gt; novartis</v>
      </c>
      <c r="H20" t="str">
        <v>مضادات حيوية ومضادات بكتيرية</v>
      </c>
      <c r="I20" t="str">
        <v>رف B1 - مضادات حيوية</v>
      </c>
      <c r="J20" t="str">
        <v>قطعة</v>
      </c>
      <c r="K20">
        <v>30.75</v>
      </c>
      <c r="L20">
        <v>23.68</v>
      </c>
      <c r="M20">
        <v>20</v>
      </c>
      <c r="N20">
        <v>5</v>
      </c>
      <c r="O20" s="1">
        <f>K20-L20</f>
        <v>7.07</v>
      </c>
      <c r="P20" s="2">
        <f>IF(L20&gt;0,O20/L20,0)</f>
        <v>0.2986</v>
      </c>
      <c r="Q20" s="1">
        <f>L20*M20</f>
        <v>473.6</v>
      </c>
      <c r="R20" s="1">
        <f>K20*M20</f>
        <v>615</v>
      </c>
      <c r="S20" s="1">
        <f>R20-Q20</f>
        <v>141.4</v>
      </c>
      <c r="T20" t="str">
        <f>IF(M20=0,"نافد",IF(M20&lt;=N20,"قرب ينفد","متوفر"))</f>
        <v>متوفر</v>
      </c>
      <c r="U20" t="str">
        <v>فموي (Oral)</v>
      </c>
      <c r="V20" t="str">
        <v>فئة B (آمن إلى حد كبير)</v>
      </c>
      <c r="W20" t="str">
        <v>نعم</v>
      </c>
      <c r="X20" t="str">
        <v>لا</v>
      </c>
      <c r="Y20" t="str">
        <v>روشتة طبية (Rx)</v>
      </c>
      <c r="Z20">
        <v>1</v>
      </c>
      <c r="AA20">
        <v>0</v>
      </c>
      <c r="AB20" t="str">
        <v>MED-0182</v>
      </c>
    </row>
    <row r="21">
      <c r="A21">
        <v>18</v>
      </c>
      <c r="B21" t="str">
        <v>6223014580472</v>
      </c>
      <c r="C21" t="str">
        <v>كيورام 312.5 / 5 مل معلق 75 مل (curam 312.5 mg/5ml pd. for oral susp. 75ml)</v>
      </c>
      <c r="D21" t="str">
        <v>amoxicillin+clavulanic acid</v>
      </c>
      <c r="E21" t="str">
        <v>معلق</v>
      </c>
      <c r="F21" t="str">
        <v>5 مل</v>
      </c>
      <c r="G21" t="str">
        <v>sandoz &gt; novartis</v>
      </c>
      <c r="H21" t="str">
        <v>مضادات حيوية ومضادات بكتيرية</v>
      </c>
      <c r="I21" t="str">
        <v>رف B1 - مضادات حيوية</v>
      </c>
      <c r="J21" t="str">
        <v>قطعة</v>
      </c>
      <c r="K21">
        <v>82</v>
      </c>
      <c r="L21">
        <v>63.14</v>
      </c>
      <c r="M21">
        <v>20</v>
      </c>
      <c r="N21">
        <v>5</v>
      </c>
      <c r="O21" s="1">
        <f>K21-L21</f>
        <v>18.86</v>
      </c>
      <c r="P21" s="2">
        <f>IF(L21&gt;0,O21/L21,0)</f>
        <v>0.2987</v>
      </c>
      <c r="Q21" s="1">
        <f>L21*M21</f>
        <v>1262.8</v>
      </c>
      <c r="R21" s="1">
        <f>K21*M21</f>
        <v>1640</v>
      </c>
      <c r="S21" s="1">
        <f>R21-Q21</f>
        <v>377.2</v>
      </c>
      <c r="T21" t="str">
        <f>IF(M21=0,"نافد",IF(M21&lt;=N21,"قرب ينفد","متوفر"))</f>
        <v>متوفر</v>
      </c>
      <c r="U21" t="str">
        <v>فموي (Oral)</v>
      </c>
      <c r="V21" t="str">
        <v>فئة B (آمن إلى حد كبير)</v>
      </c>
      <c r="W21" t="str">
        <v>نعم</v>
      </c>
      <c r="X21" t="str">
        <v>لا</v>
      </c>
      <c r="Y21" t="str">
        <v>روشتة طبية (Rx)</v>
      </c>
      <c r="Z21">
        <v>1</v>
      </c>
      <c r="AA21">
        <v>0</v>
      </c>
      <c r="AB21" t="str">
        <v>MED-0183</v>
      </c>
    </row>
    <row r="22">
      <c r="A22">
        <v>19</v>
      </c>
      <c r="B22" t="str">
        <v>6220001068005</v>
      </c>
      <c r="C22" t="str">
        <v>كيورام 457مجم /5مل معلق 70 مل (curam 457mg/5ml pd. for oral susp. 70ml)</v>
      </c>
      <c r="D22" t="str">
        <v>amoxicillin+clavulanic acid</v>
      </c>
      <c r="E22" t="str">
        <v>معلق</v>
      </c>
      <c r="F22" t="str">
        <v>457مجم</v>
      </c>
      <c r="G22" t="str">
        <v>sandoz &gt; novartis</v>
      </c>
      <c r="H22" t="str">
        <v>مضادات حيوية ومضادات بكتيرية</v>
      </c>
      <c r="I22" t="str">
        <v>رف B1 - مضادات حيوية</v>
      </c>
      <c r="J22" t="str">
        <v>قطعة</v>
      </c>
      <c r="K22">
        <v>97</v>
      </c>
      <c r="L22">
        <v>74.69</v>
      </c>
      <c r="M22">
        <v>20</v>
      </c>
      <c r="N22">
        <v>5</v>
      </c>
      <c r="O22" s="1">
        <f>K22-L22</f>
        <v>22.31</v>
      </c>
      <c r="P22" s="2">
        <f>IF(L22&gt;0,O22/L22,0)</f>
        <v>0.2987</v>
      </c>
      <c r="Q22" s="1">
        <f>L22*M22</f>
        <v>1493.8</v>
      </c>
      <c r="R22" s="1">
        <f>K22*M22</f>
        <v>1940</v>
      </c>
      <c r="S22" s="1">
        <f>R22-Q22</f>
        <v>446.2</v>
      </c>
      <c r="T22" t="str">
        <f>IF(M22=0,"نافد",IF(M22&lt;=N22,"قرب ينفد","متوفر"))</f>
        <v>متوفر</v>
      </c>
      <c r="U22" t="str">
        <v>فموي (Oral)</v>
      </c>
      <c r="V22" t="str">
        <v>فئة B (آمن إلى حد كبير)</v>
      </c>
      <c r="W22" t="str">
        <v>نعم</v>
      </c>
      <c r="X22" t="str">
        <v>لا</v>
      </c>
      <c r="Y22" t="str">
        <v>روشتة طبية (Rx)</v>
      </c>
      <c r="Z22">
        <v>1</v>
      </c>
      <c r="AA22">
        <v>0</v>
      </c>
      <c r="AB22" t="str">
        <v>MED-0184</v>
      </c>
    </row>
    <row r="23">
      <c r="A23">
        <v>20</v>
      </c>
      <c r="B23" t="str">
        <v>6223014580458</v>
      </c>
      <c r="C23" t="str">
        <v>كيورام 642.9 مجم / 5 مل معلق 75 مل (curam 642.9mg/5ml pd. for oral susp. 75ml)</v>
      </c>
      <c r="D23" t="str">
        <v>amoxicillin+clavulanic acid</v>
      </c>
      <c r="E23" t="str">
        <v>معلق</v>
      </c>
      <c r="F23" t="str">
        <v>642.9 مجم</v>
      </c>
      <c r="G23" t="str">
        <v>pharco &gt; novartis</v>
      </c>
      <c r="H23" t="str">
        <v>مضادات حيوية ومضادات بكتيرية</v>
      </c>
      <c r="I23" t="str">
        <v>رف B1 - مضادات حيوية</v>
      </c>
      <c r="J23" t="str">
        <v>قطعة</v>
      </c>
      <c r="K23">
        <v>113</v>
      </c>
      <c r="L23">
        <v>87.01</v>
      </c>
      <c r="M23">
        <v>20</v>
      </c>
      <c r="N23">
        <v>5</v>
      </c>
      <c r="O23" s="1">
        <f>K23-L23</f>
        <v>25.99</v>
      </c>
      <c r="P23" s="2">
        <f>IF(L23&gt;0,O23/L23,0)</f>
        <v>0.2987</v>
      </c>
      <c r="Q23" s="1">
        <f>L23*M23</f>
        <v>1740.2</v>
      </c>
      <c r="R23" s="1">
        <f>K23*M23</f>
        <v>2260</v>
      </c>
      <c r="S23" s="1">
        <f>R23-Q23</f>
        <v>519.8</v>
      </c>
      <c r="T23" t="str">
        <f>IF(M23=0,"نافد",IF(M23&lt;=N23,"قرب ينفد","متوفر"))</f>
        <v>متوفر</v>
      </c>
      <c r="U23" t="str">
        <v>فموي (Oral)</v>
      </c>
      <c r="V23" t="str">
        <v>فئة B (آمن إلى حد كبير)</v>
      </c>
      <c r="W23" t="str">
        <v>نعم</v>
      </c>
      <c r="X23" t="str">
        <v>لا</v>
      </c>
      <c r="Y23" t="str">
        <v>روشتة طبية (Rx)</v>
      </c>
      <c r="Z23">
        <v>1</v>
      </c>
      <c r="AA23">
        <v>0</v>
      </c>
      <c r="AB23" t="str">
        <v>MED-0185</v>
      </c>
    </row>
    <row r="24">
      <c r="A24">
        <v>21</v>
      </c>
      <c r="B24" t="str">
        <v>6221025022547</v>
      </c>
      <c r="C24" t="str">
        <v>هاي بيوتك 1جم 16 قرص (hibiotic 1 gm 16 tab)</v>
      </c>
      <c r="D24" t="str">
        <v>amoxicillin+clavulanic acid</v>
      </c>
      <c r="E24" t="str">
        <v>أقراص</v>
      </c>
      <c r="F24" t="str">
        <v>1 g</v>
      </c>
      <c r="G24" t="str">
        <v>amoun</v>
      </c>
      <c r="H24" t="str">
        <v>مضادات حيوية ومضادات بكتيرية</v>
      </c>
      <c r="I24" t="str">
        <v>رف B1 - مضادات حيوية</v>
      </c>
      <c r="J24" t="str">
        <v>علبة</v>
      </c>
      <c r="K24">
        <v>173</v>
      </c>
      <c r="L24">
        <v>133.21</v>
      </c>
      <c r="M24">
        <v>20</v>
      </c>
      <c r="N24">
        <v>5</v>
      </c>
      <c r="O24" s="1">
        <f>K24-L24</f>
        <v>39.79</v>
      </c>
      <c r="P24" s="2">
        <f>IF(L24&gt;0,O24/L24,0)</f>
        <v>0.2987</v>
      </c>
      <c r="Q24" s="1">
        <f>L24*M24</f>
        <v>2664.2</v>
      </c>
      <c r="R24" s="1">
        <f>K24*M24</f>
        <v>3460</v>
      </c>
      <c r="S24" s="1">
        <f>R24-Q24</f>
        <v>795.8</v>
      </c>
      <c r="T24" t="str">
        <f>IF(M24=0,"نافد",IF(M24&lt;=N24,"قرب ينفد","متوفر"))</f>
        <v>متوفر</v>
      </c>
      <c r="U24" t="str">
        <v>فموي (Oral)</v>
      </c>
      <c r="V24" t="str">
        <v>فئة B (آمن إلى حد كبير)</v>
      </c>
      <c r="W24" t="str">
        <v>نعم</v>
      </c>
      <c r="X24" t="str">
        <v>لا</v>
      </c>
      <c r="Y24" t="str">
        <v>روشتة طبية (Rx)</v>
      </c>
      <c r="Z24">
        <v>2</v>
      </c>
      <c r="AA24">
        <v>0</v>
      </c>
      <c r="AB24" t="str">
        <v>MED-0186</v>
      </c>
    </row>
    <row r="25">
      <c r="A25">
        <v>22</v>
      </c>
      <c r="B25" t="str">
        <v>6221025008244</v>
      </c>
      <c r="C25" t="str">
        <v>هاي بيوتك 312مجم/5مل معلق 60 مل (hibiotic 312mg/5 ml 60ml susp)</v>
      </c>
      <c r="D25" t="str">
        <v>amoxicillin+clavulanic acid</v>
      </c>
      <c r="E25" t="str">
        <v>معلق</v>
      </c>
      <c r="F25" t="str">
        <v>312مجم</v>
      </c>
      <c r="G25" t="str">
        <v>amoun</v>
      </c>
      <c r="H25" t="str">
        <v>مضادات حيوية ومضادات بكتيرية</v>
      </c>
      <c r="I25" t="str">
        <v>رف B1 - مضادات حيوية</v>
      </c>
      <c r="J25" t="str">
        <v>قطعة</v>
      </c>
      <c r="K25">
        <v>53</v>
      </c>
      <c r="L25">
        <v>40.81</v>
      </c>
      <c r="M25">
        <v>20</v>
      </c>
      <c r="N25">
        <v>5</v>
      </c>
      <c r="O25" s="1">
        <f>K25-L25</f>
        <v>12.19</v>
      </c>
      <c r="P25" s="2">
        <f>IF(L25&gt;0,O25/L25,0)</f>
        <v>0.2987</v>
      </c>
      <c r="Q25" s="1">
        <f>L25*M25</f>
        <v>816.2</v>
      </c>
      <c r="R25" s="1">
        <f>K25*M25</f>
        <v>1060</v>
      </c>
      <c r="S25" s="1">
        <f>R25-Q25</f>
        <v>243.8</v>
      </c>
      <c r="T25" t="str">
        <f>IF(M25=0,"نافد",IF(M25&lt;=N25,"قرب ينفد","متوفر"))</f>
        <v>متوفر</v>
      </c>
      <c r="U25" t="str">
        <v>فموي (Oral)</v>
      </c>
      <c r="V25" t="str">
        <v>فئة B (آمن إلى حد كبير)</v>
      </c>
      <c r="W25" t="str">
        <v>نعم</v>
      </c>
      <c r="X25" t="str">
        <v>لا</v>
      </c>
      <c r="Y25" t="str">
        <v>روشتة طبية (Rx)</v>
      </c>
      <c r="Z25">
        <v>1</v>
      </c>
      <c r="AA25">
        <v>0</v>
      </c>
      <c r="AB25" t="str">
        <v>MED-0187</v>
      </c>
    </row>
    <row r="26">
      <c r="A26">
        <v>23</v>
      </c>
      <c r="B26" t="str">
        <v>6221025027146</v>
      </c>
      <c r="C26" t="str">
        <v>هاي بيوتك 375مجم 20 قرص (hibiotic 375mg 20 tab)</v>
      </c>
      <c r="D26" t="str">
        <v>amoxicillin+clavulanic acid</v>
      </c>
      <c r="E26" t="str">
        <v>أقراص</v>
      </c>
      <c r="F26" t="str">
        <v>375مجم</v>
      </c>
      <c r="G26" t="str">
        <v>amoun</v>
      </c>
      <c r="H26" t="str">
        <v>مضادات حيوية ومضادات بكتيرية</v>
      </c>
      <c r="I26" t="str">
        <v>رف B1 - مضادات حيوية</v>
      </c>
      <c r="J26" t="str">
        <v>علبة</v>
      </c>
      <c r="K26">
        <v>136</v>
      </c>
      <c r="L26">
        <v>104.72</v>
      </c>
      <c r="M26">
        <v>20</v>
      </c>
      <c r="N26">
        <v>5</v>
      </c>
      <c r="O26" s="1">
        <f>K26-L26</f>
        <v>31.28</v>
      </c>
      <c r="P26" s="2">
        <f>IF(L26&gt;0,O26/L26,0)</f>
        <v>0.2987</v>
      </c>
      <c r="Q26" s="1">
        <f>L26*M26</f>
        <v>2094.4</v>
      </c>
      <c r="R26" s="1">
        <f>K26*M26</f>
        <v>2720</v>
      </c>
      <c r="S26" s="1">
        <f>R26-Q26</f>
        <v>625.6</v>
      </c>
      <c r="T26" t="str">
        <f>IF(M26=0,"نافد",IF(M26&lt;=N26,"قرب ينفد","متوفر"))</f>
        <v>متوفر</v>
      </c>
      <c r="U26" t="str">
        <v>فموي (Oral)</v>
      </c>
      <c r="V26" t="str">
        <v>فئة B (آمن إلى حد كبير)</v>
      </c>
      <c r="W26" t="str">
        <v>نعم</v>
      </c>
      <c r="X26" t="str">
        <v>لا</v>
      </c>
      <c r="Y26" t="str">
        <v>روشتة طبية (Rx)</v>
      </c>
      <c r="Z26">
        <v>2</v>
      </c>
      <c r="AA26">
        <v>0</v>
      </c>
      <c r="AB26" t="str">
        <v>MED-0188</v>
      </c>
    </row>
    <row r="27">
      <c r="A27">
        <v>24</v>
      </c>
      <c r="B27" t="str">
        <v>6221025022530</v>
      </c>
      <c r="C27" t="str">
        <v>هاي بيوتك 625مجم 16 قرص (hibiotic 625mg 16 tab)</v>
      </c>
      <c r="D27" t="str">
        <v>amoxicillin+clavulanic acid</v>
      </c>
      <c r="E27" t="str">
        <v>أقراص</v>
      </c>
      <c r="F27" t="str">
        <v>625مجم</v>
      </c>
      <c r="G27" t="str">
        <v>amoun</v>
      </c>
      <c r="H27" t="str">
        <v>مضادات حيوية ومضادات بكتيرية</v>
      </c>
      <c r="I27" t="str">
        <v>رف B1 - مضادات حيوية</v>
      </c>
      <c r="J27" t="str">
        <v>علبة</v>
      </c>
      <c r="K27">
        <v>143</v>
      </c>
      <c r="L27">
        <v>110.11</v>
      </c>
      <c r="M27">
        <v>20</v>
      </c>
      <c r="N27">
        <v>5</v>
      </c>
      <c r="O27" s="1">
        <f>K27-L27</f>
        <v>32.89</v>
      </c>
      <c r="P27" s="2">
        <f>IF(L27&gt;0,O27/L27,0)</f>
        <v>0.2987</v>
      </c>
      <c r="Q27" s="1">
        <f>L27*M27</f>
        <v>2202.2</v>
      </c>
      <c r="R27" s="1">
        <f>K27*M27</f>
        <v>2860</v>
      </c>
      <c r="S27" s="1">
        <f>R27-Q27</f>
        <v>657.8</v>
      </c>
      <c r="T27" t="str">
        <f>IF(M27=0,"نافد",IF(M27&lt;=N27,"قرب ينفد","متوفر"))</f>
        <v>متوفر</v>
      </c>
      <c r="U27" t="str">
        <v>فموي (Oral)</v>
      </c>
      <c r="V27" t="str">
        <v>فئة B (آمن إلى حد كبير)</v>
      </c>
      <c r="W27" t="str">
        <v>نعم</v>
      </c>
      <c r="X27" t="str">
        <v>لا</v>
      </c>
      <c r="Y27" t="str">
        <v>روشتة طبية (Rx)</v>
      </c>
      <c r="Z27">
        <v>2</v>
      </c>
      <c r="AA27">
        <v>0</v>
      </c>
      <c r="AB27" t="str">
        <v>MED-0189</v>
      </c>
    </row>
    <row r="28">
      <c r="A28">
        <v>25</v>
      </c>
      <c r="B28" t="str">
        <v>6221025038838</v>
      </c>
      <c r="C28" t="str">
        <v>هاي بيوتك ان 457مجم معلق 60 مل (hibiotic n 457mg/5ml susp. 60ml)</v>
      </c>
      <c r="D28" t="str">
        <v>amoxicillin+clavulanic acid</v>
      </c>
      <c r="E28" t="str">
        <v>معلق</v>
      </c>
      <c r="F28" t="str">
        <v>457مجم</v>
      </c>
      <c r="G28" t="str">
        <v>amoun</v>
      </c>
      <c r="H28" t="str">
        <v>مضادات حيوية ومضادات بكتيرية</v>
      </c>
      <c r="I28" t="str">
        <v>رف B1 - مضادات حيوية</v>
      </c>
      <c r="J28" t="str">
        <v>قطعة</v>
      </c>
      <c r="K28">
        <v>80</v>
      </c>
      <c r="L28">
        <v>61.6</v>
      </c>
      <c r="M28">
        <v>20</v>
      </c>
      <c r="N28">
        <v>5</v>
      </c>
      <c r="O28" s="1">
        <f>K28-L28</f>
        <v>18.4</v>
      </c>
      <c r="P28" s="2">
        <f>IF(L28&gt;0,O28/L28,0)</f>
        <v>0.2987</v>
      </c>
      <c r="Q28" s="1">
        <f>L28*M28</f>
        <v>1232</v>
      </c>
      <c r="R28" s="1">
        <f>K28*M28</f>
        <v>1600</v>
      </c>
      <c r="S28" s="1">
        <f>R28-Q28</f>
        <v>368</v>
      </c>
      <c r="T28" t="str">
        <f>IF(M28=0,"نافد",IF(M28&lt;=N28,"قرب ينفد","متوفر"))</f>
        <v>متوفر</v>
      </c>
      <c r="U28" t="str">
        <v>فموي (Oral)</v>
      </c>
      <c r="V28" t="str">
        <v>فئة B (آمن إلى حد كبير)</v>
      </c>
      <c r="W28" t="str">
        <v>نعم</v>
      </c>
      <c r="X28" t="str">
        <v>لا</v>
      </c>
      <c r="Y28" t="str">
        <v>روشتة طبية (Rx)</v>
      </c>
      <c r="Z28">
        <v>1</v>
      </c>
      <c r="AA28">
        <v>0</v>
      </c>
      <c r="AB28" t="str">
        <v>MED-0190</v>
      </c>
    </row>
    <row r="29">
      <c r="A29">
        <v>26</v>
      </c>
      <c r="B29" t="str">
        <v>6221025019578</v>
      </c>
      <c r="C29" t="str">
        <v>هاي بيوتك ان 600مجم معلق 80 مل (hibiotic n 600mg susp. 80 ml)</v>
      </c>
      <c r="D29" t="str">
        <v>amoxicillin+clavulanic acid</v>
      </c>
      <c r="E29" t="str">
        <v>معلق</v>
      </c>
      <c r="F29" t="str">
        <v>600مجم</v>
      </c>
      <c r="G29" t="str">
        <v>amoun</v>
      </c>
      <c r="H29" t="str">
        <v>مضادات حيوية ومضادات بكتيرية</v>
      </c>
      <c r="I29" t="str">
        <v>رف B1 - مضادات حيوية</v>
      </c>
      <c r="J29" t="str">
        <v>قطعة</v>
      </c>
      <c r="K29">
        <v>92</v>
      </c>
      <c r="L29">
        <v>70.84</v>
      </c>
      <c r="M29">
        <v>20</v>
      </c>
      <c r="N29">
        <v>5</v>
      </c>
      <c r="O29" s="1">
        <f>K29-L29</f>
        <v>21.16</v>
      </c>
      <c r="P29" s="2">
        <f>IF(L29&gt;0,O29/L29,0)</f>
        <v>0.2987</v>
      </c>
      <c r="Q29" s="1">
        <f>L29*M29</f>
        <v>1416.8</v>
      </c>
      <c r="R29" s="1">
        <f>K29*M29</f>
        <v>1840</v>
      </c>
      <c r="S29" s="1">
        <f>R29-Q29</f>
        <v>423.2</v>
      </c>
      <c r="T29" t="str">
        <f>IF(M29=0,"نافد",IF(M29&lt;=N29,"قرب ينفد","متوفر"))</f>
        <v>متوفر</v>
      </c>
      <c r="U29" t="str">
        <v>فموي (Oral)</v>
      </c>
      <c r="V29" t="str">
        <v>فئة B (آمن إلى حد كبير)</v>
      </c>
      <c r="W29" t="str">
        <v>نعم</v>
      </c>
      <c r="X29" t="str">
        <v>لا</v>
      </c>
      <c r="Y29" t="str">
        <v>روشتة طبية (Rx)</v>
      </c>
      <c r="Z29">
        <v>1</v>
      </c>
      <c r="AA29">
        <v>0</v>
      </c>
      <c r="AB29" t="str">
        <v>MED-0191</v>
      </c>
    </row>
    <row r="30">
      <c r="A30">
        <v>27</v>
      </c>
      <c r="B30" t="str">
        <v>6221025038630</v>
      </c>
      <c r="C30" t="str">
        <v>هاي بيوتك ان 228مجم 60 مل معلق (hibiotic n 228mg/5ml susp. 60ml)</v>
      </c>
      <c r="D30" t="str">
        <v>amoxicillin+clavulanic acid</v>
      </c>
      <c r="E30" t="str">
        <v>معلق</v>
      </c>
      <c r="F30" t="str">
        <v>228مجم</v>
      </c>
      <c r="G30" t="str">
        <v>amoun</v>
      </c>
      <c r="H30" t="str">
        <v>مضادات حيوية ومضادات بكتيرية</v>
      </c>
      <c r="I30" t="str">
        <v>رف B1 - مضادات حيوية</v>
      </c>
      <c r="J30" t="str">
        <v>قطعة</v>
      </c>
      <c r="K30">
        <v>53</v>
      </c>
      <c r="L30">
        <v>40.81</v>
      </c>
      <c r="M30">
        <v>20</v>
      </c>
      <c r="N30">
        <v>5</v>
      </c>
      <c r="O30" s="1">
        <f>K30-L30</f>
        <v>12.19</v>
      </c>
      <c r="P30" s="2">
        <f>IF(L30&gt;0,O30/L30,0)</f>
        <v>0.2987</v>
      </c>
      <c r="Q30" s="1">
        <f>L30*M30</f>
        <v>816.2</v>
      </c>
      <c r="R30" s="1">
        <f>K30*M30</f>
        <v>1060</v>
      </c>
      <c r="S30" s="1">
        <f>R30-Q30</f>
        <v>243.8</v>
      </c>
      <c r="T30" t="str">
        <f>IF(M30=0,"نافد",IF(M30&lt;=N30,"قرب ينفد","متوفر"))</f>
        <v>متوفر</v>
      </c>
      <c r="U30" t="str">
        <v>فموي (Oral)</v>
      </c>
      <c r="V30" t="str">
        <v>فئة B (آمن إلى حد كبير)</v>
      </c>
      <c r="W30" t="str">
        <v>نعم</v>
      </c>
      <c r="X30" t="str">
        <v>لا</v>
      </c>
      <c r="Y30" t="str">
        <v>روشتة طبية (Rx)</v>
      </c>
      <c r="Z30">
        <v>1</v>
      </c>
      <c r="AA30">
        <v>0</v>
      </c>
      <c r="AB30" t="str">
        <v>MED-0192</v>
      </c>
    </row>
    <row r="31">
      <c r="A31">
        <v>28</v>
      </c>
      <c r="B31" t="str">
        <v>6221151511632</v>
      </c>
      <c r="C31" t="str">
        <v>كلافيموكس 1جم 12 قرص (clavimox 1 gm 12 f.c.tabs)</v>
      </c>
      <c r="D31" t="str">
        <v>amoxicillin+clavulanic acid</v>
      </c>
      <c r="E31" t="str">
        <v>أقراص</v>
      </c>
      <c r="F31" t="str">
        <v>1 g</v>
      </c>
      <c r="G31" t="str">
        <v>pharco</v>
      </c>
      <c r="H31" t="str">
        <v>مضادات حيوية ومضادات بكتيرية</v>
      </c>
      <c r="I31" t="str">
        <v>رف B1 - مضادات حيوية</v>
      </c>
      <c r="J31" t="str">
        <v>علبة</v>
      </c>
      <c r="K31">
        <v>130</v>
      </c>
      <c r="L31">
        <v>100.1</v>
      </c>
      <c r="M31">
        <v>20</v>
      </c>
      <c r="N31">
        <v>5</v>
      </c>
      <c r="O31" s="1">
        <f>K31-L31</f>
        <v>29.9</v>
      </c>
      <c r="P31" s="2">
        <f>IF(L31&gt;0,O31/L31,0)</f>
        <v>0.2987</v>
      </c>
      <c r="Q31" s="1">
        <f>L31*M31</f>
        <v>2002</v>
      </c>
      <c r="R31" s="1">
        <f>K31*M31</f>
        <v>2600</v>
      </c>
      <c r="S31" s="1">
        <f>R31-Q31</f>
        <v>598</v>
      </c>
      <c r="T31" t="str">
        <f>IF(M31=0,"نافد",IF(M31&lt;=N31,"قرب ينفد","متوفر"))</f>
        <v>متوفر</v>
      </c>
      <c r="U31" t="str">
        <v>فموي (Oral)</v>
      </c>
      <c r="V31" t="str">
        <v>فئة B (آمن إلى حد كبير)</v>
      </c>
      <c r="W31" t="str">
        <v>نعم</v>
      </c>
      <c r="X31" t="str">
        <v>لا</v>
      </c>
      <c r="Y31" t="str">
        <v>روشتة طبية (Rx)</v>
      </c>
      <c r="Z31">
        <v>3</v>
      </c>
      <c r="AA31">
        <v>0</v>
      </c>
      <c r="AB31" t="str">
        <v>MED-0193</v>
      </c>
    </row>
    <row r="32">
      <c r="A32">
        <v>29</v>
      </c>
      <c r="B32" t="str">
        <v>6221151003069</v>
      </c>
      <c r="C32" t="str">
        <v>كلافيموكس 228مجم/5مل معلق 70 مل (clavimox 228.5mg/5ml pd. for oral susp. 70ml)</v>
      </c>
      <c r="D32" t="str">
        <v>amoxicillin+clavulanic acid</v>
      </c>
      <c r="E32" t="str">
        <v>معلق</v>
      </c>
      <c r="F32" t="str">
        <v>228مجم</v>
      </c>
      <c r="G32" t="str">
        <v>pharco</v>
      </c>
      <c r="H32" t="str">
        <v>مضادات حيوية ومضادات بكتيرية</v>
      </c>
      <c r="I32" t="str">
        <v>رف B1 - مضادات حيوية</v>
      </c>
      <c r="J32" t="str">
        <v>قطعة</v>
      </c>
      <c r="K32">
        <v>47</v>
      </c>
      <c r="L32">
        <v>36.19</v>
      </c>
      <c r="M32">
        <v>20</v>
      </c>
      <c r="N32">
        <v>5</v>
      </c>
      <c r="O32" s="1">
        <f>K32-L32</f>
        <v>10.81</v>
      </c>
      <c r="P32" s="2">
        <f>IF(L32&gt;0,O32/L32,0)</f>
        <v>0.2987</v>
      </c>
      <c r="Q32" s="1">
        <f>L32*M32</f>
        <v>723.8</v>
      </c>
      <c r="R32" s="1">
        <f>K32*M32</f>
        <v>940</v>
      </c>
      <c r="S32" s="1">
        <f>R32-Q32</f>
        <v>216.2</v>
      </c>
      <c r="T32" t="str">
        <f>IF(M32=0,"نافد",IF(M32&lt;=N32,"قرب ينفد","متوفر"))</f>
        <v>متوفر</v>
      </c>
      <c r="U32" t="str">
        <v>فموي (Oral)</v>
      </c>
      <c r="V32" t="str">
        <v>فئة B (آمن إلى حد كبير)</v>
      </c>
      <c r="W32" t="str">
        <v>نعم</v>
      </c>
      <c r="X32" t="str">
        <v>لا</v>
      </c>
      <c r="Y32" t="str">
        <v>روشتة طبية (Rx)</v>
      </c>
      <c r="Z32">
        <v>1</v>
      </c>
      <c r="AA32">
        <v>0</v>
      </c>
      <c r="AB32" t="str">
        <v>MED-0194</v>
      </c>
    </row>
    <row r="33">
      <c r="A33">
        <v>30</v>
      </c>
      <c r="B33" t="str">
        <v>6221151003076</v>
      </c>
      <c r="C33" t="str">
        <v>كلافيموكس 457مجم/5مل باودر لعمل معلق 75 مل (clavimox 457mg/5ml pd. for oral 75 ml)</v>
      </c>
      <c r="D33" t="str">
        <v>amoxicillin+clavulanic acid</v>
      </c>
      <c r="E33" t="str">
        <v>أقراص</v>
      </c>
      <c r="F33" t="str">
        <v>457مجم</v>
      </c>
      <c r="G33" t="str">
        <v>pharco</v>
      </c>
      <c r="H33" t="str">
        <v>مضادات حيوية ومضادات بكتيرية</v>
      </c>
      <c r="I33" t="str">
        <v>رف B1 - مضادات حيوية</v>
      </c>
      <c r="J33" t="str">
        <v>علبة</v>
      </c>
      <c r="K33">
        <v>73</v>
      </c>
      <c r="L33">
        <v>56.21</v>
      </c>
      <c r="M33">
        <v>20</v>
      </c>
      <c r="N33">
        <v>5</v>
      </c>
      <c r="O33" s="1">
        <f>K33-L33</f>
        <v>16.79</v>
      </c>
      <c r="P33" s="2">
        <f>IF(L33&gt;0,O33/L33,0)</f>
        <v>0.2987</v>
      </c>
      <c r="Q33" s="1">
        <f>L33*M33</f>
        <v>1124.2</v>
      </c>
      <c r="R33" s="1">
        <f>K33*M33</f>
        <v>1460</v>
      </c>
      <c r="S33" s="1">
        <f>R33-Q33</f>
        <v>335.8</v>
      </c>
      <c r="T33" t="str">
        <f>IF(M33=0,"نافد",IF(M33&lt;=N33,"قرب ينفد","متوفر"))</f>
        <v>متوفر</v>
      </c>
      <c r="U33" t="str">
        <v>فموي (Oral)</v>
      </c>
      <c r="V33" t="str">
        <v>فئة B (آمن إلى حد كبير)</v>
      </c>
      <c r="W33" t="str">
        <v>نعم</v>
      </c>
      <c r="X33" t="str">
        <v>لا</v>
      </c>
      <c r="Y33" t="str">
        <v>روشتة طبية (Rx)</v>
      </c>
      <c r="Z33">
        <v>1</v>
      </c>
      <c r="AA33">
        <v>0</v>
      </c>
      <c r="AB33" t="str">
        <v>MED-0195</v>
      </c>
    </row>
    <row r="34">
      <c r="A34">
        <v>31</v>
      </c>
      <c r="B34" t="str">
        <v>6221151015734</v>
      </c>
      <c r="C34" t="str">
        <v>كلافيموكس 625مجم 12 قرص (clavimox 625 mg 12 f.c.tabs)</v>
      </c>
      <c r="D34" t="str">
        <v>amoxicillin+clavulanic acid</v>
      </c>
      <c r="E34" t="str">
        <v>أقراص</v>
      </c>
      <c r="F34" t="str">
        <v>625مجم</v>
      </c>
      <c r="G34" t="str">
        <v>pharco</v>
      </c>
      <c r="H34" t="str">
        <v>مضادات حيوية ومضادات بكتيرية</v>
      </c>
      <c r="I34" t="str">
        <v>رف B1 - مضادات حيوية</v>
      </c>
      <c r="J34" t="str">
        <v>علبة</v>
      </c>
      <c r="K34">
        <v>107</v>
      </c>
      <c r="L34">
        <v>82.39</v>
      </c>
      <c r="M34">
        <v>20</v>
      </c>
      <c r="N34">
        <v>5</v>
      </c>
      <c r="O34" s="1">
        <f>K34-L34</f>
        <v>24.61</v>
      </c>
      <c r="P34" s="2">
        <f>IF(L34&gt;0,O34/L34,0)</f>
        <v>0.2987</v>
      </c>
      <c r="Q34" s="1">
        <f>L34*M34</f>
        <v>1647.8</v>
      </c>
      <c r="R34" s="1">
        <f>K34*M34</f>
        <v>2140</v>
      </c>
      <c r="S34" s="1">
        <f>R34-Q34</f>
        <v>492.2</v>
      </c>
      <c r="T34" t="str">
        <f>IF(M34=0,"نافد",IF(M34&lt;=N34,"قرب ينفد","متوفر"))</f>
        <v>متوفر</v>
      </c>
      <c r="U34" t="str">
        <v>فموي (Oral)</v>
      </c>
      <c r="V34" t="str">
        <v>فئة B (آمن إلى حد كبير)</v>
      </c>
      <c r="W34" t="str">
        <v>نعم</v>
      </c>
      <c r="X34" t="str">
        <v>لا</v>
      </c>
      <c r="Y34" t="str">
        <v>روشتة طبية (Rx)</v>
      </c>
      <c r="Z34">
        <v>3</v>
      </c>
      <c r="AA34">
        <v>0</v>
      </c>
      <c r="AB34" t="str">
        <v>MED-0196</v>
      </c>
    </row>
    <row r="35">
      <c r="A35">
        <v>32</v>
      </c>
      <c r="B35" t="str">
        <v>6221151004592</v>
      </c>
      <c r="C35" t="str">
        <v>كلافيموكس 1جم 16 قرص (clavimox 1gm 16 f.c. tab)</v>
      </c>
      <c r="D35" t="str">
        <v>amoxicillin+clavulanic acid</v>
      </c>
      <c r="E35" t="str">
        <v>أقراص</v>
      </c>
      <c r="F35" t="str">
        <v>1g</v>
      </c>
      <c r="G35" t="str">
        <v>pharco</v>
      </c>
      <c r="H35" t="str">
        <v>مضادات حيوية ومضادات بكتيرية</v>
      </c>
      <c r="I35" t="str">
        <v>رف B1 - مضادات حيوية</v>
      </c>
      <c r="J35" t="str">
        <v>علبة</v>
      </c>
      <c r="K35">
        <v>171</v>
      </c>
      <c r="L35">
        <v>131.67</v>
      </c>
      <c r="M35">
        <v>20</v>
      </c>
      <c r="N35">
        <v>5</v>
      </c>
      <c r="O35" s="1">
        <f>K35-L35</f>
        <v>39.33</v>
      </c>
      <c r="P35" s="2">
        <f>IF(L35&gt;0,O35/L35,0)</f>
        <v>0.2987</v>
      </c>
      <c r="Q35" s="1">
        <f>L35*M35</f>
        <v>2633.4</v>
      </c>
      <c r="R35" s="1">
        <f>K35*M35</f>
        <v>3420</v>
      </c>
      <c r="S35" s="1">
        <f>R35-Q35</f>
        <v>786.6</v>
      </c>
      <c r="T35" t="str">
        <f>IF(M35=0,"نافد",IF(M35&lt;=N35,"قرب ينفد","متوفر"))</f>
        <v>متوفر</v>
      </c>
      <c r="U35" t="str">
        <v>فموي (Oral)</v>
      </c>
      <c r="V35" t="str">
        <v>فئة B (آمن إلى حد كبير)</v>
      </c>
      <c r="W35" t="str">
        <v>نعم</v>
      </c>
      <c r="X35" t="str">
        <v>لا</v>
      </c>
      <c r="Y35" t="str">
        <v>روشتة طبية (Rx)</v>
      </c>
      <c r="Z35">
        <v>4</v>
      </c>
      <c r="AA35">
        <v>0</v>
      </c>
      <c r="AB35" t="str">
        <v>MED-0197</v>
      </c>
    </row>
    <row r="36">
      <c r="A36">
        <v>33</v>
      </c>
      <c r="B36" t="str">
        <v>6221151015789</v>
      </c>
      <c r="C36" t="str">
        <v>كلافيموكس 642.9مجم/5مل معلق 75 مل (clavimox 642.9mg/5ml pd. for oral susp. 75ml)</v>
      </c>
      <c r="D36" t="str">
        <v>amoxicillin+clavulanic acid</v>
      </c>
      <c r="E36" t="str">
        <v>معلق</v>
      </c>
      <c r="F36" t="str">
        <v>642.9مجم</v>
      </c>
      <c r="G36" t="str">
        <v>pharco</v>
      </c>
      <c r="H36" t="str">
        <v>مضادات حيوية ومضادات بكتيرية</v>
      </c>
      <c r="I36" t="str">
        <v>رف B1 - مضادات حيوية</v>
      </c>
      <c r="J36" t="str">
        <v>قطعة</v>
      </c>
      <c r="K36">
        <v>89</v>
      </c>
      <c r="L36">
        <v>68.53</v>
      </c>
      <c r="M36">
        <v>20</v>
      </c>
      <c r="N36">
        <v>5</v>
      </c>
      <c r="O36" s="1">
        <f>K36-L36</f>
        <v>20.47</v>
      </c>
      <c r="P36" s="2">
        <f>IF(L36&gt;0,O36/L36,0)</f>
        <v>0.2987</v>
      </c>
      <c r="Q36" s="1">
        <f>L36*M36</f>
        <v>1370.6</v>
      </c>
      <c r="R36" s="1">
        <f>K36*M36</f>
        <v>1780</v>
      </c>
      <c r="S36" s="1">
        <f>R36-Q36</f>
        <v>409.4</v>
      </c>
      <c r="T36" t="str">
        <f>IF(M36=0,"نافد",IF(M36&lt;=N36,"قرب ينفد","متوفر"))</f>
        <v>متوفر</v>
      </c>
      <c r="U36" t="str">
        <v>فموي (Oral)</v>
      </c>
      <c r="V36" t="str">
        <v>فئة B (آمن إلى حد كبير)</v>
      </c>
      <c r="W36" t="str">
        <v>نعم</v>
      </c>
      <c r="X36" t="str">
        <v>لا</v>
      </c>
      <c r="Y36" t="str">
        <v>روشتة طبية (Rx)</v>
      </c>
      <c r="Z36">
        <v>1</v>
      </c>
      <c r="AA36">
        <v>0</v>
      </c>
      <c r="AB36" t="str">
        <v>MED-0198</v>
      </c>
    </row>
    <row r="37">
      <c r="A37">
        <v>34</v>
      </c>
      <c r="B37" t="str">
        <v>6221151003168</v>
      </c>
      <c r="C37" t="str">
        <v>كلافيموكس 312.5مجم/5مل باودر لعمل معلق 60 مل (clavimox 312.5mg/5ml pd. for oral 60 ml)</v>
      </c>
      <c r="D37" t="str">
        <v>amoxicillin+clavulanic acid</v>
      </c>
      <c r="E37" t="str">
        <v>أقراص</v>
      </c>
      <c r="F37" t="str">
        <v>312.5مجم</v>
      </c>
      <c r="G37" t="str">
        <v>pharco</v>
      </c>
      <c r="H37" t="str">
        <v>مضادات حيوية ومضادات بكتيرية</v>
      </c>
      <c r="I37" t="str">
        <v>رف B1 - مضادات حيوية</v>
      </c>
      <c r="J37" t="str">
        <v>علبة</v>
      </c>
      <c r="K37">
        <v>64</v>
      </c>
      <c r="L37">
        <v>49.28</v>
      </c>
      <c r="M37">
        <v>20</v>
      </c>
      <c r="N37">
        <v>5</v>
      </c>
      <c r="O37" s="1">
        <f>K37-L37</f>
        <v>14.72</v>
      </c>
      <c r="P37" s="2">
        <f>IF(L37&gt;0,O37/L37,0)</f>
        <v>0.2987</v>
      </c>
      <c r="Q37" s="1">
        <f>L37*M37</f>
        <v>985.6</v>
      </c>
      <c r="R37" s="1">
        <f>K37*M37</f>
        <v>1280</v>
      </c>
      <c r="S37" s="1">
        <f>R37-Q37</f>
        <v>294.4</v>
      </c>
      <c r="T37" t="str">
        <f>IF(M37=0,"نافد",IF(M37&lt;=N37,"قرب ينفد","متوفر"))</f>
        <v>متوفر</v>
      </c>
      <c r="U37" t="str">
        <v>فموي (Oral)</v>
      </c>
      <c r="V37" t="str">
        <v>فئة B (آمن إلى حد كبير)</v>
      </c>
      <c r="W37" t="str">
        <v>نعم</v>
      </c>
      <c r="X37" t="str">
        <v>لا</v>
      </c>
      <c r="Y37" t="str">
        <v>روشتة طبية (Rx)</v>
      </c>
      <c r="Z37">
        <v>1</v>
      </c>
      <c r="AA37">
        <v>0</v>
      </c>
      <c r="AB37" t="str">
        <v>MED-0199</v>
      </c>
    </row>
    <row r="38">
      <c r="A38">
        <v>35</v>
      </c>
      <c r="B38" t="str">
        <v>6221180000756</v>
      </c>
      <c r="C38" t="str">
        <v>يوناسين 250مجم/5مل معلق شرب 60 مل (unasyn 250mg/5ml susp. 60 ml)</v>
      </c>
      <c r="D38" t="str">
        <v>ampicillin+sulbactam</v>
      </c>
      <c r="E38" t="str">
        <v>معلق</v>
      </c>
      <c r="F38" t="str">
        <v>250مجم</v>
      </c>
      <c r="G38" t="str">
        <v>pharco &gt; pfizer</v>
      </c>
      <c r="H38" t="str">
        <v>مضادات حيوية ومضادات بكتيرية</v>
      </c>
      <c r="I38" t="str">
        <v>رف B1 - مضادات حيوية</v>
      </c>
      <c r="J38" t="str">
        <v>قطعة</v>
      </c>
      <c r="K38">
        <v>49.5</v>
      </c>
      <c r="L38">
        <v>38.12</v>
      </c>
      <c r="M38">
        <v>20</v>
      </c>
      <c r="N38">
        <v>5</v>
      </c>
      <c r="O38" s="1">
        <f>K38-L38</f>
        <v>11.38</v>
      </c>
      <c r="P38" s="2">
        <f>IF(L38&gt;0,O38/L38,0)</f>
        <v>0.2985</v>
      </c>
      <c r="Q38" s="1">
        <f>L38*M38</f>
        <v>762.4</v>
      </c>
      <c r="R38" s="1">
        <f>K38*M38</f>
        <v>990</v>
      </c>
      <c r="S38" s="1">
        <f>R38-Q38</f>
        <v>227.6</v>
      </c>
      <c r="T38" t="str">
        <f>IF(M38=0,"نافد",IF(M38&lt;=N38,"قرب ينفد","متوفر"))</f>
        <v>متوفر</v>
      </c>
      <c r="U38" t="str">
        <v>فموي (Oral)</v>
      </c>
      <c r="V38" t="str">
        <v>فئة B (آمن إلى حد كبير)</v>
      </c>
      <c r="W38" t="str">
        <v>نعم</v>
      </c>
      <c r="X38" t="str">
        <v>لا</v>
      </c>
      <c r="Y38" t="str">
        <v>روشتة طبية (Rx)</v>
      </c>
      <c r="Z38">
        <v>1</v>
      </c>
      <c r="AA38">
        <v>0</v>
      </c>
      <c r="AB38" t="str">
        <v>MED-0200</v>
      </c>
    </row>
    <row r="39">
      <c r="A39">
        <v>36</v>
      </c>
      <c r="B39" t="str">
        <v>6220001046638</v>
      </c>
      <c r="C39" t="str">
        <v>يوناسين 3جرام فيال (unasyn 3 gm i.v./i.m. vial)</v>
      </c>
      <c r="D39" t="str">
        <v>ampicillin+sulbactam</v>
      </c>
      <c r="E39" t="str">
        <v>حقن</v>
      </c>
      <c r="F39" t="str">
        <v>3 g</v>
      </c>
      <c r="G39" t="str">
        <v>mup &gt; pfizer</v>
      </c>
      <c r="H39" t="str">
        <v>مضادات حيوية ومضادات بكتيرية</v>
      </c>
      <c r="I39" t="str">
        <v>رف B1 - مضادات حيوية</v>
      </c>
      <c r="J39" t="str">
        <v>قطعة</v>
      </c>
      <c r="K39">
        <v>43.25</v>
      </c>
      <c r="L39">
        <v>33.3</v>
      </c>
      <c r="M39">
        <v>20</v>
      </c>
      <c r="N39">
        <v>5</v>
      </c>
      <c r="O39" s="1">
        <f>K39-L39</f>
        <v>9.95</v>
      </c>
      <c r="P39" s="2">
        <f>IF(L39&gt;0,O39/L39,0)</f>
        <v>0.2988</v>
      </c>
      <c r="Q39" s="1">
        <f>L39*M39</f>
        <v>666</v>
      </c>
      <c r="R39" s="1">
        <f>K39*M39</f>
        <v>865</v>
      </c>
      <c r="S39" s="1">
        <f>R39-Q39</f>
        <v>199</v>
      </c>
      <c r="T39" t="str">
        <f>IF(M39=0,"نافد",IF(M39&lt;=N39,"قرب ينفد","متوفر"))</f>
        <v>متوفر</v>
      </c>
      <c r="U39" t="str">
        <v>حقن عضل / وريد (Parenteral)</v>
      </c>
      <c r="V39" t="str">
        <v>فئة B (آمن إلى حد كبير)</v>
      </c>
      <c r="W39" t="str">
        <v>نعم</v>
      </c>
      <c r="X39" t="str">
        <v>لا</v>
      </c>
      <c r="Y39" t="str">
        <v>روشتة طبية (Rx)</v>
      </c>
      <c r="Z39">
        <v>1</v>
      </c>
      <c r="AA39">
        <v>0</v>
      </c>
      <c r="AB39" t="str">
        <v>MED-0201</v>
      </c>
    </row>
    <row r="40">
      <c r="A40">
        <v>37</v>
      </c>
      <c r="B40" t="str">
        <v>6221180000732</v>
      </c>
      <c r="C40" t="str">
        <v>يوناسين 1500مجم فيال (unasyn 1500mg i.m./i.v.vial)</v>
      </c>
      <c r="D40" t="str">
        <v>ampicillin+sulbactam</v>
      </c>
      <c r="E40" t="str">
        <v>حقن</v>
      </c>
      <c r="F40" t="str">
        <v>1500مجم</v>
      </c>
      <c r="G40" t="str">
        <v>mup &gt; pfizer</v>
      </c>
      <c r="H40" t="str">
        <v>مضادات حيوية ومضادات بكتيرية</v>
      </c>
      <c r="I40" t="str">
        <v>رف B1 - مضادات حيوية</v>
      </c>
      <c r="J40" t="str">
        <v>قطعة</v>
      </c>
      <c r="K40">
        <v>40</v>
      </c>
      <c r="L40">
        <v>30.8</v>
      </c>
      <c r="M40">
        <v>20</v>
      </c>
      <c r="N40">
        <v>5</v>
      </c>
      <c r="O40" s="1">
        <f>K40-L40</f>
        <v>9.2</v>
      </c>
      <c r="P40" s="2">
        <f>IF(L40&gt;0,O40/L40,0)</f>
        <v>0.2987</v>
      </c>
      <c r="Q40" s="1">
        <f>L40*M40</f>
        <v>616</v>
      </c>
      <c r="R40" s="1">
        <f>K40*M40</f>
        <v>800</v>
      </c>
      <c r="S40" s="1">
        <f>R40-Q40</f>
        <v>184</v>
      </c>
      <c r="T40" t="str">
        <f>IF(M40=0,"نافد",IF(M40&lt;=N40,"قرب ينفد","متوفر"))</f>
        <v>متوفر</v>
      </c>
      <c r="U40" t="str">
        <v>حقن عضل / وريد (Parenteral)</v>
      </c>
      <c r="V40" t="str">
        <v>فئة B (آمن إلى حد كبير)</v>
      </c>
      <c r="W40" t="str">
        <v>نعم</v>
      </c>
      <c r="X40" t="str">
        <v>لا</v>
      </c>
      <c r="Y40" t="str">
        <v>روشتة طبية (Rx)</v>
      </c>
      <c r="Z40">
        <v>1</v>
      </c>
      <c r="AA40">
        <v>0</v>
      </c>
      <c r="AB40" t="str">
        <v>MED-0202</v>
      </c>
    </row>
    <row r="41">
      <c r="A41">
        <v>38</v>
      </c>
      <c r="B41" t="str">
        <v>6221180000749</v>
      </c>
      <c r="C41" t="str">
        <v>يوناسين 375مجم 12 قرص (unasyn 375mg 12 tab)</v>
      </c>
      <c r="D41" t="str">
        <v>ampicillin+sulbactam</v>
      </c>
      <c r="E41" t="str">
        <v>أقراص</v>
      </c>
      <c r="F41" t="str">
        <v>375مجم</v>
      </c>
      <c r="G41" t="str">
        <v>pharco &gt; pfizer</v>
      </c>
      <c r="H41" t="str">
        <v>مضادات حيوية ومضادات بكتيرية</v>
      </c>
      <c r="I41" t="str">
        <v>رف B1 - مضادات حيوية</v>
      </c>
      <c r="J41" t="str">
        <v>علبة</v>
      </c>
      <c r="K41">
        <v>60</v>
      </c>
      <c r="L41">
        <v>46.2</v>
      </c>
      <c r="M41">
        <v>20</v>
      </c>
      <c r="N41">
        <v>5</v>
      </c>
      <c r="O41" s="1">
        <f>K41-L41</f>
        <v>13.8</v>
      </c>
      <c r="P41" s="2">
        <f>IF(L41&gt;0,O41/L41,0)</f>
        <v>0.2987</v>
      </c>
      <c r="Q41" s="1">
        <f>L41*M41</f>
        <v>924</v>
      </c>
      <c r="R41" s="1">
        <f>K41*M41</f>
        <v>1200</v>
      </c>
      <c r="S41" s="1">
        <f>R41-Q41</f>
        <v>276</v>
      </c>
      <c r="T41" t="str">
        <f>IF(M41=0,"نافد",IF(M41&lt;=N41,"قرب ينفد","متوفر"))</f>
        <v>متوفر</v>
      </c>
      <c r="U41" t="str">
        <v>فموي (Oral)</v>
      </c>
      <c r="V41" t="str">
        <v>فئة B (آمن إلى حد كبير)</v>
      </c>
      <c r="W41" t="str">
        <v>نعم</v>
      </c>
      <c r="X41" t="str">
        <v>لا</v>
      </c>
      <c r="Y41" t="str">
        <v>روشتة طبية (Rx)</v>
      </c>
      <c r="Z41">
        <v>2</v>
      </c>
      <c r="AA41">
        <v>0</v>
      </c>
      <c r="AB41" t="str">
        <v>MED-0203</v>
      </c>
    </row>
    <row r="42">
      <c r="A42">
        <v>39</v>
      </c>
      <c r="B42" t="str">
        <v>6221180000718</v>
      </c>
      <c r="C42" t="str">
        <v>يوناسين 375مجم فيال (unasyn 375mg vial)</v>
      </c>
      <c r="D42" t="str">
        <v>ampicillin+sulbactam</v>
      </c>
      <c r="E42" t="str">
        <v>حقن</v>
      </c>
      <c r="F42" t="str">
        <v>375مجم</v>
      </c>
      <c r="G42" t="str">
        <v>mup &gt; pfizer</v>
      </c>
      <c r="H42" t="str">
        <v>مضادات حيوية ومضادات بكتيرية</v>
      </c>
      <c r="I42" t="str">
        <v>رف B1 - مضادات حيوية</v>
      </c>
      <c r="J42" t="str">
        <v>قطعة</v>
      </c>
      <c r="K42">
        <v>15.75</v>
      </c>
      <c r="L42">
        <v>12.13</v>
      </c>
      <c r="M42">
        <v>20</v>
      </c>
      <c r="N42">
        <v>5</v>
      </c>
      <c r="O42" s="1">
        <f>K42-L42</f>
        <v>3.62</v>
      </c>
      <c r="P42" s="2">
        <f>IF(L42&gt;0,O42/L42,0)</f>
        <v>0.2984</v>
      </c>
      <c r="Q42" s="1">
        <f>L42*M42</f>
        <v>242.6</v>
      </c>
      <c r="R42" s="1">
        <f>K42*M42</f>
        <v>315</v>
      </c>
      <c r="S42" s="1">
        <f>R42-Q42</f>
        <v>72.4</v>
      </c>
      <c r="T42" t="str">
        <f>IF(M42=0,"نافد",IF(M42&lt;=N42,"قرب ينفد","متوفر"))</f>
        <v>متوفر</v>
      </c>
      <c r="U42" t="str">
        <v>حقن عضل / وريد (Parenteral)</v>
      </c>
      <c r="V42" t="str">
        <v>فئة B (آمن إلى حد كبير)</v>
      </c>
      <c r="W42" t="str">
        <v>نعم</v>
      </c>
      <c r="X42" t="str">
        <v>لا</v>
      </c>
      <c r="Y42" t="str">
        <v>روشتة طبية (Rx)</v>
      </c>
      <c r="Z42">
        <v>1</v>
      </c>
      <c r="AA42">
        <v>0</v>
      </c>
      <c r="AB42" t="str">
        <v>MED-0204</v>
      </c>
    </row>
    <row r="43">
      <c r="A43">
        <v>40</v>
      </c>
      <c r="B43" t="str">
        <v>6287780000725</v>
      </c>
      <c r="C43" t="str">
        <v>يوناسين 750مجم فيال (unasyn 750mg i.m./i.v.vial)</v>
      </c>
      <c r="D43" t="str">
        <v>ampicillin+sulbactam</v>
      </c>
      <c r="E43" t="str">
        <v>حقن</v>
      </c>
      <c r="F43" t="str">
        <v>750مجم</v>
      </c>
      <c r="G43" t="str">
        <v>mup &gt; pfizer</v>
      </c>
      <c r="H43" t="str">
        <v>مضادات حيوية ومضادات بكتيرية</v>
      </c>
      <c r="I43" t="str">
        <v>رف B1 - مضادات حيوية</v>
      </c>
      <c r="J43" t="str">
        <v>قطعة</v>
      </c>
      <c r="K43">
        <v>28</v>
      </c>
      <c r="L43">
        <v>21.56</v>
      </c>
      <c r="M43">
        <v>20</v>
      </c>
      <c r="N43">
        <v>5</v>
      </c>
      <c r="O43" s="1">
        <f>K43-L43</f>
        <v>6.44</v>
      </c>
      <c r="P43" s="2">
        <f>IF(L43&gt;0,O43/L43,0)</f>
        <v>0.2987</v>
      </c>
      <c r="Q43" s="1">
        <f>L43*M43</f>
        <v>431.2</v>
      </c>
      <c r="R43" s="1">
        <f>K43*M43</f>
        <v>560</v>
      </c>
      <c r="S43" s="1">
        <f>R43-Q43</f>
        <v>128.8</v>
      </c>
      <c r="T43" t="str">
        <f>IF(M43=0,"نافد",IF(M43&lt;=N43,"قرب ينفد","متوفر"))</f>
        <v>متوفر</v>
      </c>
      <c r="U43" t="str">
        <v>حقن عضل / وريد (Parenteral)</v>
      </c>
      <c r="V43" t="str">
        <v>فئة B (آمن إلى حد كبير)</v>
      </c>
      <c r="W43" t="str">
        <v>نعم</v>
      </c>
      <c r="X43" t="str">
        <v>لا</v>
      </c>
      <c r="Y43" t="str">
        <v>روشتة طبية (Rx)</v>
      </c>
      <c r="Z43">
        <v>1</v>
      </c>
      <c r="AA43">
        <v>0</v>
      </c>
      <c r="AB43" t="str">
        <v>MED-0205</v>
      </c>
    </row>
    <row r="44">
      <c r="A44">
        <v>41</v>
      </c>
      <c r="B44" t="str">
        <v>6220001048625</v>
      </c>
      <c r="C44" t="str">
        <v>زيثروماكس 1200مجم/30مل 200مجم/5مل معلق (zithromax 1200mg/30ml (200mg/5ml) susp)</v>
      </c>
      <c r="D44" t="str">
        <v>azithromycin</v>
      </c>
      <c r="E44" t="str">
        <v>معلق</v>
      </c>
      <c r="F44" t="str">
        <v>1200مجم</v>
      </c>
      <c r="G44" t="str">
        <v>pfizer</v>
      </c>
      <c r="H44" t="str">
        <v>مضادات حيوية ومضادات بكتيرية</v>
      </c>
      <c r="I44" t="str">
        <v>رف B1 - مضادات حيوية</v>
      </c>
      <c r="J44" t="str">
        <v>قطعة</v>
      </c>
      <c r="K44">
        <v>126</v>
      </c>
      <c r="L44">
        <v>97.02</v>
      </c>
      <c r="M44">
        <v>20</v>
      </c>
      <c r="N44">
        <v>5</v>
      </c>
      <c r="O44" s="1">
        <f>K44-L44</f>
        <v>28.98</v>
      </c>
      <c r="P44" s="2">
        <f>IF(L44&gt;0,O44/L44,0)</f>
        <v>0.2987</v>
      </c>
      <c r="Q44" s="1">
        <f>L44*M44</f>
        <v>1940.4</v>
      </c>
      <c r="R44" s="1">
        <f>K44*M44</f>
        <v>2520</v>
      </c>
      <c r="S44" s="1">
        <f>R44-Q44</f>
        <v>579.6</v>
      </c>
      <c r="T44" t="str">
        <f>IF(M44=0,"نافد",IF(M44&lt;=N44,"قرب ينفد","متوفر"))</f>
        <v>متوفر</v>
      </c>
      <c r="U44" t="str">
        <v>فموي (Oral)</v>
      </c>
      <c r="V44" t="str">
        <v>فئة B (آمن إلى حد كبير)</v>
      </c>
      <c r="W44" t="str">
        <v>نعم</v>
      </c>
      <c r="X44" t="str">
        <v>لا</v>
      </c>
      <c r="Y44" t="str">
        <v>روشتة طبية (Rx)</v>
      </c>
      <c r="Z44">
        <v>1</v>
      </c>
      <c r="AA44">
        <v>0</v>
      </c>
      <c r="AB44" t="str">
        <v>MED-0206</v>
      </c>
    </row>
    <row r="45">
      <c r="A45">
        <v>42</v>
      </c>
      <c r="B45" t="str">
        <v>6220001048632</v>
      </c>
      <c r="C45" t="str">
        <v>زيثروماكس 600مجم/15مل 200مجم/5مل معلق (zithromax 600mg/15ml (200mg/5ml) susp)</v>
      </c>
      <c r="D45" t="str">
        <v>azithromycin</v>
      </c>
      <c r="E45" t="str">
        <v>معلق</v>
      </c>
      <c r="F45" t="str">
        <v>600مجم</v>
      </c>
      <c r="G45" t="str">
        <v>pfizer</v>
      </c>
      <c r="H45" t="str">
        <v>مضادات حيوية ومضادات بكتيرية</v>
      </c>
      <c r="I45" t="str">
        <v>رف B1 - مضادات حيوية</v>
      </c>
      <c r="J45" t="str">
        <v>قطعة</v>
      </c>
      <c r="K45">
        <v>89</v>
      </c>
      <c r="L45">
        <v>68.53</v>
      </c>
      <c r="M45">
        <v>20</v>
      </c>
      <c r="N45">
        <v>5</v>
      </c>
      <c r="O45" s="1">
        <f>K45-L45</f>
        <v>20.47</v>
      </c>
      <c r="P45" s="2">
        <f>IF(L45&gt;0,O45/L45,0)</f>
        <v>0.2987</v>
      </c>
      <c r="Q45" s="1">
        <f>L45*M45</f>
        <v>1370.6</v>
      </c>
      <c r="R45" s="1">
        <f>K45*M45</f>
        <v>1780</v>
      </c>
      <c r="S45" s="1">
        <f>R45-Q45</f>
        <v>409.4</v>
      </c>
      <c r="T45" t="str">
        <f>IF(M45=0,"نافد",IF(M45&lt;=N45,"قرب ينفد","متوفر"))</f>
        <v>متوفر</v>
      </c>
      <c r="U45" t="str">
        <v>فموي (Oral)</v>
      </c>
      <c r="V45" t="str">
        <v>فئة B (آمن إلى حد كبير)</v>
      </c>
      <c r="W45" t="str">
        <v>نعم</v>
      </c>
      <c r="X45" t="str">
        <v>لا</v>
      </c>
      <c r="Y45" t="str">
        <v>روشتة طبية (Rx)</v>
      </c>
      <c r="Z45">
        <v>1</v>
      </c>
      <c r="AA45">
        <v>0</v>
      </c>
      <c r="AB45" t="str">
        <v>MED-0207</v>
      </c>
    </row>
    <row r="46">
      <c r="A46">
        <v>43</v>
      </c>
      <c r="B46" t="str">
        <v>05415062309865</v>
      </c>
      <c r="C46" t="str">
        <v>زيثروماكس 900مجم/22.5مل 200مجم/5مل معلق (zithromax 900mg/22.5ml (200mg/5ml) susp)</v>
      </c>
      <c r="D46" t="str">
        <v>azithromycin</v>
      </c>
      <c r="E46" t="str">
        <v>معلق</v>
      </c>
      <c r="F46" t="str">
        <v>900مجم</v>
      </c>
      <c r="G46" t="str">
        <v>pfizer</v>
      </c>
      <c r="H46" t="str">
        <v>مضادات حيوية ومضادات بكتيرية</v>
      </c>
      <c r="I46" t="str">
        <v>رف B1 - مضادات حيوية</v>
      </c>
      <c r="J46" t="str">
        <v>قطعة</v>
      </c>
      <c r="K46">
        <v>100</v>
      </c>
      <c r="L46">
        <v>77</v>
      </c>
      <c r="M46">
        <v>20</v>
      </c>
      <c r="N46">
        <v>5</v>
      </c>
      <c r="O46" s="1">
        <f>K46-L46</f>
        <v>23</v>
      </c>
      <c r="P46" s="2">
        <f>IF(L46&gt;0,O46/L46,0)</f>
        <v>0.2987</v>
      </c>
      <c r="Q46" s="1">
        <f>L46*M46</f>
        <v>1540</v>
      </c>
      <c r="R46" s="1">
        <f>K46*M46</f>
        <v>2000</v>
      </c>
      <c r="S46" s="1">
        <f>R46-Q46</f>
        <v>460</v>
      </c>
      <c r="T46" t="str">
        <f>IF(M46=0,"نافد",IF(M46&lt;=N46,"قرب ينفد","متوفر"))</f>
        <v>متوفر</v>
      </c>
      <c r="U46" t="str">
        <v>فموي (Oral)</v>
      </c>
      <c r="V46" t="str">
        <v>فئة B (آمن إلى حد كبير)</v>
      </c>
      <c r="W46" t="str">
        <v>نعم</v>
      </c>
      <c r="X46" t="str">
        <v>لا</v>
      </c>
      <c r="Y46" t="str">
        <v>روشتة طبية (Rx)</v>
      </c>
      <c r="Z46">
        <v>1</v>
      </c>
      <c r="AA46">
        <v>0</v>
      </c>
      <c r="AB46" t="str">
        <v>MED-0208</v>
      </c>
    </row>
    <row r="47">
      <c r="A47">
        <v>44</v>
      </c>
      <c r="B47" t="str">
        <v>6221180000039</v>
      </c>
      <c r="C47" t="str">
        <v>زيثروماكس 250مجم 6 كبسولات (zithromax 250mg 6 cap)</v>
      </c>
      <c r="D47" t="str">
        <v>azithromycin</v>
      </c>
      <c r="E47" t="str">
        <v>كبسولات</v>
      </c>
      <c r="F47" t="str">
        <v>250مجم</v>
      </c>
      <c r="G47" t="str">
        <v>pfizer</v>
      </c>
      <c r="H47" t="str">
        <v>مضادات حيوية ومضادات بكتيرية</v>
      </c>
      <c r="I47" t="str">
        <v>رف B1 - مضادات حيوية</v>
      </c>
      <c r="J47" t="str">
        <v>علبة</v>
      </c>
      <c r="K47">
        <v>79</v>
      </c>
      <c r="L47">
        <v>60.83</v>
      </c>
      <c r="M47">
        <v>20</v>
      </c>
      <c r="N47">
        <v>5</v>
      </c>
      <c r="O47" s="1">
        <f>K47-L47</f>
        <v>18.17</v>
      </c>
      <c r="P47" s="2">
        <f>IF(L47&gt;0,O47/L47,0)</f>
        <v>0.2987</v>
      </c>
      <c r="Q47" s="1">
        <f>L47*M47</f>
        <v>1216.6</v>
      </c>
      <c r="R47" s="1">
        <f>K47*M47</f>
        <v>1580</v>
      </c>
      <c r="S47" s="1">
        <f>R47-Q47</f>
        <v>363.4</v>
      </c>
      <c r="T47" t="str">
        <f>IF(M47=0,"نافد",IF(M47&lt;=N47,"قرب ينفد","متوفر"))</f>
        <v>متوفر</v>
      </c>
      <c r="U47" t="str">
        <v>فموي (Oral)</v>
      </c>
      <c r="V47" t="str">
        <v>فئة B (آمن إلى حد كبير)</v>
      </c>
      <c r="W47" t="str">
        <v>نعم</v>
      </c>
      <c r="X47" t="str">
        <v>لا</v>
      </c>
      <c r="Y47" t="str">
        <v>روشتة طبية (Rx)</v>
      </c>
      <c r="Z47">
        <v>1</v>
      </c>
      <c r="AA47">
        <v>0</v>
      </c>
      <c r="AB47" t="str">
        <v>MED-0209</v>
      </c>
    </row>
    <row r="48">
      <c r="A48">
        <v>45</v>
      </c>
      <c r="B48" t="str">
        <v>6220001048649</v>
      </c>
      <c r="C48" t="str">
        <v>زيثروماكس 500مجم فيال (zithromax 500mg vial)</v>
      </c>
      <c r="D48" t="str">
        <v>azithromycin</v>
      </c>
      <c r="E48" t="str">
        <v>حقن</v>
      </c>
      <c r="F48" t="str">
        <v>500مجم</v>
      </c>
      <c r="G48" t="str">
        <v>pfizer</v>
      </c>
      <c r="H48" t="str">
        <v>مضادات حيوية ومضادات بكتيرية</v>
      </c>
      <c r="I48" t="str">
        <v>رف B1 - مضادات حيوية</v>
      </c>
      <c r="J48" t="str">
        <v>قطعة</v>
      </c>
      <c r="K48">
        <v>160</v>
      </c>
      <c r="L48">
        <v>123.2</v>
      </c>
      <c r="M48">
        <v>20</v>
      </c>
      <c r="N48">
        <v>5</v>
      </c>
      <c r="O48" s="1">
        <f>K48-L48</f>
        <v>36.8</v>
      </c>
      <c r="P48" s="2">
        <f>IF(L48&gt;0,O48/L48,0)</f>
        <v>0.2987</v>
      </c>
      <c r="Q48" s="1">
        <f>L48*M48</f>
        <v>2464</v>
      </c>
      <c r="R48" s="1">
        <f>K48*M48</f>
        <v>3200</v>
      </c>
      <c r="S48" s="1">
        <f>R48-Q48</f>
        <v>736</v>
      </c>
      <c r="T48" t="str">
        <f>IF(M48=0,"نافد",IF(M48&lt;=N48,"قرب ينفد","متوفر"))</f>
        <v>متوفر</v>
      </c>
      <c r="U48" t="str">
        <v>حقن عضل / وريد (Parenteral)</v>
      </c>
      <c r="V48" t="str">
        <v>فئة B (آمن إلى حد كبير)</v>
      </c>
      <c r="W48" t="str">
        <v>نعم</v>
      </c>
      <c r="X48" t="str">
        <v>لا</v>
      </c>
      <c r="Y48" t="str">
        <v>روشتة طبية (Rx)</v>
      </c>
      <c r="Z48">
        <v>1</v>
      </c>
      <c r="AA48">
        <v>0</v>
      </c>
      <c r="AB48" t="str">
        <v>MED-0210</v>
      </c>
    </row>
    <row r="49">
      <c r="A49">
        <v>46</v>
      </c>
      <c r="B49" t="str">
        <v>6220001139231</v>
      </c>
      <c r="C49" t="str">
        <v>زيثروماكس 200مجم/5مل معلق زجاجة 15 مل (zithromax 200mg/5ml pd for susp. 15 ml)</v>
      </c>
      <c r="D49" t="str">
        <v>azithromycin</v>
      </c>
      <c r="E49" t="str">
        <v>معلق</v>
      </c>
      <c r="F49" t="str">
        <v>200مجم</v>
      </c>
      <c r="G49" t="str">
        <v>pfizer</v>
      </c>
      <c r="H49" t="str">
        <v>مضادات حيوية ومضادات بكتيرية</v>
      </c>
      <c r="I49" t="str">
        <v>رف B1 - مضادات حيوية</v>
      </c>
      <c r="J49" t="str">
        <v>قطعة</v>
      </c>
      <c r="K49">
        <v>89</v>
      </c>
      <c r="L49">
        <v>68.53</v>
      </c>
      <c r="M49">
        <v>20</v>
      </c>
      <c r="N49">
        <v>5</v>
      </c>
      <c r="O49" s="1">
        <f>K49-L49</f>
        <v>20.47</v>
      </c>
      <c r="P49" s="2">
        <f>IF(L49&gt;0,O49/L49,0)</f>
        <v>0.2987</v>
      </c>
      <c r="Q49" s="1">
        <f>L49*M49</f>
        <v>1370.6</v>
      </c>
      <c r="R49" s="1">
        <f>K49*M49</f>
        <v>1780</v>
      </c>
      <c r="S49" s="1">
        <f>R49-Q49</f>
        <v>409.4</v>
      </c>
      <c r="T49" t="str">
        <f>IF(M49=0,"نافد",IF(M49&lt;=N49,"قرب ينفد","متوفر"))</f>
        <v>متوفر</v>
      </c>
      <c r="U49" t="str">
        <v>فموي (Oral)</v>
      </c>
      <c r="V49" t="str">
        <v>فئة B (آمن إلى حد كبير)</v>
      </c>
      <c r="W49" t="str">
        <v>نعم</v>
      </c>
      <c r="X49" t="str">
        <v>لا</v>
      </c>
      <c r="Y49" t="str">
        <v>روشتة طبية (Rx)</v>
      </c>
      <c r="Z49">
        <v>1</v>
      </c>
      <c r="AA49">
        <v>0</v>
      </c>
      <c r="AB49" t="str">
        <v>MED-0211</v>
      </c>
    </row>
    <row r="50">
      <c r="A50">
        <v>47</v>
      </c>
      <c r="B50" t="str">
        <v>05415062371756</v>
      </c>
      <c r="C50" t="str">
        <v>زيثروماكس 500مجم 3 اقراص (zithromax 500 mg 3 f.c.tabs)</v>
      </c>
      <c r="D50" t="str">
        <v>azithromycin</v>
      </c>
      <c r="E50" t="str">
        <v>أقراص</v>
      </c>
      <c r="F50" t="str">
        <v>500مجم</v>
      </c>
      <c r="G50" t="str">
        <v>pfizer</v>
      </c>
      <c r="H50" t="str">
        <v>مضادات حيوية ومضادات بكتيرية</v>
      </c>
      <c r="I50" t="str">
        <v>رف B1 - مضادات حيوية</v>
      </c>
      <c r="J50" t="str">
        <v>علبة</v>
      </c>
      <c r="K50">
        <v>160</v>
      </c>
      <c r="L50">
        <v>123.2</v>
      </c>
      <c r="M50">
        <v>20</v>
      </c>
      <c r="N50">
        <v>5</v>
      </c>
      <c r="O50" s="1">
        <f>K50-L50</f>
        <v>36.8</v>
      </c>
      <c r="P50" s="2">
        <f>IF(L50&gt;0,O50/L50,0)</f>
        <v>0.2987</v>
      </c>
      <c r="Q50" s="1">
        <f>L50*M50</f>
        <v>2464</v>
      </c>
      <c r="R50" s="1">
        <f>K50*M50</f>
        <v>3200</v>
      </c>
      <c r="S50" s="1">
        <f>R50-Q50</f>
        <v>736</v>
      </c>
      <c r="T50" t="str">
        <f>IF(M50=0,"نافد",IF(M50&lt;=N50,"قرب ينفد","متوفر"))</f>
        <v>متوفر</v>
      </c>
      <c r="U50" t="str">
        <v>فموي (Oral)</v>
      </c>
      <c r="V50" t="str">
        <v>فئة B (آمن إلى حد كبير)</v>
      </c>
      <c r="W50" t="str">
        <v>نعم</v>
      </c>
      <c r="X50" t="str">
        <v>لا</v>
      </c>
      <c r="Y50" t="str">
        <v>روشتة طبية (Rx)</v>
      </c>
      <c r="Z50">
        <v>1</v>
      </c>
      <c r="AA50">
        <v>0</v>
      </c>
      <c r="AB50" t="str">
        <v>MED-0212</v>
      </c>
    </row>
    <row r="51">
      <c r="A51">
        <v>48</v>
      </c>
      <c r="B51" t="str">
        <v>6221032333544</v>
      </c>
      <c r="C51" t="str">
        <v>سيبروسين 0.3% نقط للعين 5مل (ciprocin 0.3% eye/ear drops 5 ml)</v>
      </c>
      <c r="D51" t="str">
        <v>ciprofloxacin</v>
      </c>
      <c r="E51" t="str">
        <v>نقط (فم / عين / أذن)</v>
      </c>
      <c r="F51" t="str">
        <v>0.3%</v>
      </c>
      <c r="G51" t="str">
        <v>eipico</v>
      </c>
      <c r="H51" t="str">
        <v>مضادات حيوية ومضادات بكتيرية</v>
      </c>
      <c r="I51" t="str">
        <v>رف B1 - مضادات حيوية</v>
      </c>
      <c r="J51" t="str">
        <v>قطعة</v>
      </c>
      <c r="K51">
        <v>21</v>
      </c>
      <c r="L51">
        <v>16.17</v>
      </c>
      <c r="M51">
        <v>20</v>
      </c>
      <c r="N51">
        <v>5</v>
      </c>
      <c r="O51" s="1">
        <f>K51-L51</f>
        <v>4.83</v>
      </c>
      <c r="P51" s="2">
        <f>IF(L51&gt;0,O51/L51,0)</f>
        <v>0.2987</v>
      </c>
      <c r="Q51" s="1">
        <f>L51*M51</f>
        <v>323.4</v>
      </c>
      <c r="R51" s="1">
        <f>K51*M51</f>
        <v>420</v>
      </c>
      <c r="S51" s="1">
        <f>R51-Q51</f>
        <v>96.6</v>
      </c>
      <c r="T51" t="str">
        <f>IF(M51=0,"نافد",IF(M51&lt;=N51,"قرب ينفد","متوفر"))</f>
        <v>متوفر</v>
      </c>
      <c r="U51" t="str">
        <v>قطرة عين / أذن (Drops)</v>
      </c>
      <c r="V51" t="str">
        <v>فئة B (آمن إلى حد كبير)</v>
      </c>
      <c r="W51" t="str">
        <v>نعم</v>
      </c>
      <c r="X51" t="str">
        <v>لا</v>
      </c>
      <c r="Y51" t="str">
        <v>روشتة طبية (Rx)</v>
      </c>
      <c r="Z51">
        <v>1</v>
      </c>
      <c r="AA51">
        <v>0</v>
      </c>
      <c r="AB51" t="str">
        <v>MED-0213</v>
      </c>
    </row>
    <row r="52">
      <c r="A52">
        <v>49</v>
      </c>
      <c r="B52" t="str">
        <v>6220001013500</v>
      </c>
      <c r="C52" t="str">
        <v>سيبروسين 10مجم/مل 20 مل فيال (ciprocin 10mg/ml (20ml) vial)</v>
      </c>
      <c r="D52" t="str">
        <v>ciprofloxacin</v>
      </c>
      <c r="E52" t="str">
        <v>حقن</v>
      </c>
      <c r="F52" t="str">
        <v>10مجم</v>
      </c>
      <c r="G52" t="str">
        <v>eipico</v>
      </c>
      <c r="H52" t="str">
        <v>مضادات حيوية ومضادات بكتيرية</v>
      </c>
      <c r="I52" t="str">
        <v>رف B1 - مضادات حيوية</v>
      </c>
      <c r="J52" t="str">
        <v>قطعة</v>
      </c>
      <c r="K52">
        <v>15</v>
      </c>
      <c r="L52">
        <v>11.55</v>
      </c>
      <c r="M52">
        <v>20</v>
      </c>
      <c r="N52">
        <v>5</v>
      </c>
      <c r="O52" s="1">
        <f>K52-L52</f>
        <v>3.45</v>
      </c>
      <c r="P52" s="2">
        <f>IF(L52&gt;0,O52/L52,0)</f>
        <v>0.2987</v>
      </c>
      <c r="Q52" s="1">
        <f>L52*M52</f>
        <v>231</v>
      </c>
      <c r="R52" s="1">
        <f>K52*M52</f>
        <v>300</v>
      </c>
      <c r="S52" s="1">
        <f>R52-Q52</f>
        <v>69</v>
      </c>
      <c r="T52" t="str">
        <f>IF(M52=0,"نافد",IF(M52&lt;=N52,"قرب ينفد","متوفر"))</f>
        <v>متوفر</v>
      </c>
      <c r="U52" t="str">
        <v>حقن عضل / وريد (Parenteral)</v>
      </c>
      <c r="V52" t="str">
        <v>فئة B (آمن إلى حد كبير)</v>
      </c>
      <c r="W52" t="str">
        <v>نعم</v>
      </c>
      <c r="X52" t="str">
        <v>لا</v>
      </c>
      <c r="Y52" t="str">
        <v>روشتة طبية (Rx)</v>
      </c>
      <c r="Z52">
        <v>1</v>
      </c>
      <c r="AA52">
        <v>0</v>
      </c>
      <c r="AB52" t="str">
        <v>MED-0214</v>
      </c>
    </row>
    <row r="53">
      <c r="A53">
        <v>50</v>
      </c>
      <c r="B53" t="str">
        <v>6220001013524</v>
      </c>
      <c r="C53" t="str">
        <v>سيبروسين 10مجم/مل 40 مل فيال (ciprocin 10mg/ml (40ml) vial)</v>
      </c>
      <c r="D53" t="str">
        <v>ciprofloxacin</v>
      </c>
      <c r="E53" t="str">
        <v>حقن</v>
      </c>
      <c r="F53" t="str">
        <v>10مجم</v>
      </c>
      <c r="G53" t="str">
        <v>eipico</v>
      </c>
      <c r="H53" t="str">
        <v>مضادات حيوية ومضادات بكتيرية</v>
      </c>
      <c r="I53" t="str">
        <v>رف B1 - مضادات حيوية</v>
      </c>
      <c r="J53" t="str">
        <v>قطعة</v>
      </c>
      <c r="K53">
        <v>21.6</v>
      </c>
      <c r="L53">
        <v>16.63</v>
      </c>
      <c r="M53">
        <v>20</v>
      </c>
      <c r="N53">
        <v>5</v>
      </c>
      <c r="O53" s="1">
        <f>K53-L53</f>
        <v>4.97</v>
      </c>
      <c r="P53" s="2">
        <f>IF(L53&gt;0,O53/L53,0)</f>
        <v>0.2989</v>
      </c>
      <c r="Q53" s="1">
        <f>L53*M53</f>
        <v>332.6</v>
      </c>
      <c r="R53" s="1">
        <f>K53*M53</f>
        <v>432</v>
      </c>
      <c r="S53" s="1">
        <f>R53-Q53</f>
        <v>99.4</v>
      </c>
      <c r="T53" t="str">
        <f>IF(M53=0,"نافد",IF(M53&lt;=N53,"قرب ينفد","متوفر"))</f>
        <v>متوفر</v>
      </c>
      <c r="U53" t="str">
        <v>حقن عضل / وريد (Parenteral)</v>
      </c>
      <c r="V53" t="str">
        <v>فئة B (آمن إلى حد كبير)</v>
      </c>
      <c r="W53" t="str">
        <v>نعم</v>
      </c>
      <c r="X53" t="str">
        <v>لا</v>
      </c>
      <c r="Y53" t="str">
        <v>روشتة طبية (Rx)</v>
      </c>
      <c r="Z53">
        <v>1</v>
      </c>
      <c r="AA53">
        <v>0</v>
      </c>
      <c r="AB53" t="str">
        <v>MED-0215</v>
      </c>
    </row>
    <row r="54">
      <c r="A54">
        <v>51</v>
      </c>
      <c r="B54" t="str">
        <v>6221032115591</v>
      </c>
      <c r="C54" t="str">
        <v>سيبروسين 500مجم 10 اقراص (ciprocin 500mg 10 f.c.tab)</v>
      </c>
      <c r="D54" t="str">
        <v>ciprofloxacin</v>
      </c>
      <c r="E54" t="str">
        <v>أقراص</v>
      </c>
      <c r="F54" t="str">
        <v>500مجم</v>
      </c>
      <c r="G54" t="str">
        <v>eipico</v>
      </c>
      <c r="H54" t="str">
        <v>مضادات حيوية ومضادات بكتيرية</v>
      </c>
      <c r="I54" t="str">
        <v>رف B1 - مضادات حيوية</v>
      </c>
      <c r="J54" t="str">
        <v>علبة</v>
      </c>
      <c r="K54">
        <v>53</v>
      </c>
      <c r="L54">
        <v>40.81</v>
      </c>
      <c r="M54">
        <v>20</v>
      </c>
      <c r="N54">
        <v>5</v>
      </c>
      <c r="O54" s="1">
        <f>K54-L54</f>
        <v>12.19</v>
      </c>
      <c r="P54" s="2">
        <f>IF(L54&gt;0,O54/L54,0)</f>
        <v>0.2987</v>
      </c>
      <c r="Q54" s="1">
        <f>L54*M54</f>
        <v>816.2</v>
      </c>
      <c r="R54" s="1">
        <f>K54*M54</f>
        <v>1060</v>
      </c>
      <c r="S54" s="1">
        <f>R54-Q54</f>
        <v>243.8</v>
      </c>
      <c r="T54" t="str">
        <f>IF(M54=0,"نافد",IF(M54&lt;=N54,"قرب ينفد","متوفر"))</f>
        <v>متوفر</v>
      </c>
      <c r="U54" t="str">
        <v>فموي (Oral)</v>
      </c>
      <c r="V54" t="str">
        <v>فئة B (آمن إلى حد كبير)</v>
      </c>
      <c r="W54" t="str">
        <v>نعم</v>
      </c>
      <c r="X54" t="str">
        <v>لا</v>
      </c>
      <c r="Y54" t="str">
        <v>روشتة طبية (Rx)</v>
      </c>
      <c r="Z54">
        <v>1</v>
      </c>
      <c r="AA54">
        <v>0</v>
      </c>
      <c r="AB54" t="str">
        <v>MED-0216</v>
      </c>
    </row>
    <row r="55">
      <c r="A55">
        <v>52</v>
      </c>
      <c r="B55" t="str">
        <v>6221032340023</v>
      </c>
      <c r="C55" t="str">
        <v>سيبروسين مرهم للعين 5 جم (ciprocin 0.3% eye oint. 5 gm)</v>
      </c>
      <c r="D55" t="str">
        <v>ciprofloxacin</v>
      </c>
      <c r="E55" t="str">
        <v>مرهم</v>
      </c>
      <c r="F55" t="str">
        <v>0.3%</v>
      </c>
      <c r="G55" t="str">
        <v>eipico</v>
      </c>
      <c r="H55" t="str">
        <v>مضادات حيوية ومضادات بكتيرية</v>
      </c>
      <c r="I55" t="str">
        <v>رف B1 - مضادات حيوية</v>
      </c>
      <c r="J55" t="str">
        <v>قطعة</v>
      </c>
      <c r="K55">
        <v>21</v>
      </c>
      <c r="L55">
        <v>16.17</v>
      </c>
      <c r="M55">
        <v>20</v>
      </c>
      <c r="N55">
        <v>5</v>
      </c>
      <c r="O55" s="1">
        <f>K55-L55</f>
        <v>4.83</v>
      </c>
      <c r="P55" s="2">
        <f>IF(L55&gt;0,O55/L55,0)</f>
        <v>0.2987</v>
      </c>
      <c r="Q55" s="1">
        <f>L55*M55</f>
        <v>323.4</v>
      </c>
      <c r="R55" s="1">
        <f>K55*M55</f>
        <v>420</v>
      </c>
      <c r="S55" s="1">
        <f>R55-Q55</f>
        <v>96.6</v>
      </c>
      <c r="T55" t="str">
        <f>IF(M55=0,"نافد",IF(M55&lt;=N55,"قرب ينفد","متوفر"))</f>
        <v>متوفر</v>
      </c>
      <c r="U55" t="str">
        <v>موضعي (Topical)</v>
      </c>
      <c r="V55" t="str">
        <v>فئة B (آمن إلى حد كبير)</v>
      </c>
      <c r="W55" t="str">
        <v>نعم</v>
      </c>
      <c r="X55" t="str">
        <v>لا</v>
      </c>
      <c r="Y55" t="str">
        <v>روشتة طبية (Rx)</v>
      </c>
      <c r="Z55">
        <v>1</v>
      </c>
      <c r="AA55">
        <v>0</v>
      </c>
      <c r="AB55" t="str">
        <v>MED-0217</v>
      </c>
    </row>
    <row r="56">
      <c r="A56">
        <v>53</v>
      </c>
      <c r="B56" t="str">
        <v>6221032115393</v>
      </c>
      <c r="C56" t="str">
        <v>سيبروسين 750مجم 10 اقراص (ciprocin 750mg 10 f.c. tab)</v>
      </c>
      <c r="D56" t="str">
        <v>ciprofloxacin</v>
      </c>
      <c r="E56" t="str">
        <v>أقراص</v>
      </c>
      <c r="F56" t="str">
        <v>750مجم</v>
      </c>
      <c r="G56" t="str">
        <v>eipico</v>
      </c>
      <c r="H56" t="str">
        <v>مضادات حيوية ومضادات بكتيرية</v>
      </c>
      <c r="I56" t="str">
        <v>رف B1 - مضادات حيوية</v>
      </c>
      <c r="J56" t="str">
        <v>علبة</v>
      </c>
      <c r="K56">
        <v>68.5</v>
      </c>
      <c r="L56">
        <v>52.75</v>
      </c>
      <c r="M56">
        <v>20</v>
      </c>
      <c r="N56">
        <v>5</v>
      </c>
      <c r="O56" s="1">
        <f>K56-L56</f>
        <v>15.75</v>
      </c>
      <c r="P56" s="2">
        <f>IF(L56&gt;0,O56/L56,0)</f>
        <v>0.2986</v>
      </c>
      <c r="Q56" s="1">
        <f>L56*M56</f>
        <v>1055</v>
      </c>
      <c r="R56" s="1">
        <f>K56*M56</f>
        <v>1370</v>
      </c>
      <c r="S56" s="1">
        <f>R56-Q56</f>
        <v>315</v>
      </c>
      <c r="T56" t="str">
        <f>IF(M56=0,"نافد",IF(M56&lt;=N56,"قرب ينفد","متوفر"))</f>
        <v>متوفر</v>
      </c>
      <c r="U56" t="str">
        <v>فموي (Oral)</v>
      </c>
      <c r="V56" t="str">
        <v>فئة B (آمن إلى حد كبير)</v>
      </c>
      <c r="W56" t="str">
        <v>نعم</v>
      </c>
      <c r="X56" t="str">
        <v>لا</v>
      </c>
      <c r="Y56" t="str">
        <v>روشتة طبية (Rx)</v>
      </c>
      <c r="Z56">
        <v>2</v>
      </c>
      <c r="AA56">
        <v>0</v>
      </c>
      <c r="AB56" t="str">
        <v>MED-0218</v>
      </c>
    </row>
    <row r="57">
      <c r="A57">
        <v>54</v>
      </c>
      <c r="B57" t="str">
        <v>6221032115584</v>
      </c>
      <c r="C57" t="str">
        <v>سيبروسين 250مجم 10 قرص (ciprocin 250mg 10 f.c. tab)</v>
      </c>
      <c r="D57" t="str">
        <v>ciprofloxacin</v>
      </c>
      <c r="E57" t="str">
        <v>أقراص</v>
      </c>
      <c r="F57" t="str">
        <v>250مجم</v>
      </c>
      <c r="G57" t="str">
        <v>eipico</v>
      </c>
      <c r="H57" t="str">
        <v>مضادات حيوية ومضادات بكتيرية</v>
      </c>
      <c r="I57" t="str">
        <v>رف B1 - مضادات حيوية</v>
      </c>
      <c r="J57" t="str">
        <v>علبة</v>
      </c>
      <c r="K57">
        <v>37</v>
      </c>
      <c r="L57">
        <v>28.49</v>
      </c>
      <c r="M57">
        <v>20</v>
      </c>
      <c r="N57">
        <v>5</v>
      </c>
      <c r="O57" s="1">
        <f>K57-L57</f>
        <v>8.51</v>
      </c>
      <c r="P57" s="2">
        <f>IF(L57&gt;0,O57/L57,0)</f>
        <v>0.2987</v>
      </c>
      <c r="Q57" s="1">
        <f>L57*M57</f>
        <v>569.8</v>
      </c>
      <c r="R57" s="1">
        <f>K57*M57</f>
        <v>740</v>
      </c>
      <c r="S57" s="1">
        <f>R57-Q57</f>
        <v>170.2</v>
      </c>
      <c r="T57" t="str">
        <f>IF(M57=0,"نافد",IF(M57&lt;=N57,"قرب ينفد","متوفر"))</f>
        <v>متوفر</v>
      </c>
      <c r="U57" t="str">
        <v>فموي (Oral)</v>
      </c>
      <c r="V57" t="str">
        <v>فئة B (آمن إلى حد كبير)</v>
      </c>
      <c r="W57" t="str">
        <v>نعم</v>
      </c>
      <c r="X57" t="str">
        <v>لا</v>
      </c>
      <c r="Y57" t="str">
        <v>روشتة طبية (Rx)</v>
      </c>
      <c r="Z57">
        <v>1</v>
      </c>
      <c r="AA57">
        <v>0</v>
      </c>
      <c r="AB57" t="str">
        <v>MED-0219</v>
      </c>
    </row>
    <row r="58">
      <c r="A58">
        <v>55</v>
      </c>
      <c r="B58" t="str">
        <v>6220001065554</v>
      </c>
      <c r="C58" t="str">
        <v>سيبروسينورو 200مجم / 100 مل فيال (ciprocinoro 200mg/100ml i.v. vial)</v>
      </c>
      <c r="D58" t="str">
        <v>ciprofloxacin</v>
      </c>
      <c r="E58" t="str">
        <v>حقن</v>
      </c>
      <c r="F58" t="str">
        <v>200مجم</v>
      </c>
      <c r="G58" t="str">
        <v>pharco b &gt; european egyptian pharm. ind.</v>
      </c>
      <c r="H58" t="str">
        <v>مضادات حيوية ومضادات بكتيرية</v>
      </c>
      <c r="I58" t="str">
        <v>رف B1 - مضادات حيوية</v>
      </c>
      <c r="J58" t="str">
        <v>قطعة</v>
      </c>
      <c r="K58">
        <v>27</v>
      </c>
      <c r="L58">
        <v>20.79</v>
      </c>
      <c r="M58">
        <v>20</v>
      </c>
      <c r="N58">
        <v>5</v>
      </c>
      <c r="O58" s="1">
        <f>K58-L58</f>
        <v>6.21</v>
      </c>
      <c r="P58" s="2">
        <f>IF(L58&gt;0,O58/L58,0)</f>
        <v>0.2987</v>
      </c>
      <c r="Q58" s="1">
        <f>L58*M58</f>
        <v>415.8</v>
      </c>
      <c r="R58" s="1">
        <f>K58*M58</f>
        <v>540</v>
      </c>
      <c r="S58" s="1">
        <f>R58-Q58</f>
        <v>124.2</v>
      </c>
      <c r="T58" t="str">
        <f>IF(M58=0,"نافد",IF(M58&lt;=N58,"قرب ينفد","متوفر"))</f>
        <v>متوفر</v>
      </c>
      <c r="U58" t="str">
        <v>حقن عضل / وريد (Parenteral)</v>
      </c>
      <c r="V58" t="str">
        <v>فئة B (آمن إلى حد كبير)</v>
      </c>
      <c r="W58" t="str">
        <v>نعم</v>
      </c>
      <c r="X58" t="str">
        <v>لا</v>
      </c>
      <c r="Y58" t="str">
        <v>روشتة طبية (Rx)</v>
      </c>
      <c r="Z58">
        <v>1</v>
      </c>
      <c r="AA58">
        <v>0</v>
      </c>
      <c r="AB58" t="str">
        <v>MED-0220</v>
      </c>
    </row>
    <row r="59">
      <c r="A59" t="str">
        <v>الإجمالي</v>
      </c>
      <c r="B59" t="str">
        <v>عدد الأصناف: 55</v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s="1">
        <f>AVERAGE(K4:K58)</f>
        <v>85.3</v>
      </c>
      <c r="L59" s="1">
        <f>AVERAGE(L4:L58)</f>
        <v>65.68</v>
      </c>
      <c r="M59" s="3">
        <f>SUM(M4:M58)</f>
        <v>1100</v>
      </c>
      <c r="N59" s="3">
        <f>SUM(N4:N58)</f>
        <v>275</v>
      </c>
      <c r="O59" s="1">
        <f>AVERAGE(O4:O58)</f>
        <v>19.62</v>
      </c>
      <c r="P59" s="2">
        <f>AVERAGE(P4:P58)</f>
        <v>0.2987</v>
      </c>
      <c r="Q59" s="1">
        <f>SUM(Q4:Q58)</f>
        <v>72248</v>
      </c>
      <c r="R59" s="1">
        <f>SUM(R4:R58)</f>
        <v>93830</v>
      </c>
      <c r="S59" s="1">
        <f>SUM(S4:S58)</f>
        <v>21582</v>
      </c>
      <c r="T59" t="str">
        <v>محسوب بمعادلات إكسل</v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/>
      </c>
      <c r="AA59" t="str">
        <v/>
      </c>
      <c r="AB59" t="str">
        <v/>
      </c>
    </row>
  </sheetData>
  <mergeCells count="2">
    <mergeCell ref="A1:AB1"/>
    <mergeCell ref="A2:AB2"/>
  </mergeCells>
  <ignoredErrors>
    <ignoredError numberStoredAsText="1" sqref="A1:AB5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B59"/>
  <sheetViews>
    <sheetView workbookViewId="0"/>
  </sheetViews>
  <cols>
    <col min="1" max="1" width="6.83203125" customWidth="1"/>
    <col min="2" max="2" width="18.83203125" customWidth="1"/>
    <col min="3" max="3" width="45.83203125" customWidth="1"/>
    <col min="4" max="4" width="42.83203125" customWidth="1"/>
    <col min="5" max="5" width="18.83203125" customWidth="1"/>
    <col min="6" max="6" width="16.83203125" customWidth="1"/>
    <col min="7" max="7" width="25.83203125" customWidth="1"/>
    <col min="8" max="8" width="32.83203125" customWidth="1"/>
    <col min="9" max="9" width="24.83203125" customWidth="1"/>
    <col min="10" max="10" width="16.83203125" customWidth="1"/>
    <col min="11" max="11" width="18.83203125" customWidth="1"/>
    <col min="12" max="12" width="18.83203125" customWidth="1"/>
    <col min="13" max="13" width="16.83203125" customWidth="1"/>
    <col min="14" max="14" width="16.83203125" customWidth="1"/>
    <col min="15" max="15" width="16.83203125" customWidth="1"/>
    <col min="16" max="16" width="14.83203125" customWidth="1"/>
    <col min="17" max="17" width="18.83203125" customWidth="1"/>
    <col min="18" max="18" width="18.83203125" customWidth="1"/>
    <col min="19" max="19" width="18.83203125" customWidth="1"/>
    <col min="20" max="20" width="16.83203125" customWidth="1"/>
    <col min="21" max="21" width="22.83203125" customWidth="1"/>
    <col min="22" max="22" width="24.83203125" customWidth="1"/>
    <col min="23" max="23" width="15.83203125" customWidth="1"/>
    <col min="24" max="24" width="18.83203125" customWidth="1"/>
    <col min="25" max="25" width="18.83203125" customWidth="1"/>
    <col min="26" max="26" width="18.83203125" customWidth="1"/>
    <col min="27" max="27" width="14.83203125" customWidth="1"/>
    <col min="28" max="28" width="16.83203125" customWidth="1"/>
  </cols>
  <sheetData>
    <row r="1">
      <c r="A1" t="str">
        <v>رفيق POS - قائمة أصناف قسم: [أدوية الجهاز الهضمي والمعدة والكبد]</v>
      </c>
    </row>
    <row r="2">
      <c r="A2" t="str">
        <v>تعليمات هامة: الأعمدة المميزة بنجمة (*) إلزامية | يتضمن النموذج كافة البيانات السريرية والصيدلية المعتمدة | المعادلات المالية والمخزنية تتحدث تلقائياً</v>
      </c>
    </row>
    <row r="3">
      <c r="A3" t="str">
        <v>م</v>
      </c>
      <c r="B3" t="str">
        <v>باركود الدواء *</v>
      </c>
      <c r="C3" t="str">
        <v>الاسم التجاري (عربي / إنجليزي) *</v>
      </c>
      <c r="D3" t="str">
        <v>الاسم العلمي (المادة الفعالة والتركيبة) *</v>
      </c>
      <c r="E3" t="str">
        <v>الشكل الدوائي (Dosage Form)</v>
      </c>
      <c r="F3" t="str">
        <v>التركيز والحجم</v>
      </c>
      <c r="G3" t="str">
        <v>الشركة المصنعة (Manufacturer)</v>
      </c>
      <c r="H3" t="str">
        <v>المجموعة العلاجية (Therapeutic Class)</v>
      </c>
      <c r="I3" t="str">
        <v>مكان التخزين / الرف / الدرج</v>
      </c>
      <c r="J3" t="str">
        <v>الوحدة الأساسية (علبة / قطعة)</v>
      </c>
      <c r="K3" t="str">
        <v>سعر الجمهور الرسمي (ج.م) *</v>
      </c>
      <c r="L3" t="str">
        <v>سعر التكلفة / الشراء (ج.م) *</v>
      </c>
      <c r="M3" t="str">
        <v>الرصيد الافتتاحي (علب)</v>
      </c>
      <c r="N3" t="str">
        <v>حد الطلب الأدنى</v>
      </c>
      <c r="O3" t="str">
        <v>هامش ربح العلبة (ج.م)</v>
      </c>
      <c r="P3" t="str">
        <v>نسبة الربح (%)</v>
      </c>
      <c r="Q3" t="str">
        <v>إجمالي قيمة التكلفة (ج.م)</v>
      </c>
      <c r="R3" t="str">
        <v>إجمالي القيمة البيعية (ج.م)</v>
      </c>
      <c r="S3" t="str">
        <v>إجمالي الربح المتوقع (ج.م)</v>
      </c>
      <c r="T3" t="str">
        <v>حالة المخزون التلقائية</v>
      </c>
      <c r="U3" t="str">
        <v>طريقة الاستخدام (Route)</v>
      </c>
      <c r="V3" t="str">
        <v>فئة أمان الحمل والرضاعة</v>
      </c>
      <c r="W3" t="str">
        <v>مضاد حيوي (نعم / لا)</v>
      </c>
      <c r="X3" t="str">
        <v>سلسلة التبريد / ثلاجة (نعم / لا)</v>
      </c>
      <c r="Y3" t="str">
        <v>نوع الوصفة والصرف (Rx Status)</v>
      </c>
      <c r="Z3" t="str">
        <v>عدد الوحدات / الأشرطة بالعلبة</v>
      </c>
      <c r="AA3" t="str">
        <v>نسبة الضريبة (%)</v>
      </c>
      <c r="AB3" t="str">
        <v>كود الصنف الداخلي (SKU)</v>
      </c>
    </row>
    <row r="4">
      <c r="A4">
        <v>1</v>
      </c>
      <c r="B4" t="str">
        <v>6220001004157</v>
      </c>
      <c r="C4" t="str">
        <v>فولبرازال 40مجم 20 كبسولة (fulprazal 40 mg 20 caps)</v>
      </c>
      <c r="D4" t="str">
        <v>esomeprazole</v>
      </c>
      <c r="E4" t="str">
        <v>كبسولات</v>
      </c>
      <c r="F4" t="str">
        <v>40مجم</v>
      </c>
      <c r="G4" t="str">
        <v>averroes pharma</v>
      </c>
      <c r="H4" t="str">
        <v>أدوية المعدة والحموضة ومثبطات مضخة البروتون</v>
      </c>
      <c r="I4" t="str">
        <v>رف E1 - جهاز هضمي ومعدة</v>
      </c>
      <c r="J4" t="str">
        <v>علبة</v>
      </c>
      <c r="K4">
        <v>168</v>
      </c>
      <c r="L4">
        <v>129.36</v>
      </c>
      <c r="M4">
        <v>20</v>
      </c>
      <c r="N4">
        <v>5</v>
      </c>
      <c r="O4" s="1">
        <f>K4-L4</f>
        <v>38.64</v>
      </c>
      <c r="P4" s="2">
        <f>IF(L4&gt;0,O4/L4,0)</f>
        <v>0.2987</v>
      </c>
      <c r="Q4" s="1">
        <f>L4*M4</f>
        <v>2587.2</v>
      </c>
      <c r="R4" s="1">
        <f>K4*M4</f>
        <v>3360</v>
      </c>
      <c r="S4" s="1">
        <f>R4-Q4</f>
        <v>772.8</v>
      </c>
      <c r="T4" t="str">
        <f>IF(M4=0,"نافد",IF(M4&lt;=N4,"قرب ينفد","متوفر"))</f>
        <v>متوفر</v>
      </c>
      <c r="U4" t="str">
        <v>فموي (Oral)</v>
      </c>
      <c r="V4" t="str">
        <v>فئة B (آمن إلى حد كبير)</v>
      </c>
      <c r="W4" t="str">
        <v>لا</v>
      </c>
      <c r="X4" t="str">
        <v>لا</v>
      </c>
      <c r="Y4" t="str">
        <v>صرف مباشر (OTC)</v>
      </c>
      <c r="Z4">
        <v>2</v>
      </c>
      <c r="AA4">
        <v>0</v>
      </c>
      <c r="AB4" t="str">
        <v>MED-0221</v>
      </c>
    </row>
    <row r="5">
      <c r="A5">
        <v>2</v>
      </c>
      <c r="B5" t="str">
        <v>6220001008582</v>
      </c>
      <c r="C5" t="str">
        <v>بيورازو 20 مجم 7 كبسولات (biorazo 20mg 7 caps.)</v>
      </c>
      <c r="D5" t="str">
        <v>esomeprazole</v>
      </c>
      <c r="E5" t="str">
        <v>كبسولات</v>
      </c>
      <c r="F5" t="str">
        <v>20 مجم</v>
      </c>
      <c r="G5" t="str">
        <v>biopharm egypt &gt; saja pharmaceuticals</v>
      </c>
      <c r="H5" t="str">
        <v>أدوية المعدة والحموضة ومثبطات مضخة البروتون</v>
      </c>
      <c r="I5" t="str">
        <v>رف E1 - جهاز هضمي ومعدة</v>
      </c>
      <c r="J5" t="str">
        <v>علبة</v>
      </c>
      <c r="K5">
        <v>13</v>
      </c>
      <c r="L5">
        <v>10.01</v>
      </c>
      <c r="M5">
        <v>20</v>
      </c>
      <c r="N5">
        <v>5</v>
      </c>
      <c r="O5" s="1">
        <f>K5-L5</f>
        <v>2.99</v>
      </c>
      <c r="P5" s="2">
        <f>IF(L5&gt;0,O5/L5,0)</f>
        <v>0.2987</v>
      </c>
      <c r="Q5" s="1">
        <f>L5*M5</f>
        <v>200.2</v>
      </c>
      <c r="R5" s="1">
        <f>K5*M5</f>
        <v>260</v>
      </c>
      <c r="S5" s="1">
        <f>R5-Q5</f>
        <v>59.8</v>
      </c>
      <c r="T5" t="str">
        <f>IF(M5=0,"نافد",IF(M5&lt;=N5,"قرب ينفد","متوفر"))</f>
        <v>متوفر</v>
      </c>
      <c r="U5" t="str">
        <v>فموي (Oral)</v>
      </c>
      <c r="V5" t="str">
        <v>فئة B (آمن إلى حد كبير)</v>
      </c>
      <c r="W5" t="str">
        <v>لا</v>
      </c>
      <c r="X5" t="str">
        <v>لا</v>
      </c>
      <c r="Y5" t="str">
        <v>صرف مباشر (OTC)</v>
      </c>
      <c r="Z5">
        <v>1</v>
      </c>
      <c r="AA5">
        <v>0</v>
      </c>
      <c r="AB5" t="str">
        <v>MED-0222</v>
      </c>
    </row>
    <row r="6">
      <c r="A6">
        <v>3</v>
      </c>
      <c r="B6" t="str">
        <v>6224008407720</v>
      </c>
      <c r="C6" t="str">
        <v>نيكسيكيور 2.5مجم 28 كيس (nexicure 2.5mg 28 sachets)</v>
      </c>
      <c r="D6" t="str">
        <v>esomeprazole</v>
      </c>
      <c r="E6" t="str">
        <v>أكياس بودرة</v>
      </c>
      <c r="F6" t="str">
        <v>2.5مجم</v>
      </c>
      <c r="G6" t="str">
        <v>atco pharma &gt; zeta pharm</v>
      </c>
      <c r="H6" t="str">
        <v>أدوية المعدة والحموضة ومثبطات مضخة البروتون</v>
      </c>
      <c r="I6" t="str">
        <v>رف E1 - جهاز هضمي ومعدة</v>
      </c>
      <c r="J6" t="str">
        <v>قطعة</v>
      </c>
      <c r="K6">
        <v>168</v>
      </c>
      <c r="L6">
        <v>129.36</v>
      </c>
      <c r="M6">
        <v>20</v>
      </c>
      <c r="N6">
        <v>5</v>
      </c>
      <c r="O6" s="1">
        <f>K6-L6</f>
        <v>38.64</v>
      </c>
      <c r="P6" s="2">
        <f>IF(L6&gt;0,O6/L6,0)</f>
        <v>0.2987</v>
      </c>
      <c r="Q6" s="1">
        <f>L6*M6</f>
        <v>2587.2</v>
      </c>
      <c r="R6" s="1">
        <f>K6*M6</f>
        <v>3360</v>
      </c>
      <c r="S6" s="1">
        <f>R6-Q6</f>
        <v>772.8</v>
      </c>
      <c r="T6" t="str">
        <f>IF(M6=0,"نافد",IF(M6&lt;=N6,"قرب ينفد","متوفر"))</f>
        <v>متوفر</v>
      </c>
      <c r="U6" t="str">
        <v>فموي (Oral)</v>
      </c>
      <c r="V6" t="str">
        <v>فئة B (آمن إلى حد كبير)</v>
      </c>
      <c r="W6" t="str">
        <v>لا</v>
      </c>
      <c r="X6" t="str">
        <v>لا</v>
      </c>
      <c r="Y6" t="str">
        <v>صرف مباشر (OTC)</v>
      </c>
      <c r="Z6">
        <v>28</v>
      </c>
      <c r="AA6">
        <v>0</v>
      </c>
      <c r="AB6" t="str">
        <v>MED-0223</v>
      </c>
    </row>
    <row r="7">
      <c r="A7">
        <v>4</v>
      </c>
      <c r="B7" t="str">
        <v>6220001010592</v>
      </c>
      <c r="C7" t="str">
        <v>رازوبامب 40 مجم 14 كبسولة (razopump 40 mg 14 del. rel. h.g. caps)</v>
      </c>
      <c r="D7" t="str">
        <v>esomeprazole</v>
      </c>
      <c r="E7" t="str">
        <v>كبسولات</v>
      </c>
      <c r="F7" t="str">
        <v>40 مجم</v>
      </c>
      <c r="G7" t="str">
        <v>pharma cure pharmaceuticals</v>
      </c>
      <c r="H7" t="str">
        <v>أدوية المعدة والحموضة ومثبطات مضخة البروتون</v>
      </c>
      <c r="I7" t="str">
        <v>رف E1 - جهاز هضمي ومعدة</v>
      </c>
      <c r="J7" t="str">
        <v>علبة</v>
      </c>
      <c r="K7">
        <v>138</v>
      </c>
      <c r="L7">
        <v>106.26</v>
      </c>
      <c r="M7">
        <v>20</v>
      </c>
      <c r="N7">
        <v>5</v>
      </c>
      <c r="O7" s="1">
        <f>K7-L7</f>
        <v>31.74</v>
      </c>
      <c r="P7" s="2">
        <f>IF(L7&gt;0,O7/L7,0)</f>
        <v>0.2987</v>
      </c>
      <c r="Q7" s="1">
        <f>L7*M7</f>
        <v>2125.2</v>
      </c>
      <c r="R7" s="1">
        <f>K7*M7</f>
        <v>2760</v>
      </c>
      <c r="S7" s="1">
        <f>R7-Q7</f>
        <v>634.8</v>
      </c>
      <c r="T7" t="str">
        <f>IF(M7=0,"نافد",IF(M7&lt;=N7,"قرب ينفد","متوفر"))</f>
        <v>متوفر</v>
      </c>
      <c r="U7" t="str">
        <v>فموي (Oral)</v>
      </c>
      <c r="V7" t="str">
        <v>فئة B (آمن إلى حد كبير)</v>
      </c>
      <c r="W7" t="str">
        <v>لا</v>
      </c>
      <c r="X7" t="str">
        <v>لا</v>
      </c>
      <c r="Y7" t="str">
        <v>صرف مباشر (OTC)</v>
      </c>
      <c r="Z7">
        <v>2</v>
      </c>
      <c r="AA7">
        <v>0</v>
      </c>
      <c r="AB7" t="str">
        <v>MED-0224</v>
      </c>
    </row>
    <row r="8">
      <c r="A8">
        <v>5</v>
      </c>
      <c r="B8" t="str">
        <v>6220001010608</v>
      </c>
      <c r="C8" t="str">
        <v>رازوبامب 20 مجم 14 كبسولة (razopump 20 mg 14 del. rel. h.g. caps)</v>
      </c>
      <c r="D8" t="str">
        <v>esomeprazole</v>
      </c>
      <c r="E8" t="str">
        <v>كبسولات</v>
      </c>
      <c r="F8" t="str">
        <v>20 مجم</v>
      </c>
      <c r="G8" t="str">
        <v>pharma cure pharmaceuticals</v>
      </c>
      <c r="H8" t="str">
        <v>أدوية المعدة والحموضة ومثبطات مضخة البروتون</v>
      </c>
      <c r="I8" t="str">
        <v>رف E1 - جهاز هضمي ومعدة</v>
      </c>
      <c r="J8" t="str">
        <v>علبة</v>
      </c>
      <c r="K8">
        <v>82</v>
      </c>
      <c r="L8">
        <v>63.14</v>
      </c>
      <c r="M8">
        <v>20</v>
      </c>
      <c r="N8">
        <v>5</v>
      </c>
      <c r="O8" s="1">
        <f>K8-L8</f>
        <v>18.86</v>
      </c>
      <c r="P8" s="2">
        <f>IF(L8&gt;0,O8/L8,0)</f>
        <v>0.2987</v>
      </c>
      <c r="Q8" s="1">
        <f>L8*M8</f>
        <v>1262.8</v>
      </c>
      <c r="R8" s="1">
        <f>K8*M8</f>
        <v>1640</v>
      </c>
      <c r="S8" s="1">
        <f>R8-Q8</f>
        <v>377.2</v>
      </c>
      <c r="T8" t="str">
        <f>IF(M8=0,"نافد",IF(M8&lt;=N8,"قرب ينفد","متوفر"))</f>
        <v>متوفر</v>
      </c>
      <c r="U8" t="str">
        <v>فموي (Oral)</v>
      </c>
      <c r="V8" t="str">
        <v>فئة B (آمن إلى حد كبير)</v>
      </c>
      <c r="W8" t="str">
        <v>لا</v>
      </c>
      <c r="X8" t="str">
        <v>لا</v>
      </c>
      <c r="Y8" t="str">
        <v>صرف مباشر (OTC)</v>
      </c>
      <c r="Z8">
        <v>2</v>
      </c>
      <c r="AA8">
        <v>0</v>
      </c>
      <c r="AB8" t="str">
        <v>MED-0225</v>
      </c>
    </row>
    <row r="9">
      <c r="A9">
        <v>6</v>
      </c>
      <c r="B9" t="str">
        <v>6224007706374</v>
      </c>
      <c r="C9" t="str">
        <v>سكورش 40مجم 30 كبسولة (scorch 40mg 30 caps)</v>
      </c>
      <c r="D9" t="str">
        <v>esomeprazole</v>
      </c>
      <c r="E9" t="str">
        <v>كبسولات</v>
      </c>
      <c r="F9" t="str">
        <v>40مجم</v>
      </c>
      <c r="G9" t="str">
        <v>hero pharm</v>
      </c>
      <c r="H9" t="str">
        <v>أدوية المعدة والحموضة ومثبطات مضخة البروتون</v>
      </c>
      <c r="I9" t="str">
        <v>رف E1 - جهاز هضمي ومعدة</v>
      </c>
      <c r="J9" t="str">
        <v>علبة</v>
      </c>
      <c r="K9">
        <v>189</v>
      </c>
      <c r="L9">
        <v>145.53</v>
      </c>
      <c r="M9">
        <v>20</v>
      </c>
      <c r="N9">
        <v>5</v>
      </c>
      <c r="O9" s="1">
        <f>K9-L9</f>
        <v>43.47</v>
      </c>
      <c r="P9" s="2">
        <f>IF(L9&gt;0,O9/L9,0)</f>
        <v>0.2987</v>
      </c>
      <c r="Q9" s="1">
        <f>L9*M9</f>
        <v>2910.6</v>
      </c>
      <c r="R9" s="1">
        <f>K9*M9</f>
        <v>3780</v>
      </c>
      <c r="S9" s="1">
        <f>R9-Q9</f>
        <v>869.4</v>
      </c>
      <c r="T9" t="str">
        <f>IF(M9=0,"نافد",IF(M9&lt;=N9,"قرب ينفد","متوفر"))</f>
        <v>متوفر</v>
      </c>
      <c r="U9" t="str">
        <v>فموي (Oral)</v>
      </c>
      <c r="V9" t="str">
        <v>فئة B (آمن إلى حد كبير)</v>
      </c>
      <c r="W9" t="str">
        <v>لا</v>
      </c>
      <c r="X9" t="str">
        <v>لا</v>
      </c>
      <c r="Y9" t="str">
        <v>صرف مباشر (OTC)</v>
      </c>
      <c r="Z9">
        <v>3</v>
      </c>
      <c r="AA9">
        <v>0</v>
      </c>
      <c r="AB9" t="str">
        <v>MED-0226</v>
      </c>
    </row>
    <row r="10">
      <c r="A10">
        <v>7</v>
      </c>
      <c r="B10" t="str">
        <v>6224008365723</v>
      </c>
      <c r="C10" t="str">
        <v>زاروبرازول 40/1100 مجم 28 كبسولة (zarroprazole 40/1100 mg 28 caps)</v>
      </c>
      <c r="D10" t="str">
        <v>omeprazole 40 mg sodium bicarbonate 1100 mg</v>
      </c>
      <c r="E10" t="str">
        <v>كبسولات</v>
      </c>
      <c r="F10" t="str">
        <v>1100 مجم</v>
      </c>
      <c r="G10" t="str">
        <v>globe international pharmaceutical</v>
      </c>
      <c r="H10" t="str">
        <v>أدوية المعدة والحموضة ومثبطات مضخة البروتون</v>
      </c>
      <c r="I10" t="str">
        <v>رف E1 - جهاز هضمي ومعدة</v>
      </c>
      <c r="J10" t="str">
        <v>علبة</v>
      </c>
      <c r="K10">
        <v>190</v>
      </c>
      <c r="L10">
        <v>146.3</v>
      </c>
      <c r="M10">
        <v>20</v>
      </c>
      <c r="N10">
        <v>5</v>
      </c>
      <c r="O10" s="1">
        <f>K10-L10</f>
        <v>43.7</v>
      </c>
      <c r="P10" s="2">
        <f>IF(L10&gt;0,O10/L10,0)</f>
        <v>0.2987</v>
      </c>
      <c r="Q10" s="1">
        <f>L10*M10</f>
        <v>2926</v>
      </c>
      <c r="R10" s="1">
        <f>K10*M10</f>
        <v>3800</v>
      </c>
      <c r="S10" s="1">
        <f>R10-Q10</f>
        <v>874</v>
      </c>
      <c r="T10" t="str">
        <f>IF(M10=0,"نافد",IF(M10&lt;=N10,"قرب ينفد","متوفر"))</f>
        <v>متوفر</v>
      </c>
      <c r="U10" t="str">
        <v>فموي (Oral)</v>
      </c>
      <c r="V10" t="str">
        <v>فئة B (آمن إلى حد كبير)</v>
      </c>
      <c r="W10" t="str">
        <v>لا</v>
      </c>
      <c r="X10" t="str">
        <v>لا</v>
      </c>
      <c r="Y10" t="str">
        <v>صرف مباشر (OTC)</v>
      </c>
      <c r="Z10">
        <v>28</v>
      </c>
      <c r="AA10">
        <v>0</v>
      </c>
      <c r="AB10" t="str">
        <v>MED-0227</v>
      </c>
    </row>
    <row r="11">
      <c r="A11">
        <v>8</v>
      </c>
      <c r="B11" t="str">
        <v>400408407041</v>
      </c>
      <c r="C11" t="str">
        <v>نيكسيكيور 5مجم 28 كيس (nexicure 5mg 28 sachets)</v>
      </c>
      <c r="D11" t="str">
        <v>esomeprazole</v>
      </c>
      <c r="E11" t="str">
        <v>أكياس بودرة</v>
      </c>
      <c r="F11" t="str">
        <v>5مجم</v>
      </c>
      <c r="G11" t="str">
        <v>atco pharma &gt; zeta pharm</v>
      </c>
      <c r="H11" t="str">
        <v>أدوية المعدة والحموضة ومثبطات مضخة البروتون</v>
      </c>
      <c r="I11" t="str">
        <v>رف E1 - جهاز هضمي ومعدة</v>
      </c>
      <c r="J11" t="str">
        <v>قطعة</v>
      </c>
      <c r="K11">
        <v>168</v>
      </c>
      <c r="L11">
        <v>129.36</v>
      </c>
      <c r="M11">
        <v>20</v>
      </c>
      <c r="N11">
        <v>5</v>
      </c>
      <c r="O11" s="1">
        <f>K11-L11</f>
        <v>38.64</v>
      </c>
      <c r="P11" s="2">
        <f>IF(L11&gt;0,O11/L11,0)</f>
        <v>0.2987</v>
      </c>
      <c r="Q11" s="1">
        <f>L11*M11</f>
        <v>2587.2</v>
      </c>
      <c r="R11" s="1">
        <f>K11*M11</f>
        <v>3360</v>
      </c>
      <c r="S11" s="1">
        <f>R11-Q11</f>
        <v>772.8</v>
      </c>
      <c r="T11" t="str">
        <f>IF(M11=0,"نافد",IF(M11&lt;=N11,"قرب ينفد","متوفر"))</f>
        <v>متوفر</v>
      </c>
      <c r="U11" t="str">
        <v>فموي (Oral)</v>
      </c>
      <c r="V11" t="str">
        <v>فئة B (آمن إلى حد كبير)</v>
      </c>
      <c r="W11" t="str">
        <v>لا</v>
      </c>
      <c r="X11" t="str">
        <v>لا</v>
      </c>
      <c r="Y11" t="str">
        <v>صرف مباشر (OTC)</v>
      </c>
      <c r="Z11">
        <v>28</v>
      </c>
      <c r="AA11">
        <v>0</v>
      </c>
      <c r="AB11" t="str">
        <v>MED-0228</v>
      </c>
    </row>
    <row r="12">
      <c r="A12">
        <v>9</v>
      </c>
      <c r="B12" t="str">
        <v>6224008407744</v>
      </c>
      <c r="C12" t="str">
        <v>نيكسيكيور 10مجم 14 كيس (nexicure 10mg 14 sachets)</v>
      </c>
      <c r="D12" t="str">
        <v>esomeprazole</v>
      </c>
      <c r="E12" t="str">
        <v>أكياس بودرة</v>
      </c>
      <c r="F12" t="str">
        <v>10مجم</v>
      </c>
      <c r="G12" t="str">
        <v>atco pharma &gt; zeta pharm</v>
      </c>
      <c r="H12" t="str">
        <v>أدوية المعدة والحموضة ومثبطات مضخة البروتون</v>
      </c>
      <c r="I12" t="str">
        <v>رف E1 - جهاز هضمي ومعدة</v>
      </c>
      <c r="J12" t="str">
        <v>قطعة</v>
      </c>
      <c r="K12">
        <v>140</v>
      </c>
      <c r="L12">
        <v>107.8</v>
      </c>
      <c r="M12">
        <v>20</v>
      </c>
      <c r="N12">
        <v>5</v>
      </c>
      <c r="O12" s="1">
        <f>K12-L12</f>
        <v>32.2</v>
      </c>
      <c r="P12" s="2">
        <f>IF(L12&gt;0,O12/L12,0)</f>
        <v>0.2987</v>
      </c>
      <c r="Q12" s="1">
        <f>L12*M12</f>
        <v>2156</v>
      </c>
      <c r="R12" s="1">
        <f>K12*M12</f>
        <v>2800</v>
      </c>
      <c r="S12" s="1">
        <f>R12-Q12</f>
        <v>644</v>
      </c>
      <c r="T12" t="str">
        <f>IF(M12=0,"نافد",IF(M12&lt;=N12,"قرب ينفد","متوفر"))</f>
        <v>متوفر</v>
      </c>
      <c r="U12" t="str">
        <v>فموي (Oral)</v>
      </c>
      <c r="V12" t="str">
        <v>فئة B (آمن إلى حد كبير)</v>
      </c>
      <c r="W12" t="str">
        <v>لا</v>
      </c>
      <c r="X12" t="str">
        <v>لا</v>
      </c>
      <c r="Y12" t="str">
        <v>صرف مباشر (OTC)</v>
      </c>
      <c r="Z12">
        <v>14</v>
      </c>
      <c r="AA12">
        <v>0</v>
      </c>
      <c r="AB12" t="str">
        <v>MED-0229</v>
      </c>
    </row>
    <row r="13">
      <c r="A13">
        <v>10</v>
      </c>
      <c r="B13" t="str">
        <v>6224009687039</v>
      </c>
      <c r="C13" t="str">
        <v>داونوبرازول 40/1100 مجم 14 كبسولة (downoprazol 40/1100mg 14 caps)</v>
      </c>
      <c r="D13" t="str">
        <v>omeprazole+sodium bicarbonate</v>
      </c>
      <c r="E13" t="str">
        <v>كبسولات</v>
      </c>
      <c r="F13" t="str">
        <v>1100 مجم</v>
      </c>
      <c r="G13" t="str">
        <v>medizen pharmaceutical industries &gt; utopia pharmaceuticals company</v>
      </c>
      <c r="H13" t="str">
        <v>أدوية المعدة والحموضة ومثبطات مضخة البروتون</v>
      </c>
      <c r="I13" t="str">
        <v>رف E1 - جهاز هضمي ومعدة</v>
      </c>
      <c r="J13" t="str">
        <v>علبة</v>
      </c>
      <c r="K13">
        <v>95</v>
      </c>
      <c r="L13">
        <v>73.15</v>
      </c>
      <c r="M13">
        <v>20</v>
      </c>
      <c r="N13">
        <v>5</v>
      </c>
      <c r="O13" s="1">
        <f>K13-L13</f>
        <v>21.85</v>
      </c>
      <c r="P13" s="2">
        <f>IF(L13&gt;0,O13/L13,0)</f>
        <v>0.2987</v>
      </c>
      <c r="Q13" s="1">
        <f>L13*M13</f>
        <v>1463</v>
      </c>
      <c r="R13" s="1">
        <f>K13*M13</f>
        <v>1900</v>
      </c>
      <c r="S13" s="1">
        <f>R13-Q13</f>
        <v>437</v>
      </c>
      <c r="T13" t="str">
        <f>IF(M13=0,"نافد",IF(M13&lt;=N13,"قرب ينفد","متوفر"))</f>
        <v>متوفر</v>
      </c>
      <c r="U13" t="str">
        <v>فموي (Oral)</v>
      </c>
      <c r="V13" t="str">
        <v>فئة C (بحذر وإشراف طبي)</v>
      </c>
      <c r="W13" t="str">
        <v>لا</v>
      </c>
      <c r="X13" t="str">
        <v>لا</v>
      </c>
      <c r="Y13" t="str">
        <v>صرف مباشر (OTC)</v>
      </c>
      <c r="Z13">
        <v>1</v>
      </c>
      <c r="AA13">
        <v>0</v>
      </c>
      <c r="AB13" t="str">
        <v>MED-0230</v>
      </c>
    </row>
    <row r="14">
      <c r="A14">
        <v>11</v>
      </c>
      <c r="B14" t="str">
        <v>6220001019366</v>
      </c>
      <c r="C14" t="str">
        <v>زونلوك 14 كبسولة (zonelock 14 capsules)</v>
      </c>
      <c r="D14" t="str">
        <v>esomeprazole</v>
      </c>
      <c r="E14" t="str">
        <v>كبسولات</v>
      </c>
      <c r="F14" t="str">
        <v>قياسي</v>
      </c>
      <c r="G14" t="str">
        <v>glasby egypt</v>
      </c>
      <c r="H14" t="str">
        <v>أدوية المعدة والحموضة ومثبطات مضخة البروتون</v>
      </c>
      <c r="I14" t="str">
        <v>رف E1 - جهاز هضمي ومعدة</v>
      </c>
      <c r="J14" t="str">
        <v>علبة</v>
      </c>
      <c r="K14">
        <v>176</v>
      </c>
      <c r="L14">
        <v>135.52</v>
      </c>
      <c r="M14">
        <v>20</v>
      </c>
      <c r="N14">
        <v>5</v>
      </c>
      <c r="O14" s="1">
        <f>K14-L14</f>
        <v>40.48</v>
      </c>
      <c r="P14" s="2">
        <f>IF(L14&gt;0,O14/L14,0)</f>
        <v>0.2987</v>
      </c>
      <c r="Q14" s="1">
        <f>L14*M14</f>
        <v>2710.4</v>
      </c>
      <c r="R14" s="1">
        <f>K14*M14</f>
        <v>3520</v>
      </c>
      <c r="S14" s="1">
        <f>R14-Q14</f>
        <v>809.6</v>
      </c>
      <c r="T14" t="str">
        <f>IF(M14=0,"نافد",IF(M14&lt;=N14,"قرب ينفد","متوفر"))</f>
        <v>متوفر</v>
      </c>
      <c r="U14" t="str">
        <v>فموي (Oral)</v>
      </c>
      <c r="V14" t="str">
        <v>فئة B (آمن إلى حد كبير)</v>
      </c>
      <c r="W14" t="str">
        <v>لا</v>
      </c>
      <c r="X14" t="str">
        <v>لا</v>
      </c>
      <c r="Y14" t="str">
        <v>صرف مباشر (OTC)</v>
      </c>
      <c r="Z14">
        <v>1</v>
      </c>
      <c r="AA14">
        <v>0</v>
      </c>
      <c r="AB14" t="str">
        <v>MED-0231</v>
      </c>
    </row>
    <row r="15">
      <c r="A15">
        <v>12</v>
      </c>
      <c r="B15" t="str">
        <v>6221032132055</v>
      </c>
      <c r="C15" t="str">
        <v>ابيرازول 40مجم 10 كبسولات (epirazole 40mg 10 caps)</v>
      </c>
      <c r="D15" t="str">
        <v>omeprazole</v>
      </c>
      <c r="E15" t="str">
        <v>كبسولات</v>
      </c>
      <c r="F15" t="str">
        <v>40مجم</v>
      </c>
      <c r="G15" t="str">
        <v>eipico</v>
      </c>
      <c r="H15" t="str">
        <v>أدوية المعدة والحموضة ومثبطات مضخة البروتون</v>
      </c>
      <c r="I15" t="str">
        <v>رف E1 - جهاز هضمي ومعدة</v>
      </c>
      <c r="J15" t="str">
        <v>علبة</v>
      </c>
      <c r="K15">
        <v>41.5</v>
      </c>
      <c r="L15">
        <v>31.96</v>
      </c>
      <c r="M15">
        <v>20</v>
      </c>
      <c r="N15">
        <v>5</v>
      </c>
      <c r="O15" s="1">
        <f>K15-L15</f>
        <v>9.54</v>
      </c>
      <c r="P15" s="2">
        <f>IF(L15&gt;0,O15/L15,0)</f>
        <v>0.2985</v>
      </c>
      <c r="Q15" s="1">
        <f>L15*M15</f>
        <v>639.2</v>
      </c>
      <c r="R15" s="1">
        <f>K15*M15</f>
        <v>830</v>
      </c>
      <c r="S15" s="1">
        <f>R15-Q15</f>
        <v>190.8</v>
      </c>
      <c r="T15" t="str">
        <f>IF(M15=0,"نافد",IF(M15&lt;=N15,"قرب ينفد","متوفر"))</f>
        <v>متوفر</v>
      </c>
      <c r="U15" t="str">
        <v>فموي (Oral)</v>
      </c>
      <c r="V15" t="str">
        <v>فئة C (بحذر وإشراف طبي)</v>
      </c>
      <c r="W15" t="str">
        <v>لا</v>
      </c>
      <c r="X15" t="str">
        <v>لا</v>
      </c>
      <c r="Y15" t="str">
        <v>صرف مباشر (OTC)</v>
      </c>
      <c r="Z15">
        <v>1</v>
      </c>
      <c r="AA15">
        <v>0</v>
      </c>
      <c r="AB15" t="str">
        <v>MED-0232</v>
      </c>
    </row>
    <row r="16">
      <c r="A16">
        <v>13</v>
      </c>
      <c r="B16" t="str">
        <v>6221032131577</v>
      </c>
      <c r="C16" t="str">
        <v>ابيرازول 20مجم 14 كبسولة (epirazole 20mg 14 caps)</v>
      </c>
      <c r="D16" t="str">
        <v>omeprazole</v>
      </c>
      <c r="E16" t="str">
        <v>كبسولات</v>
      </c>
      <c r="F16" t="str">
        <v>20مجم</v>
      </c>
      <c r="G16" t="str">
        <v>eipico</v>
      </c>
      <c r="H16" t="str">
        <v>أدوية المعدة والحموضة ومثبطات مضخة البروتون</v>
      </c>
      <c r="I16" t="str">
        <v>رف E1 - جهاز هضمي ومعدة</v>
      </c>
      <c r="J16" t="str">
        <v>علبة</v>
      </c>
      <c r="K16">
        <v>44</v>
      </c>
      <c r="L16">
        <v>33.88</v>
      </c>
      <c r="M16">
        <v>20</v>
      </c>
      <c r="N16">
        <v>5</v>
      </c>
      <c r="O16" s="1">
        <f>K16-L16</f>
        <v>10.12</v>
      </c>
      <c r="P16" s="2">
        <f>IF(L16&gt;0,O16/L16,0)</f>
        <v>0.2987</v>
      </c>
      <c r="Q16" s="1">
        <f>L16*M16</f>
        <v>677.6</v>
      </c>
      <c r="R16" s="1">
        <f>K16*M16</f>
        <v>880</v>
      </c>
      <c r="S16" s="1">
        <f>R16-Q16</f>
        <v>202.4</v>
      </c>
      <c r="T16" t="str">
        <f>IF(M16=0,"نافد",IF(M16&lt;=N16,"قرب ينفد","متوفر"))</f>
        <v>متوفر</v>
      </c>
      <c r="U16" t="str">
        <v>فموي (Oral)</v>
      </c>
      <c r="V16" t="str">
        <v>فئة C (بحذر وإشراف طبي)</v>
      </c>
      <c r="W16" t="str">
        <v>لا</v>
      </c>
      <c r="X16" t="str">
        <v>لا</v>
      </c>
      <c r="Y16" t="str">
        <v>صرف مباشر (OTC)</v>
      </c>
      <c r="Z16">
        <v>1</v>
      </c>
      <c r="AA16">
        <v>0</v>
      </c>
      <c r="AB16" t="str">
        <v>MED-0233</v>
      </c>
    </row>
    <row r="17">
      <c r="A17">
        <v>14</v>
      </c>
      <c r="B17" t="str">
        <v>6223003930660</v>
      </c>
      <c r="C17" t="str">
        <v>ازماتاك 20مجم دي آر 7 كبسولات (esmatac 20 mg 7 d.r. caps.)</v>
      </c>
      <c r="D17" t="str">
        <v>esomeprazole</v>
      </c>
      <c r="E17" t="str">
        <v>كبسولات</v>
      </c>
      <c r="F17" t="str">
        <v>20مجم</v>
      </c>
      <c r="G17" t="str">
        <v>egpi</v>
      </c>
      <c r="H17" t="str">
        <v>أدوية المعدة والحموضة ومثبطات مضخة البروتون</v>
      </c>
      <c r="I17" t="str">
        <v>رف E1 - جهاز هضمي ومعدة</v>
      </c>
      <c r="J17" t="str">
        <v>علبة</v>
      </c>
      <c r="K17">
        <v>27.5</v>
      </c>
      <c r="L17">
        <v>21.18</v>
      </c>
      <c r="M17">
        <v>20</v>
      </c>
      <c r="N17">
        <v>5</v>
      </c>
      <c r="O17" s="1">
        <f>K17-L17</f>
        <v>6.32</v>
      </c>
      <c r="P17" s="2">
        <f>IF(L17&gt;0,O17/L17,0)</f>
        <v>0.2984</v>
      </c>
      <c r="Q17" s="1">
        <f>L17*M17</f>
        <v>423.6</v>
      </c>
      <c r="R17" s="1">
        <f>K17*M17</f>
        <v>550</v>
      </c>
      <c r="S17" s="1">
        <f>R17-Q17</f>
        <v>126.4</v>
      </c>
      <c r="T17" t="str">
        <f>IF(M17=0,"نافد",IF(M17&lt;=N17,"قرب ينفد","متوفر"))</f>
        <v>متوفر</v>
      </c>
      <c r="U17" t="str">
        <v>فموي (Oral)</v>
      </c>
      <c r="V17" t="str">
        <v>فئة B (آمن إلى حد كبير)</v>
      </c>
      <c r="W17" t="str">
        <v>لا</v>
      </c>
      <c r="X17" t="str">
        <v>لا</v>
      </c>
      <c r="Y17" t="str">
        <v>صرف مباشر (OTC)</v>
      </c>
      <c r="Z17">
        <v>1</v>
      </c>
      <c r="AA17">
        <v>0</v>
      </c>
      <c r="AB17" t="str">
        <v>MED-0234</v>
      </c>
    </row>
    <row r="18">
      <c r="A18">
        <v>15</v>
      </c>
      <c r="B18" t="str">
        <v>6223003930905</v>
      </c>
      <c r="C18" t="str">
        <v>ازماتاك 40مجم 14 كبسولة (esmatac 40 mg 14 d.r. caps)</v>
      </c>
      <c r="D18" t="str">
        <v>esomeprazole</v>
      </c>
      <c r="E18" t="str">
        <v>كبسولات</v>
      </c>
      <c r="F18" t="str">
        <v>40مجم</v>
      </c>
      <c r="G18" t="str">
        <v>egpi</v>
      </c>
      <c r="H18" t="str">
        <v>أدوية المعدة والحموضة ومثبطات مضخة البروتون</v>
      </c>
      <c r="I18" t="str">
        <v>رف E1 - جهاز هضمي ومعدة</v>
      </c>
      <c r="J18" t="str">
        <v>علبة</v>
      </c>
      <c r="K18">
        <v>72</v>
      </c>
      <c r="L18">
        <v>55.44</v>
      </c>
      <c r="M18">
        <v>20</v>
      </c>
      <c r="N18">
        <v>5</v>
      </c>
      <c r="O18" s="1">
        <f>K18-L18</f>
        <v>16.56</v>
      </c>
      <c r="P18" s="2">
        <f>IF(L18&gt;0,O18/L18,0)</f>
        <v>0.2987</v>
      </c>
      <c r="Q18" s="1">
        <f>L18*M18</f>
        <v>1108.8</v>
      </c>
      <c r="R18" s="1">
        <f>K18*M18</f>
        <v>1440</v>
      </c>
      <c r="S18" s="1">
        <f>R18-Q18</f>
        <v>331.2</v>
      </c>
      <c r="T18" t="str">
        <f>IF(M18=0,"نافد",IF(M18&lt;=N18,"قرب ينفد","متوفر"))</f>
        <v>متوفر</v>
      </c>
      <c r="U18" t="str">
        <v>فموي (Oral)</v>
      </c>
      <c r="V18" t="str">
        <v>فئة B (آمن إلى حد كبير)</v>
      </c>
      <c r="W18" t="str">
        <v>لا</v>
      </c>
      <c r="X18" t="str">
        <v>لا</v>
      </c>
      <c r="Y18" t="str">
        <v>صرف مباشر (OTC)</v>
      </c>
      <c r="Z18">
        <v>2</v>
      </c>
      <c r="AA18">
        <v>0</v>
      </c>
      <c r="AB18" t="str">
        <v>MED-0235</v>
      </c>
    </row>
    <row r="19">
      <c r="A19">
        <v>16</v>
      </c>
      <c r="B19" t="str">
        <v>6223005461018</v>
      </c>
      <c r="C19" t="str">
        <v>ازموراب 20مجم 14 كبسولة (esmorap 20 mg 14 caps)</v>
      </c>
      <c r="D19" t="str">
        <v>esomeprazole</v>
      </c>
      <c r="E19" t="str">
        <v>كبسولات</v>
      </c>
      <c r="F19" t="str">
        <v>20مجم</v>
      </c>
      <c r="G19" t="str">
        <v>aug pharma</v>
      </c>
      <c r="H19" t="str">
        <v>أدوية المعدة والحموضة ومثبطات مضخة البروتون</v>
      </c>
      <c r="I19" t="str">
        <v>رف E1 - جهاز هضمي ومعدة</v>
      </c>
      <c r="J19" t="str">
        <v>علبة</v>
      </c>
      <c r="K19">
        <v>76</v>
      </c>
      <c r="L19">
        <v>58.52</v>
      </c>
      <c r="M19">
        <v>20</v>
      </c>
      <c r="N19">
        <v>5</v>
      </c>
      <c r="O19" s="1">
        <f>K19-L19</f>
        <v>17.48</v>
      </c>
      <c r="P19" s="2">
        <f>IF(L19&gt;0,O19/L19,0)</f>
        <v>0.2987</v>
      </c>
      <c r="Q19" s="1">
        <f>L19*M19</f>
        <v>1170.4</v>
      </c>
      <c r="R19" s="1">
        <f>K19*M19</f>
        <v>1520</v>
      </c>
      <c r="S19" s="1">
        <f>R19-Q19</f>
        <v>349.6</v>
      </c>
      <c r="T19" t="str">
        <f>IF(M19=0,"نافد",IF(M19&lt;=N19,"قرب ينفد","متوفر"))</f>
        <v>متوفر</v>
      </c>
      <c r="U19" t="str">
        <v>فموي (Oral)</v>
      </c>
      <c r="V19" t="str">
        <v>فئة B (آمن إلى حد كبير)</v>
      </c>
      <c r="W19" t="str">
        <v>لا</v>
      </c>
      <c r="X19" t="str">
        <v>لا</v>
      </c>
      <c r="Y19" t="str">
        <v>صرف مباشر (OTC)</v>
      </c>
      <c r="Z19">
        <v>2</v>
      </c>
      <c r="AA19">
        <v>0</v>
      </c>
      <c r="AB19" t="str">
        <v>MED-0236</v>
      </c>
    </row>
    <row r="20">
      <c r="A20">
        <v>17</v>
      </c>
      <c r="B20" t="str">
        <v>6223005461025</v>
      </c>
      <c r="C20" t="str">
        <v>ازموراب 40مجم 14 كبسولة (esmorap 40mg 14 caps)</v>
      </c>
      <c r="D20" t="str">
        <v>esomeprazole</v>
      </c>
      <c r="E20" t="str">
        <v>كبسولات</v>
      </c>
      <c r="F20" t="str">
        <v>40مجم</v>
      </c>
      <c r="G20" t="str">
        <v>aug pharma</v>
      </c>
      <c r="H20" t="str">
        <v>أدوية المعدة والحموضة ومثبطات مضخة البروتون</v>
      </c>
      <c r="I20" t="str">
        <v>رف E1 - جهاز هضمي ومعدة</v>
      </c>
      <c r="J20" t="str">
        <v>علبة</v>
      </c>
      <c r="K20">
        <v>138</v>
      </c>
      <c r="L20">
        <v>106.26</v>
      </c>
      <c r="M20">
        <v>20</v>
      </c>
      <c r="N20">
        <v>5</v>
      </c>
      <c r="O20" s="1">
        <f>K20-L20</f>
        <v>31.74</v>
      </c>
      <c r="P20" s="2">
        <f>IF(L20&gt;0,O20/L20,0)</f>
        <v>0.2987</v>
      </c>
      <c r="Q20" s="1">
        <f>L20*M20</f>
        <v>2125.2</v>
      </c>
      <c r="R20" s="1">
        <f>K20*M20</f>
        <v>2760</v>
      </c>
      <c r="S20" s="1">
        <f>R20-Q20</f>
        <v>634.8</v>
      </c>
      <c r="T20" t="str">
        <f>IF(M20=0,"نافد",IF(M20&lt;=N20,"قرب ينفد","متوفر"))</f>
        <v>متوفر</v>
      </c>
      <c r="U20" t="str">
        <v>فموي (Oral)</v>
      </c>
      <c r="V20" t="str">
        <v>فئة B (آمن إلى حد كبير)</v>
      </c>
      <c r="W20" t="str">
        <v>لا</v>
      </c>
      <c r="X20" t="str">
        <v>لا</v>
      </c>
      <c r="Y20" t="str">
        <v>صرف مباشر (OTC)</v>
      </c>
      <c r="Z20">
        <v>2</v>
      </c>
      <c r="AA20">
        <v>0</v>
      </c>
      <c r="AB20" t="str">
        <v>MED-0237</v>
      </c>
    </row>
    <row r="21">
      <c r="A21">
        <v>18</v>
      </c>
      <c r="B21" t="str">
        <v>6223002453368</v>
      </c>
      <c r="C21" t="str">
        <v>ايزوميلودان 20مجم 20 قرص (esomelodan 20mg 20 enteric coated tab)</v>
      </c>
      <c r="D21" t="str">
        <v>esomeprazole</v>
      </c>
      <c r="E21" t="str">
        <v>أقراص</v>
      </c>
      <c r="F21" t="str">
        <v>20مجم</v>
      </c>
      <c r="G21" t="str">
        <v>eva pharma</v>
      </c>
      <c r="H21" t="str">
        <v>أدوية المعدة والحموضة ومثبطات مضخة البروتون</v>
      </c>
      <c r="I21" t="str">
        <v>رف E1 - جهاز هضمي ومعدة</v>
      </c>
      <c r="J21" t="str">
        <v>علبة</v>
      </c>
      <c r="K21">
        <v>63</v>
      </c>
      <c r="L21">
        <v>48.51</v>
      </c>
      <c r="M21">
        <v>20</v>
      </c>
      <c r="N21">
        <v>5</v>
      </c>
      <c r="O21" s="1">
        <f>K21-L21</f>
        <v>14.49</v>
      </c>
      <c r="P21" s="2">
        <f>IF(L21&gt;0,O21/L21,0)</f>
        <v>0.2987</v>
      </c>
      <c r="Q21" s="1">
        <f>L21*M21</f>
        <v>970.2</v>
      </c>
      <c r="R21" s="1">
        <f>K21*M21</f>
        <v>1260</v>
      </c>
      <c r="S21" s="1">
        <f>R21-Q21</f>
        <v>289.8</v>
      </c>
      <c r="T21" t="str">
        <f>IF(M21=0,"نافد",IF(M21&lt;=N21,"قرب ينفد","متوفر"))</f>
        <v>متوفر</v>
      </c>
      <c r="U21" t="str">
        <v>فموي (Oral)</v>
      </c>
      <c r="V21" t="str">
        <v>فئة B (آمن إلى حد كبير)</v>
      </c>
      <c r="W21" t="str">
        <v>لا</v>
      </c>
      <c r="X21" t="str">
        <v>لا</v>
      </c>
      <c r="Y21" t="str">
        <v>صرف مباشر (OTC)</v>
      </c>
      <c r="Z21">
        <v>2</v>
      </c>
      <c r="AA21">
        <v>0</v>
      </c>
      <c r="AB21" t="str">
        <v>MED-0238</v>
      </c>
    </row>
    <row r="22">
      <c r="A22">
        <v>19</v>
      </c>
      <c r="B22" t="str">
        <v>6223002453085</v>
      </c>
      <c r="C22" t="str">
        <v>ايزوميلودان 40مجم 20 قرص (esomelodan 40mg 20 enteric coated tab)</v>
      </c>
      <c r="D22" t="str">
        <v>esomeprazole</v>
      </c>
      <c r="E22" t="str">
        <v>أقراص</v>
      </c>
      <c r="F22" t="str">
        <v>40مجم</v>
      </c>
      <c r="G22" t="str">
        <v>eva pharma</v>
      </c>
      <c r="H22" t="str">
        <v>أدوية المعدة والحموضة ومثبطات مضخة البروتون</v>
      </c>
      <c r="I22" t="str">
        <v>رف E1 - جهاز هضمي ومعدة</v>
      </c>
      <c r="J22" t="str">
        <v>علبة</v>
      </c>
      <c r="K22">
        <v>113.5</v>
      </c>
      <c r="L22">
        <v>87.39</v>
      </c>
      <c r="M22">
        <v>20</v>
      </c>
      <c r="N22">
        <v>5</v>
      </c>
      <c r="O22" s="1">
        <f>K22-L22</f>
        <v>26.11</v>
      </c>
      <c r="P22" s="2">
        <f>IF(L22&gt;0,O22/L22,0)</f>
        <v>0.2988</v>
      </c>
      <c r="Q22" s="1">
        <f>L22*M22</f>
        <v>1747.8</v>
      </c>
      <c r="R22" s="1">
        <f>K22*M22</f>
        <v>2270</v>
      </c>
      <c r="S22" s="1">
        <f>R22-Q22</f>
        <v>522.2</v>
      </c>
      <c r="T22" t="str">
        <f>IF(M22=0,"نافد",IF(M22&lt;=N22,"قرب ينفد","متوفر"))</f>
        <v>متوفر</v>
      </c>
      <c r="U22" t="str">
        <v>فموي (Oral)</v>
      </c>
      <c r="V22" t="str">
        <v>فئة B (آمن إلى حد كبير)</v>
      </c>
      <c r="W22" t="str">
        <v>لا</v>
      </c>
      <c r="X22" t="str">
        <v>لا</v>
      </c>
      <c r="Y22" t="str">
        <v>صرف مباشر (OTC)</v>
      </c>
      <c r="Z22">
        <v>2</v>
      </c>
      <c r="AA22">
        <v>0</v>
      </c>
      <c r="AB22" t="str">
        <v>MED-0239</v>
      </c>
    </row>
    <row r="23">
      <c r="A23">
        <v>20</v>
      </c>
      <c r="B23" t="str">
        <v>6224000870157</v>
      </c>
      <c r="C23" t="str">
        <v>ايزو-بروتوكول 40مجم 10 كبسولات (eso-protocol 40mg 10 caps)</v>
      </c>
      <c r="D23" t="str">
        <v>esomeprazole</v>
      </c>
      <c r="E23" t="str">
        <v>كبسولات</v>
      </c>
      <c r="F23" t="str">
        <v>40مجم</v>
      </c>
      <c r="G23" t="str">
        <v>medizen pharmaceutical industries &gt; sanofi</v>
      </c>
      <c r="H23" t="str">
        <v>أدوية المعدة والحموضة ومثبطات مضخة البروتون</v>
      </c>
      <c r="I23" t="str">
        <v>رف E1 - جهاز هضمي ومعدة</v>
      </c>
      <c r="J23" t="str">
        <v>علبة</v>
      </c>
      <c r="K23">
        <v>52</v>
      </c>
      <c r="L23">
        <v>40.04</v>
      </c>
      <c r="M23">
        <v>20</v>
      </c>
      <c r="N23">
        <v>5</v>
      </c>
      <c r="O23" s="1">
        <f>K23-L23</f>
        <v>11.96</v>
      </c>
      <c r="P23" s="2">
        <f>IF(L23&gt;0,O23/L23,0)</f>
        <v>0.2987</v>
      </c>
      <c r="Q23" s="1">
        <f>L23*M23</f>
        <v>800.8</v>
      </c>
      <c r="R23" s="1">
        <f>K23*M23</f>
        <v>1040</v>
      </c>
      <c r="S23" s="1">
        <f>R23-Q23</f>
        <v>239.2</v>
      </c>
      <c r="T23" t="str">
        <f>IF(M23=0,"نافد",IF(M23&lt;=N23,"قرب ينفد","متوفر"))</f>
        <v>متوفر</v>
      </c>
      <c r="U23" t="str">
        <v>فموي (Oral)</v>
      </c>
      <c r="V23" t="str">
        <v>فئة B (آمن إلى حد كبير)</v>
      </c>
      <c r="W23" t="str">
        <v>لا</v>
      </c>
      <c r="X23" t="str">
        <v>لا</v>
      </c>
      <c r="Y23" t="str">
        <v>صرف مباشر (OTC)</v>
      </c>
      <c r="Z23">
        <v>1</v>
      </c>
      <c r="AA23">
        <v>0</v>
      </c>
      <c r="AB23" t="str">
        <v>MED-0240</v>
      </c>
    </row>
    <row r="24">
      <c r="A24">
        <v>21</v>
      </c>
      <c r="B24" t="str">
        <v>6221075021071</v>
      </c>
      <c r="C24" t="str">
        <v>استوهالت 40مجم 14 كبسولة (estohalt 40mg 14 caps)</v>
      </c>
      <c r="D24" t="str">
        <v>omeprazole</v>
      </c>
      <c r="E24" t="str">
        <v>كبسولات</v>
      </c>
      <c r="F24" t="str">
        <v>40مجم</v>
      </c>
      <c r="G24" t="str">
        <v>amriya</v>
      </c>
      <c r="H24" t="str">
        <v>أدوية المعدة والحموضة ومثبطات مضخة البروتون</v>
      </c>
      <c r="I24" t="str">
        <v>رف E1 - جهاز هضمي ومعدة</v>
      </c>
      <c r="J24" t="str">
        <v>علبة</v>
      </c>
      <c r="K24">
        <v>81</v>
      </c>
      <c r="L24">
        <v>62.37</v>
      </c>
      <c r="M24">
        <v>20</v>
      </c>
      <c r="N24">
        <v>5</v>
      </c>
      <c r="O24" s="1">
        <f>K24-L24</f>
        <v>18.63</v>
      </c>
      <c r="P24" s="2">
        <f>IF(L24&gt;0,O24/L24,0)</f>
        <v>0.2987</v>
      </c>
      <c r="Q24" s="1">
        <f>L24*M24</f>
        <v>1247.4</v>
      </c>
      <c r="R24" s="1">
        <f>K24*M24</f>
        <v>1620</v>
      </c>
      <c r="S24" s="1">
        <f>R24-Q24</f>
        <v>372.6</v>
      </c>
      <c r="T24" t="str">
        <f>IF(M24=0,"نافد",IF(M24&lt;=N24,"قرب ينفد","متوفر"))</f>
        <v>متوفر</v>
      </c>
      <c r="U24" t="str">
        <v>فموي (Oral)</v>
      </c>
      <c r="V24" t="str">
        <v>فئة C (بحذر وإشراف طبي)</v>
      </c>
      <c r="W24" t="str">
        <v>لا</v>
      </c>
      <c r="X24" t="str">
        <v>لا</v>
      </c>
      <c r="Y24" t="str">
        <v>صرف مباشر (OTC)</v>
      </c>
      <c r="Z24">
        <v>1</v>
      </c>
      <c r="AA24">
        <v>0</v>
      </c>
      <c r="AB24" t="str">
        <v>MED-0241</v>
      </c>
    </row>
    <row r="25">
      <c r="A25">
        <v>22</v>
      </c>
      <c r="B25" t="str">
        <v>6224008407034</v>
      </c>
      <c r="C25" t="str">
        <v>نيكسيكيور 20مجم 20 قرص (nexicure 20 mg 20 f.c. tabs)</v>
      </c>
      <c r="D25" t="str">
        <v>esomeprazole</v>
      </c>
      <c r="E25" t="str">
        <v>أقراص</v>
      </c>
      <c r="F25" t="str">
        <v>20مجم</v>
      </c>
      <c r="G25" t="str">
        <v>zeta pharm</v>
      </c>
      <c r="H25" t="str">
        <v>أدوية المعدة والحموضة ومثبطات مضخة البروتون</v>
      </c>
      <c r="I25" t="str">
        <v>رف E1 - جهاز هضمي ومعدة</v>
      </c>
      <c r="J25" t="str">
        <v>علبة</v>
      </c>
      <c r="K25">
        <v>60</v>
      </c>
      <c r="L25">
        <v>46.2</v>
      </c>
      <c r="M25">
        <v>20</v>
      </c>
      <c r="N25">
        <v>5</v>
      </c>
      <c r="O25" s="1">
        <f>K25-L25</f>
        <v>13.8</v>
      </c>
      <c r="P25" s="2">
        <f>IF(L25&gt;0,O25/L25,0)</f>
        <v>0.2987</v>
      </c>
      <c r="Q25" s="1">
        <f>L25*M25</f>
        <v>924</v>
      </c>
      <c r="R25" s="1">
        <f>K25*M25</f>
        <v>1200</v>
      </c>
      <c r="S25" s="1">
        <f>R25-Q25</f>
        <v>276</v>
      </c>
      <c r="T25" t="str">
        <f>IF(M25=0,"نافد",IF(M25&lt;=N25,"قرب ينفد","متوفر"))</f>
        <v>متوفر</v>
      </c>
      <c r="U25" t="str">
        <v>فموي (Oral)</v>
      </c>
      <c r="V25" t="str">
        <v>فئة B (آمن إلى حد كبير)</v>
      </c>
      <c r="W25" t="str">
        <v>لا</v>
      </c>
      <c r="X25" t="str">
        <v>لا</v>
      </c>
      <c r="Y25" t="str">
        <v>صرف مباشر (OTC)</v>
      </c>
      <c r="Z25">
        <v>2</v>
      </c>
      <c r="AA25">
        <v>0</v>
      </c>
      <c r="AB25" t="str">
        <v>MED-0242</v>
      </c>
    </row>
    <row r="26">
      <c r="A26">
        <v>23</v>
      </c>
      <c r="B26" t="str">
        <v>6223000443040</v>
      </c>
      <c r="C26" t="str">
        <v>ايزوجاست 20مجم 14 كبسولة (ezogast 20mg 14 dela. rel. caps)</v>
      </c>
      <c r="D26" t="str">
        <v>esomeprazole</v>
      </c>
      <c r="E26" t="str">
        <v>كبسولات</v>
      </c>
      <c r="F26" t="str">
        <v>20مجم</v>
      </c>
      <c r="G26" t="str">
        <v>october pharma &gt; copad pharma</v>
      </c>
      <c r="H26" t="str">
        <v>أدوية المعدة والحموضة ومثبطات مضخة البروتون</v>
      </c>
      <c r="I26" t="str">
        <v>رف E1 - جهاز هضمي ومعدة</v>
      </c>
      <c r="J26" t="str">
        <v>علبة</v>
      </c>
      <c r="K26">
        <v>122</v>
      </c>
      <c r="L26">
        <v>93.94</v>
      </c>
      <c r="M26">
        <v>20</v>
      </c>
      <c r="N26">
        <v>5</v>
      </c>
      <c r="O26" s="1">
        <f>K26-L26</f>
        <v>28.06</v>
      </c>
      <c r="P26" s="2">
        <f>IF(L26&gt;0,O26/L26,0)</f>
        <v>0.2987</v>
      </c>
      <c r="Q26" s="1">
        <f>L26*M26</f>
        <v>1878.8</v>
      </c>
      <c r="R26" s="1">
        <f>K26*M26</f>
        <v>2440</v>
      </c>
      <c r="S26" s="1">
        <f>R26-Q26</f>
        <v>561.2</v>
      </c>
      <c r="T26" t="str">
        <f>IF(M26=0,"نافد",IF(M26&lt;=N26,"قرب ينفد","متوفر"))</f>
        <v>متوفر</v>
      </c>
      <c r="U26" t="str">
        <v>فموي (Oral)</v>
      </c>
      <c r="V26" t="str">
        <v>فئة B (آمن إلى حد كبير)</v>
      </c>
      <c r="W26" t="str">
        <v>لا</v>
      </c>
      <c r="X26" t="str">
        <v>لا</v>
      </c>
      <c r="Y26" t="str">
        <v>صرف مباشر (OTC)</v>
      </c>
      <c r="Z26">
        <v>2</v>
      </c>
      <c r="AA26">
        <v>0</v>
      </c>
      <c r="AB26" t="str">
        <v>MED-0243</v>
      </c>
    </row>
    <row r="27">
      <c r="A27">
        <v>24</v>
      </c>
      <c r="B27" t="str">
        <v>6223011340130</v>
      </c>
      <c r="C27" t="str">
        <v>ايزوجاست 40مجم 28 كبسولة (ezogast 40mg 28 dela. rel. caps)</v>
      </c>
      <c r="D27" t="str">
        <v>esomeprazole</v>
      </c>
      <c r="E27" t="str">
        <v>كبسولات</v>
      </c>
      <c r="F27" t="str">
        <v>40مجم</v>
      </c>
      <c r="G27" t="str">
        <v>copad pharma</v>
      </c>
      <c r="H27" t="str">
        <v>أدوية المعدة والحموضة ومثبطات مضخة البروتون</v>
      </c>
      <c r="I27" t="str">
        <v>رف E1 - جهاز هضمي ومعدة</v>
      </c>
      <c r="J27" t="str">
        <v>علبة</v>
      </c>
      <c r="K27">
        <v>320</v>
      </c>
      <c r="L27">
        <v>246.4</v>
      </c>
      <c r="M27">
        <v>20</v>
      </c>
      <c r="N27">
        <v>5</v>
      </c>
      <c r="O27" s="1">
        <f>K27-L27</f>
        <v>73.6</v>
      </c>
      <c r="P27" s="2">
        <f>IF(L27&gt;0,O27/L27,0)</f>
        <v>0.2987</v>
      </c>
      <c r="Q27" s="1">
        <f>L27*M27</f>
        <v>4928</v>
      </c>
      <c r="R27" s="1">
        <f>K27*M27</f>
        <v>6400</v>
      </c>
      <c r="S27" s="1">
        <f>R27-Q27</f>
        <v>1472</v>
      </c>
      <c r="T27" t="str">
        <f>IF(M27=0,"نافد",IF(M27&lt;=N27,"قرب ينفد","متوفر"))</f>
        <v>متوفر</v>
      </c>
      <c r="U27" t="str">
        <v>فموي (Oral)</v>
      </c>
      <c r="V27" t="str">
        <v>فئة B (آمن إلى حد كبير)</v>
      </c>
      <c r="W27" t="str">
        <v>لا</v>
      </c>
      <c r="X27" t="str">
        <v>لا</v>
      </c>
      <c r="Y27" t="str">
        <v>صرف مباشر (OTC)</v>
      </c>
      <c r="Z27">
        <v>4</v>
      </c>
      <c r="AA27">
        <v>0</v>
      </c>
      <c r="AB27" t="str">
        <v>MED-0244</v>
      </c>
    </row>
    <row r="28">
      <c r="A28">
        <v>25</v>
      </c>
      <c r="B28" t="str">
        <v>6220001021505</v>
      </c>
      <c r="C28" t="str">
        <v>ايزوميبرازول ايفا 40 مجم 3 فيال (esomeprazole-eva 40mg 3 powder for i.v. inf. vial)</v>
      </c>
      <c r="D28" t="str">
        <v>esomeprazole</v>
      </c>
      <c r="E28" t="str">
        <v>حقن</v>
      </c>
      <c r="F28" t="str">
        <v>40 مجم</v>
      </c>
      <c r="G28" t="str">
        <v>eva pharma</v>
      </c>
      <c r="H28" t="str">
        <v>أدوية المعدة والحموضة ومثبطات مضخة البروتون</v>
      </c>
      <c r="I28" t="str">
        <v>رف E1 - جهاز هضمي ومعدة</v>
      </c>
      <c r="J28" t="str">
        <v>قطعة</v>
      </c>
      <c r="K28">
        <v>204</v>
      </c>
      <c r="L28">
        <v>157.08</v>
      </c>
      <c r="M28">
        <v>20</v>
      </c>
      <c r="N28">
        <v>5</v>
      </c>
      <c r="O28" s="1">
        <f>K28-L28</f>
        <v>46.92</v>
      </c>
      <c r="P28" s="2">
        <f>IF(L28&gt;0,O28/L28,0)</f>
        <v>0.2987</v>
      </c>
      <c r="Q28" s="1">
        <f>L28*M28</f>
        <v>3141.6</v>
      </c>
      <c r="R28" s="1">
        <f>K28*M28</f>
        <v>4080</v>
      </c>
      <c r="S28" s="1">
        <f>R28-Q28</f>
        <v>938.4</v>
      </c>
      <c r="T28" t="str">
        <f>IF(M28=0,"نافد",IF(M28&lt;=N28,"قرب ينفد","متوفر"))</f>
        <v>متوفر</v>
      </c>
      <c r="U28" t="str">
        <v>حقن عضل / وريد (Parenteral)</v>
      </c>
      <c r="V28" t="str">
        <v>فئة B (آمن إلى حد كبير)</v>
      </c>
      <c r="W28" t="str">
        <v>لا</v>
      </c>
      <c r="X28" t="str">
        <v>لا</v>
      </c>
      <c r="Y28" t="str">
        <v>روشتة طبية (Rx)</v>
      </c>
      <c r="Z28">
        <v>3</v>
      </c>
      <c r="AA28">
        <v>0</v>
      </c>
      <c r="AB28" t="str">
        <v>MED-0245</v>
      </c>
    </row>
    <row r="29">
      <c r="A29">
        <v>26</v>
      </c>
      <c r="B29" t="str">
        <v>6221088021532</v>
      </c>
      <c r="C29" t="str">
        <v>فاست كيور 20مجم 14 كبسولة (fastcure 20mg 14 caps)</v>
      </c>
      <c r="D29" t="str">
        <v>omeprazole</v>
      </c>
      <c r="E29" t="str">
        <v>كبسولات</v>
      </c>
      <c r="F29" t="str">
        <v>20مجم</v>
      </c>
      <c r="G29" t="str">
        <v>october pharma</v>
      </c>
      <c r="H29" t="str">
        <v>أدوية المعدة والحموضة ومثبطات مضخة البروتون</v>
      </c>
      <c r="I29" t="str">
        <v>رف E1 - جهاز هضمي ومعدة</v>
      </c>
      <c r="J29" t="str">
        <v>علبة</v>
      </c>
      <c r="K29">
        <v>56</v>
      </c>
      <c r="L29">
        <v>43.12</v>
      </c>
      <c r="M29">
        <v>20</v>
      </c>
      <c r="N29">
        <v>5</v>
      </c>
      <c r="O29" s="1">
        <f>K29-L29</f>
        <v>12.88</v>
      </c>
      <c r="P29" s="2">
        <f>IF(L29&gt;0,O29/L29,0)</f>
        <v>0.2987</v>
      </c>
      <c r="Q29" s="1">
        <f>L29*M29</f>
        <v>862.4</v>
      </c>
      <c r="R29" s="1">
        <f>K29*M29</f>
        <v>1120</v>
      </c>
      <c r="S29" s="1">
        <f>R29-Q29</f>
        <v>257.6</v>
      </c>
      <c r="T29" t="str">
        <f>IF(M29=0,"نافد",IF(M29&lt;=N29,"قرب ينفد","متوفر"))</f>
        <v>متوفر</v>
      </c>
      <c r="U29" t="str">
        <v>فموي (Oral)</v>
      </c>
      <c r="V29" t="str">
        <v>فئة C (بحذر وإشراف طبي)</v>
      </c>
      <c r="W29" t="str">
        <v>لا</v>
      </c>
      <c r="X29" t="str">
        <v>لا</v>
      </c>
      <c r="Y29" t="str">
        <v>صرف مباشر (OTC)</v>
      </c>
      <c r="Z29">
        <v>2</v>
      </c>
      <c r="AA29">
        <v>0</v>
      </c>
      <c r="AB29" t="str">
        <v>MED-0246</v>
      </c>
    </row>
    <row r="30">
      <c r="A30">
        <v>27</v>
      </c>
      <c r="B30" t="str">
        <v>6221088021600</v>
      </c>
      <c r="C30" t="str">
        <v>فاست كيور 40مجم 14 كبسولة (fastcure 40mg 14 caps)</v>
      </c>
      <c r="D30" t="str">
        <v>omeprazole</v>
      </c>
      <c r="E30" t="str">
        <v>كبسولات</v>
      </c>
      <c r="F30" t="str">
        <v>40مجم</v>
      </c>
      <c r="G30" t="str">
        <v>october pharma</v>
      </c>
      <c r="H30" t="str">
        <v>أدوية المعدة والحموضة ومثبطات مضخة البروتون</v>
      </c>
      <c r="I30" t="str">
        <v>رف E1 - جهاز هضمي ومعدة</v>
      </c>
      <c r="J30" t="str">
        <v>علبة</v>
      </c>
      <c r="K30">
        <v>84</v>
      </c>
      <c r="L30">
        <v>64.68</v>
      </c>
      <c r="M30">
        <v>20</v>
      </c>
      <c r="N30">
        <v>5</v>
      </c>
      <c r="O30" s="1">
        <f>K30-L30</f>
        <v>19.32</v>
      </c>
      <c r="P30" s="2">
        <f>IF(L30&gt;0,O30/L30,0)</f>
        <v>0.2987</v>
      </c>
      <c r="Q30" s="1">
        <f>L30*M30</f>
        <v>1293.6</v>
      </c>
      <c r="R30" s="1">
        <f>K30*M30</f>
        <v>1680</v>
      </c>
      <c r="S30" s="1">
        <f>R30-Q30</f>
        <v>386.4</v>
      </c>
      <c r="T30" t="str">
        <f>IF(M30=0,"نافد",IF(M30&lt;=N30,"قرب ينفد","متوفر"))</f>
        <v>متوفر</v>
      </c>
      <c r="U30" t="str">
        <v>فموي (Oral)</v>
      </c>
      <c r="V30" t="str">
        <v>فئة C (بحذر وإشراف طبي)</v>
      </c>
      <c r="W30" t="str">
        <v>لا</v>
      </c>
      <c r="X30" t="str">
        <v>لا</v>
      </c>
      <c r="Y30" t="str">
        <v>صرف مباشر (OTC)</v>
      </c>
      <c r="Z30">
        <v>2</v>
      </c>
      <c r="AA30">
        <v>0</v>
      </c>
      <c r="AB30" t="str">
        <v>MED-0247</v>
      </c>
    </row>
    <row r="31">
      <c r="A31">
        <v>28</v>
      </c>
      <c r="B31" t="str">
        <v>6220001024704</v>
      </c>
      <c r="C31" t="str">
        <v>جازيك 20مجم 14 كبسولة (gasec 20 mg 14 caps)</v>
      </c>
      <c r="D31" t="str">
        <v>omeprazole</v>
      </c>
      <c r="E31" t="str">
        <v>كبسولات</v>
      </c>
      <c r="F31" t="str">
        <v>20مجم</v>
      </c>
      <c r="G31" t="str">
        <v>mup &gt; acino</v>
      </c>
      <c r="H31" t="str">
        <v>أدوية المعدة والحموضة ومثبطات مضخة البروتون</v>
      </c>
      <c r="I31" t="str">
        <v>رف E1 - جهاز هضمي ومعدة</v>
      </c>
      <c r="J31" t="str">
        <v>علبة</v>
      </c>
      <c r="K31">
        <v>37.7</v>
      </c>
      <c r="L31">
        <v>29.03</v>
      </c>
      <c r="M31">
        <v>20</v>
      </c>
      <c r="N31">
        <v>5</v>
      </c>
      <c r="O31" s="1">
        <f>K31-L31</f>
        <v>8.67</v>
      </c>
      <c r="P31" s="2">
        <f>IF(L31&gt;0,O31/L31,0)</f>
        <v>0.2987</v>
      </c>
      <c r="Q31" s="1">
        <f>L31*M31</f>
        <v>580.6</v>
      </c>
      <c r="R31" s="1">
        <f>K31*M31</f>
        <v>754</v>
      </c>
      <c r="S31" s="1">
        <f>R31-Q31</f>
        <v>173.4</v>
      </c>
      <c r="T31" t="str">
        <f>IF(M31=0,"نافد",IF(M31&lt;=N31,"قرب ينفد","متوفر"))</f>
        <v>متوفر</v>
      </c>
      <c r="U31" t="str">
        <v>فموي (Oral)</v>
      </c>
      <c r="V31" t="str">
        <v>فئة C (بحذر وإشراف طبي)</v>
      </c>
      <c r="W31" t="str">
        <v>لا</v>
      </c>
      <c r="X31" t="str">
        <v>لا</v>
      </c>
      <c r="Y31" t="str">
        <v>صرف مباشر (OTC)</v>
      </c>
      <c r="Z31">
        <v>2</v>
      </c>
      <c r="AA31">
        <v>0</v>
      </c>
      <c r="AB31" t="str">
        <v>MED-0248</v>
      </c>
    </row>
    <row r="32">
      <c r="A32">
        <v>29</v>
      </c>
      <c r="B32" t="str">
        <v>6221076020172</v>
      </c>
      <c r="C32" t="str">
        <v>جاسترازول 20 مجم 14 كبسولة (gastrazole 20 mg 14 caps)</v>
      </c>
      <c r="D32" t="str">
        <v>omeprazole</v>
      </c>
      <c r="E32" t="str">
        <v>كبسولات</v>
      </c>
      <c r="F32" t="str">
        <v>20 مجم</v>
      </c>
      <c r="G32" t="str">
        <v>european egyptian pharm. ind.</v>
      </c>
      <c r="H32" t="str">
        <v>أدوية المعدة والحموضة ومثبطات مضخة البروتون</v>
      </c>
      <c r="I32" t="str">
        <v>رف E1 - جهاز هضمي ومعدة</v>
      </c>
      <c r="J32" t="str">
        <v>علبة</v>
      </c>
      <c r="K32">
        <v>42.4</v>
      </c>
      <c r="L32">
        <v>32.65</v>
      </c>
      <c r="M32">
        <v>20</v>
      </c>
      <c r="N32">
        <v>5</v>
      </c>
      <c r="O32" s="1">
        <f>K32-L32</f>
        <v>9.75</v>
      </c>
      <c r="P32" s="2">
        <f>IF(L32&gt;0,O32/L32,0)</f>
        <v>0.2986</v>
      </c>
      <c r="Q32" s="1">
        <f>L32*M32</f>
        <v>653</v>
      </c>
      <c r="R32" s="1">
        <f>K32*M32</f>
        <v>848</v>
      </c>
      <c r="S32" s="1">
        <f>R32-Q32</f>
        <v>195</v>
      </c>
      <c r="T32" t="str">
        <f>IF(M32=0,"نافد",IF(M32&lt;=N32,"قرب ينفد","متوفر"))</f>
        <v>متوفر</v>
      </c>
      <c r="U32" t="str">
        <v>فموي (Oral)</v>
      </c>
      <c r="V32" t="str">
        <v>فئة C (بحذر وإشراف طبي)</v>
      </c>
      <c r="W32" t="str">
        <v>لا</v>
      </c>
      <c r="X32" t="str">
        <v>لا</v>
      </c>
      <c r="Y32" t="str">
        <v>صرف مباشر (OTC)</v>
      </c>
      <c r="Z32">
        <v>1</v>
      </c>
      <c r="AA32">
        <v>0</v>
      </c>
      <c r="AB32" t="str">
        <v>MED-0249</v>
      </c>
    </row>
    <row r="33">
      <c r="A33">
        <v>30</v>
      </c>
      <c r="B33" t="str">
        <v>6220001024766</v>
      </c>
      <c r="C33" t="str">
        <v>جاسترولوك بلس 40/1100مجم 20 كبسولة (gastroloc plus 40/1100mg 20 caps)</v>
      </c>
      <c r="D33" t="str">
        <v>omeprazole+sodium bicarbonate</v>
      </c>
      <c r="E33" t="str">
        <v>كبسولات</v>
      </c>
      <c r="F33" t="str">
        <v>1100مجم</v>
      </c>
      <c r="G33" t="str">
        <v>sigmatec</v>
      </c>
      <c r="H33" t="str">
        <v>أدوية المعدة والحموضة ومثبطات مضخة البروتون</v>
      </c>
      <c r="I33" t="str">
        <v>رف E1 - جهاز هضمي ومعدة</v>
      </c>
      <c r="J33" t="str">
        <v>علبة</v>
      </c>
      <c r="K33">
        <v>45</v>
      </c>
      <c r="L33">
        <v>34.65</v>
      </c>
      <c r="M33">
        <v>20</v>
      </c>
      <c r="N33">
        <v>5</v>
      </c>
      <c r="O33" s="1">
        <f>K33-L33</f>
        <v>10.35</v>
      </c>
      <c r="P33" s="2">
        <f>IF(L33&gt;0,O33/L33,0)</f>
        <v>0.2987</v>
      </c>
      <c r="Q33" s="1">
        <f>L33*M33</f>
        <v>693</v>
      </c>
      <c r="R33" s="1">
        <f>K33*M33</f>
        <v>900</v>
      </c>
      <c r="S33" s="1">
        <f>R33-Q33</f>
        <v>207</v>
      </c>
      <c r="T33" t="str">
        <f>IF(M33=0,"نافد",IF(M33&lt;=N33,"قرب ينفد","متوفر"))</f>
        <v>متوفر</v>
      </c>
      <c r="U33" t="str">
        <v>فموي (Oral)</v>
      </c>
      <c r="V33" t="str">
        <v>فئة C (بحذر وإشراف طبي)</v>
      </c>
      <c r="W33" t="str">
        <v>لا</v>
      </c>
      <c r="X33" t="str">
        <v>لا</v>
      </c>
      <c r="Y33" t="str">
        <v>صرف مباشر (OTC)</v>
      </c>
      <c r="Z33">
        <v>2</v>
      </c>
      <c r="AA33">
        <v>0</v>
      </c>
      <c r="AB33" t="str">
        <v>MED-0250</v>
      </c>
    </row>
    <row r="34">
      <c r="A34">
        <v>31</v>
      </c>
      <c r="B34" t="str">
        <v>6221051000205</v>
      </c>
      <c r="C34" t="str">
        <v>جاسترولوك 40مجم 20 كبسولة (gastroloc 40mg 20 caps)</v>
      </c>
      <c r="D34" t="str">
        <v>omeprazole</v>
      </c>
      <c r="E34" t="str">
        <v>كبسولات</v>
      </c>
      <c r="F34" t="str">
        <v>40مجم</v>
      </c>
      <c r="G34" t="str">
        <v>sigma</v>
      </c>
      <c r="H34" t="str">
        <v>أدوية المعدة والحموضة ومثبطات مضخة البروتون</v>
      </c>
      <c r="I34" t="str">
        <v>رف E1 - جهاز هضمي ومعدة</v>
      </c>
      <c r="J34" t="str">
        <v>علبة</v>
      </c>
      <c r="K34">
        <v>79</v>
      </c>
      <c r="L34">
        <v>60.83</v>
      </c>
      <c r="M34">
        <v>20</v>
      </c>
      <c r="N34">
        <v>5</v>
      </c>
      <c r="O34" s="1">
        <f>K34-L34</f>
        <v>18.17</v>
      </c>
      <c r="P34" s="2">
        <f>IF(L34&gt;0,O34/L34,0)</f>
        <v>0.2987</v>
      </c>
      <c r="Q34" s="1">
        <f>L34*M34</f>
        <v>1216.6</v>
      </c>
      <c r="R34" s="1">
        <f>K34*M34</f>
        <v>1580</v>
      </c>
      <c r="S34" s="1">
        <f>R34-Q34</f>
        <v>363.4</v>
      </c>
      <c r="T34" t="str">
        <f>IF(M34=0,"نافد",IF(M34&lt;=N34,"قرب ينفد","متوفر"))</f>
        <v>متوفر</v>
      </c>
      <c r="U34" t="str">
        <v>فموي (Oral)</v>
      </c>
      <c r="V34" t="str">
        <v>فئة C (بحذر وإشراف طبي)</v>
      </c>
      <c r="W34" t="str">
        <v>لا</v>
      </c>
      <c r="X34" t="str">
        <v>لا</v>
      </c>
      <c r="Y34" t="str">
        <v>صرف مباشر (OTC)</v>
      </c>
      <c r="Z34">
        <v>2</v>
      </c>
      <c r="AA34">
        <v>0</v>
      </c>
      <c r="AB34" t="str">
        <v>MED-0251</v>
      </c>
    </row>
    <row r="35">
      <c r="A35">
        <v>32</v>
      </c>
      <c r="B35" t="str">
        <v>6220001025565</v>
      </c>
      <c r="C35" t="str">
        <v>اتميبرازول 20مجم 30 كبسولة (atmiprazole 20 mg 30 caps)</v>
      </c>
      <c r="D35" t="str">
        <v>esomeprazole</v>
      </c>
      <c r="E35" t="str">
        <v>كبسولات</v>
      </c>
      <c r="F35" t="str">
        <v>20مجم</v>
      </c>
      <c r="G35" t="str">
        <v>atm pharmaceutical industries</v>
      </c>
      <c r="H35" t="str">
        <v>أدوية المعدة والحموضة ومثبطات مضخة البروتون</v>
      </c>
      <c r="I35" t="str">
        <v>رف E1 - جهاز هضمي ومعدة</v>
      </c>
      <c r="J35" t="str">
        <v>علبة</v>
      </c>
      <c r="K35">
        <v>63</v>
      </c>
      <c r="L35">
        <v>48.51</v>
      </c>
      <c r="M35">
        <v>20</v>
      </c>
      <c r="N35">
        <v>5</v>
      </c>
      <c r="O35" s="1">
        <f>K35-L35</f>
        <v>14.49</v>
      </c>
      <c r="P35" s="2">
        <f>IF(L35&gt;0,O35/L35,0)</f>
        <v>0.2987</v>
      </c>
      <c r="Q35" s="1">
        <f>L35*M35</f>
        <v>970.2</v>
      </c>
      <c r="R35" s="1">
        <f>K35*M35</f>
        <v>1260</v>
      </c>
      <c r="S35" s="1">
        <f>R35-Q35</f>
        <v>289.8</v>
      </c>
      <c r="T35" t="str">
        <f>IF(M35=0,"نافد",IF(M35&lt;=N35,"قرب ينفد","متوفر"))</f>
        <v>متوفر</v>
      </c>
      <c r="U35" t="str">
        <v>فموي (Oral)</v>
      </c>
      <c r="V35" t="str">
        <v>فئة B (آمن إلى حد كبير)</v>
      </c>
      <c r="W35" t="str">
        <v>لا</v>
      </c>
      <c r="X35" t="str">
        <v>لا</v>
      </c>
      <c r="Y35" t="str">
        <v>صرف مباشر (OTC)</v>
      </c>
      <c r="Z35">
        <v>3</v>
      </c>
      <c r="AA35">
        <v>0</v>
      </c>
      <c r="AB35" t="str">
        <v>MED-0252</v>
      </c>
    </row>
    <row r="36">
      <c r="A36">
        <v>33</v>
      </c>
      <c r="B36" t="str">
        <v>6220001025589</v>
      </c>
      <c r="C36" t="str">
        <v>اتميبرازول 40مجم 30 كبسولة (atmiprazole 40 mg 30 caps)</v>
      </c>
      <c r="D36" t="str">
        <v>esomeprazole</v>
      </c>
      <c r="E36" t="str">
        <v>كبسولات</v>
      </c>
      <c r="F36" t="str">
        <v>40مجم</v>
      </c>
      <c r="G36" t="str">
        <v>atm pharmaceutical industries</v>
      </c>
      <c r="H36" t="str">
        <v>أدوية المعدة والحموضة ومثبطات مضخة البروتون</v>
      </c>
      <c r="I36" t="str">
        <v>رف E1 - جهاز هضمي ومعدة</v>
      </c>
      <c r="J36" t="str">
        <v>علبة</v>
      </c>
      <c r="K36">
        <v>103.5</v>
      </c>
      <c r="L36">
        <v>79.7</v>
      </c>
      <c r="M36">
        <v>20</v>
      </c>
      <c r="N36">
        <v>5</v>
      </c>
      <c r="O36" s="1">
        <f>K36-L36</f>
        <v>23.8</v>
      </c>
      <c r="P36" s="2">
        <f>IF(L36&gt;0,O36/L36,0)</f>
        <v>0.2986</v>
      </c>
      <c r="Q36" s="1">
        <f>L36*M36</f>
        <v>1594</v>
      </c>
      <c r="R36" s="1">
        <f>K36*M36</f>
        <v>2070</v>
      </c>
      <c r="S36" s="1">
        <f>R36-Q36</f>
        <v>476</v>
      </c>
      <c r="T36" t="str">
        <f>IF(M36=0,"نافد",IF(M36&lt;=N36,"قرب ينفد","متوفر"))</f>
        <v>متوفر</v>
      </c>
      <c r="U36" t="str">
        <v>فموي (Oral)</v>
      </c>
      <c r="V36" t="str">
        <v>فئة B (آمن إلى حد كبير)</v>
      </c>
      <c r="W36" t="str">
        <v>لا</v>
      </c>
      <c r="X36" t="str">
        <v>لا</v>
      </c>
      <c r="Y36" t="str">
        <v>صرف مباشر (OTC)</v>
      </c>
      <c r="Z36">
        <v>3</v>
      </c>
      <c r="AA36">
        <v>0</v>
      </c>
      <c r="AB36" t="str">
        <v>MED-0253</v>
      </c>
    </row>
    <row r="37">
      <c r="A37">
        <v>34</v>
      </c>
      <c r="B37" t="str">
        <v>6220001026241</v>
      </c>
      <c r="C37" t="str">
        <v>سكورش 20مجم 30 كبسولة (scorch 20 mg 30 caps)</v>
      </c>
      <c r="D37" t="str">
        <v>esomeprazole</v>
      </c>
      <c r="E37" t="str">
        <v>كبسولات</v>
      </c>
      <c r="F37" t="str">
        <v>20مجم</v>
      </c>
      <c r="G37" t="str">
        <v>hero pharm</v>
      </c>
      <c r="H37" t="str">
        <v>أدوية المعدة والحموضة ومثبطات مضخة البروتون</v>
      </c>
      <c r="I37" t="str">
        <v>رف E1 - جهاز هضمي ومعدة</v>
      </c>
      <c r="J37" t="str">
        <v>علبة</v>
      </c>
      <c r="K37">
        <v>90</v>
      </c>
      <c r="L37">
        <v>69.3</v>
      </c>
      <c r="M37">
        <v>20</v>
      </c>
      <c r="N37">
        <v>5</v>
      </c>
      <c r="O37" s="1">
        <f>K37-L37</f>
        <v>20.7</v>
      </c>
      <c r="P37" s="2">
        <f>IF(L37&gt;0,O37/L37,0)</f>
        <v>0.2987</v>
      </c>
      <c r="Q37" s="1">
        <f>L37*M37</f>
        <v>1386</v>
      </c>
      <c r="R37" s="1">
        <f>K37*M37</f>
        <v>1800</v>
      </c>
      <c r="S37" s="1">
        <f>R37-Q37</f>
        <v>414</v>
      </c>
      <c r="T37" t="str">
        <f>IF(M37=0,"نافد",IF(M37&lt;=N37,"قرب ينفد","متوفر"))</f>
        <v>متوفر</v>
      </c>
      <c r="U37" t="str">
        <v>فموي (Oral)</v>
      </c>
      <c r="V37" t="str">
        <v>فئة B (آمن إلى حد كبير)</v>
      </c>
      <c r="W37" t="str">
        <v>لا</v>
      </c>
      <c r="X37" t="str">
        <v>لا</v>
      </c>
      <c r="Y37" t="str">
        <v>صرف مباشر (OTC)</v>
      </c>
      <c r="Z37">
        <v>3</v>
      </c>
      <c r="AA37">
        <v>0</v>
      </c>
      <c r="AB37" t="str">
        <v>MED-0254</v>
      </c>
    </row>
    <row r="38">
      <c r="A38">
        <v>35</v>
      </c>
      <c r="B38" t="str">
        <v>6224007326947</v>
      </c>
      <c r="C38" t="str">
        <v>اردوكسيماج 40مجم 14 قرص (ardoximag 40mg 14 tabs)</v>
      </c>
      <c r="D38" t="str">
        <v>esomeprazole</v>
      </c>
      <c r="E38" t="str">
        <v>أقراص</v>
      </c>
      <c r="F38" t="str">
        <v>40مجم</v>
      </c>
      <c r="G38" t="str">
        <v>acino pharma</v>
      </c>
      <c r="H38" t="str">
        <v>أدوية المعدة والحموضة ومثبطات مضخة البروتون</v>
      </c>
      <c r="I38" t="str">
        <v>رف E1 - جهاز هضمي ومعدة</v>
      </c>
      <c r="J38" t="str">
        <v>علبة</v>
      </c>
      <c r="K38">
        <v>106</v>
      </c>
      <c r="L38">
        <v>81.62</v>
      </c>
      <c r="M38">
        <v>20</v>
      </c>
      <c r="N38">
        <v>5</v>
      </c>
      <c r="O38" s="1">
        <f>K38-L38</f>
        <v>24.38</v>
      </c>
      <c r="P38" s="2">
        <f>IF(L38&gt;0,O38/L38,0)</f>
        <v>0.2987</v>
      </c>
      <c r="Q38" s="1">
        <f>L38*M38</f>
        <v>1632.4</v>
      </c>
      <c r="R38" s="1">
        <f>K38*M38</f>
        <v>2120</v>
      </c>
      <c r="S38" s="1">
        <f>R38-Q38</f>
        <v>487.6</v>
      </c>
      <c r="T38" t="str">
        <f>IF(M38=0,"نافد",IF(M38&lt;=N38,"قرب ينفد","متوفر"))</f>
        <v>متوفر</v>
      </c>
      <c r="U38" t="str">
        <v>فموي (Oral)</v>
      </c>
      <c r="V38" t="str">
        <v>فئة B (آمن إلى حد كبير)</v>
      </c>
      <c r="W38" t="str">
        <v>لا</v>
      </c>
      <c r="X38" t="str">
        <v>لا</v>
      </c>
      <c r="Y38" t="str">
        <v>صرف مباشر (OTC)</v>
      </c>
      <c r="Z38">
        <v>2</v>
      </c>
      <c r="AA38">
        <v>0</v>
      </c>
      <c r="AB38" t="str">
        <v>MED-0255</v>
      </c>
    </row>
    <row r="39">
      <c r="A39">
        <v>36</v>
      </c>
      <c r="B39" t="str">
        <v>6223002570249</v>
      </c>
      <c r="C39" t="str">
        <v>هيلسك 10مجم 14 كبسولة (healsec 10mg 14 caps)</v>
      </c>
      <c r="D39" t="str">
        <v>omeprazole</v>
      </c>
      <c r="E39" t="str">
        <v>كبسولات</v>
      </c>
      <c r="F39" t="str">
        <v>10مجم</v>
      </c>
      <c r="G39" t="str">
        <v>borg</v>
      </c>
      <c r="H39" t="str">
        <v>أدوية المعدة والحموضة ومثبطات مضخة البروتون</v>
      </c>
      <c r="I39" t="str">
        <v>رف E1 - جهاز هضمي ومعدة</v>
      </c>
      <c r="J39" t="str">
        <v>علبة</v>
      </c>
      <c r="K39">
        <v>32</v>
      </c>
      <c r="L39">
        <v>24.64</v>
      </c>
      <c r="M39">
        <v>20</v>
      </c>
      <c r="N39">
        <v>5</v>
      </c>
      <c r="O39" s="1">
        <f>K39-L39</f>
        <v>7.36</v>
      </c>
      <c r="P39" s="2">
        <f>IF(L39&gt;0,O39/L39,0)</f>
        <v>0.2987</v>
      </c>
      <c r="Q39" s="1">
        <f>L39*M39</f>
        <v>492.8</v>
      </c>
      <c r="R39" s="1">
        <f>K39*M39</f>
        <v>640</v>
      </c>
      <c r="S39" s="1">
        <f>R39-Q39</f>
        <v>147.2</v>
      </c>
      <c r="T39" t="str">
        <f>IF(M39=0,"نافد",IF(M39&lt;=N39,"قرب ينفد","متوفر"))</f>
        <v>متوفر</v>
      </c>
      <c r="U39" t="str">
        <v>فموي (Oral)</v>
      </c>
      <c r="V39" t="str">
        <v>فئة C (بحذر وإشراف طبي)</v>
      </c>
      <c r="W39" t="str">
        <v>لا</v>
      </c>
      <c r="X39" t="str">
        <v>لا</v>
      </c>
      <c r="Y39" t="str">
        <v>صرف مباشر (OTC)</v>
      </c>
      <c r="Z39">
        <v>1</v>
      </c>
      <c r="AA39">
        <v>0</v>
      </c>
      <c r="AB39" t="str">
        <v>MED-0256</v>
      </c>
    </row>
    <row r="40">
      <c r="A40">
        <v>37</v>
      </c>
      <c r="B40" t="str">
        <v>6223002570485</v>
      </c>
      <c r="C40" t="str">
        <v>هيلسك 20مجم 14 كبسولة (healsec 20mg 14 caps)</v>
      </c>
      <c r="D40" t="str">
        <v>omeprazole</v>
      </c>
      <c r="E40" t="str">
        <v>كبسولات</v>
      </c>
      <c r="F40" t="str">
        <v>20مجم</v>
      </c>
      <c r="G40" t="str">
        <v>borg</v>
      </c>
      <c r="H40" t="str">
        <v>أدوية المعدة والحموضة ومثبطات مضخة البروتون</v>
      </c>
      <c r="I40" t="str">
        <v>رف E1 - جهاز هضمي ومعدة</v>
      </c>
      <c r="J40" t="str">
        <v>علبة</v>
      </c>
      <c r="K40">
        <v>47</v>
      </c>
      <c r="L40">
        <v>36.19</v>
      </c>
      <c r="M40">
        <v>20</v>
      </c>
      <c r="N40">
        <v>5</v>
      </c>
      <c r="O40" s="1">
        <f>K40-L40</f>
        <v>10.81</v>
      </c>
      <c r="P40" s="2">
        <f>IF(L40&gt;0,O40/L40,0)</f>
        <v>0.2987</v>
      </c>
      <c r="Q40" s="1">
        <f>L40*M40</f>
        <v>723.8</v>
      </c>
      <c r="R40" s="1">
        <f>K40*M40</f>
        <v>940</v>
      </c>
      <c r="S40" s="1">
        <f>R40-Q40</f>
        <v>216.2</v>
      </c>
      <c r="T40" t="str">
        <f>IF(M40=0,"نافد",IF(M40&lt;=N40,"قرب ينفد","متوفر"))</f>
        <v>متوفر</v>
      </c>
      <c r="U40" t="str">
        <v>فموي (Oral)</v>
      </c>
      <c r="V40" t="str">
        <v>فئة C (بحذر وإشراف طبي)</v>
      </c>
      <c r="W40" t="str">
        <v>لا</v>
      </c>
      <c r="X40" t="str">
        <v>لا</v>
      </c>
      <c r="Y40" t="str">
        <v>صرف مباشر (OTC)</v>
      </c>
      <c r="Z40">
        <v>1</v>
      </c>
      <c r="AA40">
        <v>0</v>
      </c>
      <c r="AB40" t="str">
        <v>MED-0257</v>
      </c>
    </row>
    <row r="41">
      <c r="A41">
        <v>38</v>
      </c>
      <c r="B41" t="str">
        <v>6223002570492</v>
      </c>
      <c r="C41" t="str">
        <v>هيلسك 40مجم 14 كبسولة (healsec 40mg 14 caps)</v>
      </c>
      <c r="D41" t="str">
        <v>omeprazole</v>
      </c>
      <c r="E41" t="str">
        <v>كبسولات</v>
      </c>
      <c r="F41" t="str">
        <v>40مجم</v>
      </c>
      <c r="G41" t="str">
        <v>borg</v>
      </c>
      <c r="H41" t="str">
        <v>أدوية المعدة والحموضة ومثبطات مضخة البروتون</v>
      </c>
      <c r="I41" t="str">
        <v>رف E1 - جهاز هضمي ومعدة</v>
      </c>
      <c r="J41" t="str">
        <v>علبة</v>
      </c>
      <c r="K41">
        <v>73</v>
      </c>
      <c r="L41">
        <v>56.21</v>
      </c>
      <c r="M41">
        <v>20</v>
      </c>
      <c r="N41">
        <v>5</v>
      </c>
      <c r="O41" s="1">
        <f>K41-L41</f>
        <v>16.79</v>
      </c>
      <c r="P41" s="2">
        <f>IF(L41&gt;0,O41/L41,0)</f>
        <v>0.2987</v>
      </c>
      <c r="Q41" s="1">
        <f>L41*M41</f>
        <v>1124.2</v>
      </c>
      <c r="R41" s="1">
        <f>K41*M41</f>
        <v>1460</v>
      </c>
      <c r="S41" s="1">
        <f>R41-Q41</f>
        <v>335.8</v>
      </c>
      <c r="T41" t="str">
        <f>IF(M41=0,"نافد",IF(M41&lt;=N41,"قرب ينفد","متوفر"))</f>
        <v>متوفر</v>
      </c>
      <c r="U41" t="str">
        <v>فموي (Oral)</v>
      </c>
      <c r="V41" t="str">
        <v>فئة C (بحذر وإشراف طبي)</v>
      </c>
      <c r="W41" t="str">
        <v>لا</v>
      </c>
      <c r="X41" t="str">
        <v>لا</v>
      </c>
      <c r="Y41" t="str">
        <v>صرف مباشر (OTC)</v>
      </c>
      <c r="Z41">
        <v>1</v>
      </c>
      <c r="AA41">
        <v>0</v>
      </c>
      <c r="AB41" t="str">
        <v>MED-0258</v>
      </c>
    </row>
    <row r="42">
      <c r="A42">
        <v>39</v>
      </c>
      <c r="B42" t="str">
        <v>6224001026898</v>
      </c>
      <c r="C42" t="str">
        <v>هيليكيور 500/20/500مجم 14 قرص (heli-cure 500/20/500 mg 14 enteric coated tab)</v>
      </c>
      <c r="D42" t="str">
        <v>clarithromycin+omeprazole+tinidazole</v>
      </c>
      <c r="E42" t="str">
        <v>أقراص</v>
      </c>
      <c r="F42" t="str">
        <v>500مجم</v>
      </c>
      <c r="G42" t="str">
        <v>egyphar</v>
      </c>
      <c r="H42" t="str">
        <v>أدوية المعدة والحموضة ومثبطات مضخة البروتون</v>
      </c>
      <c r="I42" t="str">
        <v>رف E1 - جهاز هضمي ومعدة</v>
      </c>
      <c r="J42" t="str">
        <v>علبة</v>
      </c>
      <c r="K42">
        <v>240</v>
      </c>
      <c r="L42">
        <v>184.8</v>
      </c>
      <c r="M42">
        <v>20</v>
      </c>
      <c r="N42">
        <v>5</v>
      </c>
      <c r="O42" s="1">
        <f>K42-L42</f>
        <v>55.2</v>
      </c>
      <c r="P42" s="2">
        <f>IF(L42&gt;0,O42/L42,0)</f>
        <v>0.2987</v>
      </c>
      <c r="Q42" s="1">
        <f>L42*M42</f>
        <v>3696</v>
      </c>
      <c r="R42" s="1">
        <f>K42*M42</f>
        <v>4800</v>
      </c>
      <c r="S42" s="1">
        <f>R42-Q42</f>
        <v>1104</v>
      </c>
      <c r="T42" t="str">
        <f>IF(M42=0,"نافد",IF(M42&lt;=N42,"قرب ينفد","متوفر"))</f>
        <v>متوفر</v>
      </c>
      <c r="U42" t="str">
        <v>فموي (Oral)</v>
      </c>
      <c r="V42" t="str">
        <v>فئة C (بحذر وإشراف طبي)</v>
      </c>
      <c r="W42" t="str">
        <v>نعم</v>
      </c>
      <c r="X42" t="str">
        <v>لا</v>
      </c>
      <c r="Y42" t="str">
        <v>روشتة طبية (Rx)</v>
      </c>
      <c r="Z42">
        <v>2</v>
      </c>
      <c r="AA42">
        <v>0</v>
      </c>
      <c r="AB42" t="str">
        <v>MED-0259</v>
      </c>
    </row>
    <row r="43">
      <c r="A43">
        <v>40</v>
      </c>
      <c r="B43" t="str">
        <v>6224007333242</v>
      </c>
      <c r="C43" t="str">
        <v>كليمازيس 40 مجم 14 كبسولة (klemazice 40mg 14 caps)</v>
      </c>
      <c r="D43" t="str">
        <v>esomeprazole</v>
      </c>
      <c r="E43" t="str">
        <v>كبسولات</v>
      </c>
      <c r="F43" t="str">
        <v>40 مجم</v>
      </c>
      <c r="G43" t="str">
        <v>spimaco misr</v>
      </c>
      <c r="H43" t="str">
        <v>أدوية المعدة والحموضة ومثبطات مضخة البروتون</v>
      </c>
      <c r="I43" t="str">
        <v>رف E1 - جهاز هضمي ومعدة</v>
      </c>
      <c r="J43" t="str">
        <v>علبة</v>
      </c>
      <c r="K43">
        <v>69</v>
      </c>
      <c r="L43">
        <v>53.13</v>
      </c>
      <c r="M43">
        <v>20</v>
      </c>
      <c r="N43">
        <v>5</v>
      </c>
      <c r="O43" s="1">
        <f>K43-L43</f>
        <v>15.87</v>
      </c>
      <c r="P43" s="2">
        <f>IF(L43&gt;0,O43/L43,0)</f>
        <v>0.2987</v>
      </c>
      <c r="Q43" s="1">
        <f>L43*M43</f>
        <v>1062.6</v>
      </c>
      <c r="R43" s="1">
        <f>K43*M43</f>
        <v>1380</v>
      </c>
      <c r="S43" s="1">
        <f>R43-Q43</f>
        <v>317.4</v>
      </c>
      <c r="T43" t="str">
        <f>IF(M43=0,"نافد",IF(M43&lt;=N43,"قرب ينفد","متوفر"))</f>
        <v>متوفر</v>
      </c>
      <c r="U43" t="str">
        <v>فموي (Oral)</v>
      </c>
      <c r="V43" t="str">
        <v>فئة B (آمن إلى حد كبير)</v>
      </c>
      <c r="W43" t="str">
        <v>لا</v>
      </c>
      <c r="X43" t="str">
        <v>لا</v>
      </c>
      <c r="Y43" t="str">
        <v>صرف مباشر (OTC)</v>
      </c>
      <c r="Z43">
        <v>2</v>
      </c>
      <c r="AA43">
        <v>0</v>
      </c>
      <c r="AB43" t="str">
        <v>MED-0260</v>
      </c>
    </row>
    <row r="44">
      <c r="A44">
        <v>41</v>
      </c>
      <c r="B44" t="str">
        <v>6223015000498</v>
      </c>
      <c r="C44" t="str">
        <v>نيكسيكيور 40 مجم 30 قرص (nexicure 40 mg 30 f.c tab)</v>
      </c>
      <c r="D44" t="str">
        <v>esomeprazole</v>
      </c>
      <c r="E44" t="str">
        <v>أقراص</v>
      </c>
      <c r="F44" t="str">
        <v>40 مجم</v>
      </c>
      <c r="G44" t="str">
        <v>zeta pharma</v>
      </c>
      <c r="H44" t="str">
        <v>أدوية المعدة والحموضة ومثبطات مضخة البروتون</v>
      </c>
      <c r="I44" t="str">
        <v>رف E1 - جهاز هضمي ومعدة</v>
      </c>
      <c r="J44" t="str">
        <v>علبة</v>
      </c>
      <c r="K44">
        <v>228</v>
      </c>
      <c r="L44">
        <v>175.56</v>
      </c>
      <c r="M44">
        <v>20</v>
      </c>
      <c r="N44">
        <v>5</v>
      </c>
      <c r="O44" s="1">
        <f>K44-L44</f>
        <v>52.44</v>
      </c>
      <c r="P44" s="2">
        <f>IF(L44&gt;0,O44/L44,0)</f>
        <v>0.2987</v>
      </c>
      <c r="Q44" s="1">
        <f>L44*M44</f>
        <v>3511.2</v>
      </c>
      <c r="R44" s="1">
        <f>K44*M44</f>
        <v>4560</v>
      </c>
      <c r="S44" s="1">
        <f>R44-Q44</f>
        <v>1048.8</v>
      </c>
      <c r="T44" t="str">
        <f>IF(M44=0,"نافد",IF(M44&lt;=N44,"قرب ينفد","متوفر"))</f>
        <v>متوفر</v>
      </c>
      <c r="U44" t="str">
        <v>فموي (Oral)</v>
      </c>
      <c r="V44" t="str">
        <v>فئة B (آمن إلى حد كبير)</v>
      </c>
      <c r="W44" t="str">
        <v>لا</v>
      </c>
      <c r="X44" t="str">
        <v>لا</v>
      </c>
      <c r="Y44" t="str">
        <v>صرف مباشر (OTC)</v>
      </c>
      <c r="Z44">
        <v>3</v>
      </c>
      <c r="AA44">
        <v>0</v>
      </c>
      <c r="AB44" t="str">
        <v>MED-0261</v>
      </c>
    </row>
    <row r="45">
      <c r="A45">
        <v>42</v>
      </c>
      <c r="B45" t="str">
        <v>7321839710605</v>
      </c>
      <c r="C45" t="str">
        <v>لوزيك 40مجم/مل فيال (losec 40mg/ml vial)</v>
      </c>
      <c r="D45" t="str">
        <v>omeprazole</v>
      </c>
      <c r="E45" t="str">
        <v>حقن</v>
      </c>
      <c r="F45" t="str">
        <v>40مجم</v>
      </c>
      <c r="G45" t="str">
        <v>astra zeneca</v>
      </c>
      <c r="H45" t="str">
        <v>أدوية المعدة والحموضة ومثبطات مضخة البروتون</v>
      </c>
      <c r="I45" t="str">
        <v>رف E1 - جهاز هضمي ومعدة</v>
      </c>
      <c r="J45" t="str">
        <v>قطعة</v>
      </c>
      <c r="K45">
        <v>54.25</v>
      </c>
      <c r="L45">
        <v>41.77</v>
      </c>
      <c r="M45">
        <v>20</v>
      </c>
      <c r="N45">
        <v>5</v>
      </c>
      <c r="O45" s="1">
        <f>K45-L45</f>
        <v>12.48</v>
      </c>
      <c r="P45" s="2">
        <f>IF(L45&gt;0,O45/L45,0)</f>
        <v>0.2988</v>
      </c>
      <c r="Q45" s="1">
        <f>L45*M45</f>
        <v>835.4</v>
      </c>
      <c r="R45" s="1">
        <f>K45*M45</f>
        <v>1085</v>
      </c>
      <c r="S45" s="1">
        <f>R45-Q45</f>
        <v>249.6</v>
      </c>
      <c r="T45" t="str">
        <f>IF(M45=0,"نافد",IF(M45&lt;=N45,"قرب ينفد","متوفر"))</f>
        <v>متوفر</v>
      </c>
      <c r="U45" t="str">
        <v>حقن عضل / وريد (Parenteral)</v>
      </c>
      <c r="V45" t="str">
        <v>فئة C (بحذر وإشراف طبي)</v>
      </c>
      <c r="W45" t="str">
        <v>لا</v>
      </c>
      <c r="X45" t="str">
        <v>لا</v>
      </c>
      <c r="Y45" t="str">
        <v>روشتة طبية (Rx)</v>
      </c>
      <c r="Z45">
        <v>1</v>
      </c>
      <c r="AA45">
        <v>0</v>
      </c>
      <c r="AB45" t="str">
        <v>MED-0262</v>
      </c>
    </row>
    <row r="46">
      <c r="A46">
        <v>43</v>
      </c>
      <c r="B46" t="str">
        <v>6220001036813</v>
      </c>
      <c r="C46" t="str">
        <v>ويلجازول 40/1100 مجم 20 كبسولة (welgazole 40/1100mg 20 h.g. caps)</v>
      </c>
      <c r="D46" t="str">
        <v>omeprazole+sodium bicarbonate</v>
      </c>
      <c r="E46" t="str">
        <v>كبسولات</v>
      </c>
      <c r="F46" t="str">
        <v>1100 مجم</v>
      </c>
      <c r="G46" t="str">
        <v>penta pharma</v>
      </c>
      <c r="H46" t="str">
        <v>أدوية المعدة والحموضة ومثبطات مضخة البروتون</v>
      </c>
      <c r="I46" t="str">
        <v>رف E1 - جهاز هضمي ومعدة</v>
      </c>
      <c r="J46" t="str">
        <v>علبة</v>
      </c>
      <c r="K46">
        <v>138</v>
      </c>
      <c r="L46">
        <v>106.26</v>
      </c>
      <c r="M46">
        <v>20</v>
      </c>
      <c r="N46">
        <v>5</v>
      </c>
      <c r="O46" s="1">
        <f>K46-L46</f>
        <v>31.74</v>
      </c>
      <c r="P46" s="2">
        <f>IF(L46&gt;0,O46/L46,0)</f>
        <v>0.2987</v>
      </c>
      <c r="Q46" s="1">
        <f>L46*M46</f>
        <v>2125.2</v>
      </c>
      <c r="R46" s="1">
        <f>K46*M46</f>
        <v>2760</v>
      </c>
      <c r="S46" s="1">
        <f>R46-Q46</f>
        <v>634.8</v>
      </c>
      <c r="T46" t="str">
        <f>IF(M46=0,"نافد",IF(M46&lt;=N46,"قرب ينفد","متوفر"))</f>
        <v>متوفر</v>
      </c>
      <c r="U46" t="str">
        <v>فموي (Oral)</v>
      </c>
      <c r="V46" t="str">
        <v>فئة C (بحذر وإشراف طبي)</v>
      </c>
      <c r="W46" t="str">
        <v>لا</v>
      </c>
      <c r="X46" t="str">
        <v>لا</v>
      </c>
      <c r="Y46" t="str">
        <v>صرف مباشر (OTC)</v>
      </c>
      <c r="Z46">
        <v>2</v>
      </c>
      <c r="AA46">
        <v>0</v>
      </c>
      <c r="AB46" t="str">
        <v>MED-0263</v>
      </c>
    </row>
    <row r="47">
      <c r="A47">
        <v>44</v>
      </c>
      <c r="B47" t="str">
        <v>6223015000375</v>
      </c>
      <c r="C47" t="str">
        <v>نيكسيكيور بلس 40/1680مجم 14 كيس (nexicure plus 40mg/1680mg 14 sachets)</v>
      </c>
      <c r="D47" t="str">
        <v>esomeprazole+sodium bicarbonate</v>
      </c>
      <c r="E47" t="str">
        <v>أكياس بودرة</v>
      </c>
      <c r="F47" t="str">
        <v>1680مجم</v>
      </c>
      <c r="G47" t="str">
        <v>zeta pharm</v>
      </c>
      <c r="H47" t="str">
        <v>أدوية المعدة والحموضة ومثبطات مضخة البروتون</v>
      </c>
      <c r="I47" t="str">
        <v>رف E1 - جهاز هضمي ومعدة</v>
      </c>
      <c r="J47" t="str">
        <v>قطعة</v>
      </c>
      <c r="K47">
        <v>133</v>
      </c>
      <c r="L47">
        <v>102.41</v>
      </c>
      <c r="M47">
        <v>20</v>
      </c>
      <c r="N47">
        <v>5</v>
      </c>
      <c r="O47" s="1">
        <f>K47-L47</f>
        <v>30.59</v>
      </c>
      <c r="P47" s="2">
        <f>IF(L47&gt;0,O47/L47,0)</f>
        <v>0.2987</v>
      </c>
      <c r="Q47" s="1">
        <f>L47*M47</f>
        <v>2048.2</v>
      </c>
      <c r="R47" s="1">
        <f>K47*M47</f>
        <v>2660</v>
      </c>
      <c r="S47" s="1">
        <f>R47-Q47</f>
        <v>611.8</v>
      </c>
      <c r="T47" t="str">
        <f>IF(M47=0,"نافد",IF(M47&lt;=N47,"قرب ينفد","متوفر"))</f>
        <v>متوفر</v>
      </c>
      <c r="U47" t="str">
        <v>فموي (Oral)</v>
      </c>
      <c r="V47" t="str">
        <v>فئة B (آمن إلى حد كبير)</v>
      </c>
      <c r="W47" t="str">
        <v>لا</v>
      </c>
      <c r="X47" t="str">
        <v>لا</v>
      </c>
      <c r="Y47" t="str">
        <v>صرف مباشر (OTC)</v>
      </c>
      <c r="Z47">
        <v>1</v>
      </c>
      <c r="AA47">
        <v>0</v>
      </c>
      <c r="AB47" t="str">
        <v>MED-0264</v>
      </c>
    </row>
    <row r="48">
      <c r="A48">
        <v>45</v>
      </c>
      <c r="B48" t="str">
        <v>6223002145980</v>
      </c>
      <c r="C48" t="str">
        <v>نابيزول 20مجم 14 كبسولة (napizole 20mg 14 cap)</v>
      </c>
      <c r="D48" t="str">
        <v>omeprazole</v>
      </c>
      <c r="E48" t="str">
        <v>كبسولات</v>
      </c>
      <c r="F48" t="str">
        <v>20مجم</v>
      </c>
      <c r="G48" t="str">
        <v>global napi pharmaceuticals</v>
      </c>
      <c r="H48" t="str">
        <v>أدوية المعدة والحموضة ومثبطات مضخة البروتون</v>
      </c>
      <c r="I48" t="str">
        <v>رف E1 - جهاز هضمي ومعدة</v>
      </c>
      <c r="J48" t="str">
        <v>علبة</v>
      </c>
      <c r="K48">
        <v>62</v>
      </c>
      <c r="L48">
        <v>47.74</v>
      </c>
      <c r="M48">
        <v>20</v>
      </c>
      <c r="N48">
        <v>5</v>
      </c>
      <c r="O48" s="1">
        <f>K48-L48</f>
        <v>14.26</v>
      </c>
      <c r="P48" s="2">
        <f>IF(L48&gt;0,O48/L48,0)</f>
        <v>0.2987</v>
      </c>
      <c r="Q48" s="1">
        <f>L48*M48</f>
        <v>954.8</v>
      </c>
      <c r="R48" s="1">
        <f>K48*M48</f>
        <v>1240</v>
      </c>
      <c r="S48" s="1">
        <f>R48-Q48</f>
        <v>285.2</v>
      </c>
      <c r="T48" t="str">
        <f>IF(M48=0,"نافد",IF(M48&lt;=N48,"قرب ينفد","متوفر"))</f>
        <v>متوفر</v>
      </c>
      <c r="U48" t="str">
        <v>فموي (Oral)</v>
      </c>
      <c r="V48" t="str">
        <v>فئة C (بحذر وإشراف طبي)</v>
      </c>
      <c r="W48" t="str">
        <v>لا</v>
      </c>
      <c r="X48" t="str">
        <v>لا</v>
      </c>
      <c r="Y48" t="str">
        <v>صرف مباشر (OTC)</v>
      </c>
      <c r="Z48">
        <v>1</v>
      </c>
      <c r="AA48">
        <v>0</v>
      </c>
      <c r="AB48" t="str">
        <v>MED-0265</v>
      </c>
    </row>
    <row r="49">
      <c r="A49">
        <v>46</v>
      </c>
      <c r="B49" t="str">
        <v>6223002149698</v>
      </c>
      <c r="C49" t="str">
        <v>نابيزول 40مجم فيال للتنقيط الوريدي (napizole 40 mg iv infusion vial)</v>
      </c>
      <c r="D49" t="str">
        <v>omeprazole</v>
      </c>
      <c r="E49" t="str">
        <v>حقن</v>
      </c>
      <c r="F49" t="str">
        <v>40مجم</v>
      </c>
      <c r="G49" t="str">
        <v>global napi pharmaceuticals</v>
      </c>
      <c r="H49" t="str">
        <v>أدوية المعدة والحموضة ومثبطات مضخة البروتون</v>
      </c>
      <c r="I49" t="str">
        <v>رف E1 - جهاز هضمي ومعدة</v>
      </c>
      <c r="J49" t="str">
        <v>قطعة</v>
      </c>
      <c r="K49">
        <v>60</v>
      </c>
      <c r="L49">
        <v>46.2</v>
      </c>
      <c r="M49">
        <v>20</v>
      </c>
      <c r="N49">
        <v>5</v>
      </c>
      <c r="O49" s="1">
        <f>K49-L49</f>
        <v>13.8</v>
      </c>
      <c r="P49" s="2">
        <f>IF(L49&gt;0,O49/L49,0)</f>
        <v>0.2987</v>
      </c>
      <c r="Q49" s="1">
        <f>L49*M49</f>
        <v>924</v>
      </c>
      <c r="R49" s="1">
        <f>K49*M49</f>
        <v>1200</v>
      </c>
      <c r="S49" s="1">
        <f>R49-Q49</f>
        <v>276</v>
      </c>
      <c r="T49" t="str">
        <f>IF(M49=0,"نافد",IF(M49&lt;=N49,"قرب ينفد","متوفر"))</f>
        <v>متوفر</v>
      </c>
      <c r="U49" t="str">
        <v>حقن عضل / وريد (Parenteral)</v>
      </c>
      <c r="V49" t="str">
        <v>فئة C (بحذر وإشراف طبي)</v>
      </c>
      <c r="W49" t="str">
        <v>لا</v>
      </c>
      <c r="X49" t="str">
        <v>لا</v>
      </c>
      <c r="Y49" t="str">
        <v>روشتة طبية (Rx)</v>
      </c>
      <c r="Z49">
        <v>1</v>
      </c>
      <c r="AA49">
        <v>0</v>
      </c>
      <c r="AB49" t="str">
        <v>MED-0266</v>
      </c>
    </row>
    <row r="50">
      <c r="A50">
        <v>47</v>
      </c>
      <c r="B50" t="str">
        <v>6223015000504</v>
      </c>
      <c r="C50" t="str">
        <v>نيكسيكيور بلس 20مجم/1680مجم 14 كيس (nexicure plus 20mg/1680mg 14 sachet)</v>
      </c>
      <c r="D50" t="str">
        <v>esomeprazole 20mg/sodium bicarbonate 1680mg</v>
      </c>
      <c r="E50" t="str">
        <v>أكياس بودرة</v>
      </c>
      <c r="F50" t="str">
        <v>20مجم</v>
      </c>
      <c r="G50" t="str">
        <v>zeta pharma</v>
      </c>
      <c r="H50" t="str">
        <v>أدوية المعدة والحموضة ومثبطات مضخة البروتون</v>
      </c>
      <c r="I50" t="str">
        <v>رف E1 - جهاز هضمي ومعدة</v>
      </c>
      <c r="J50" t="str">
        <v>قطعة</v>
      </c>
      <c r="K50">
        <v>112</v>
      </c>
      <c r="L50">
        <v>86.24</v>
      </c>
      <c r="M50">
        <v>20</v>
      </c>
      <c r="N50">
        <v>5</v>
      </c>
      <c r="O50" s="1">
        <f>K50-L50</f>
        <v>25.76</v>
      </c>
      <c r="P50" s="2">
        <f>IF(L50&gt;0,O50/L50,0)</f>
        <v>0.2987</v>
      </c>
      <c r="Q50" s="1">
        <f>L50*M50</f>
        <v>1724.8</v>
      </c>
      <c r="R50" s="1">
        <f>K50*M50</f>
        <v>2240</v>
      </c>
      <c r="S50" s="1">
        <f>R50-Q50</f>
        <v>515.2</v>
      </c>
      <c r="T50" t="str">
        <f>IF(M50=0,"نافد",IF(M50&lt;=N50,"قرب ينفد","متوفر"))</f>
        <v>متوفر</v>
      </c>
      <c r="U50" t="str">
        <v>فموي (Oral)</v>
      </c>
      <c r="V50" t="str">
        <v>فئة B (آمن إلى حد كبير)</v>
      </c>
      <c r="W50" t="str">
        <v>لا</v>
      </c>
      <c r="X50" t="str">
        <v>لا</v>
      </c>
      <c r="Y50" t="str">
        <v>صرف مباشر (OTC)</v>
      </c>
      <c r="Z50">
        <v>1</v>
      </c>
      <c r="AA50">
        <v>0</v>
      </c>
      <c r="AB50" t="str">
        <v>MED-0267</v>
      </c>
    </row>
    <row r="51">
      <c r="A51">
        <v>48</v>
      </c>
      <c r="B51" t="str">
        <v>6222001400373</v>
      </c>
      <c r="C51" t="str">
        <v>نيكسيماش 40مجم 14 كبسولة (neximash 40mg 14 caps)</v>
      </c>
      <c r="D51" t="str">
        <v>esomeprazole</v>
      </c>
      <c r="E51" t="str">
        <v>كبسولات</v>
      </c>
      <c r="F51" t="str">
        <v>40مجم</v>
      </c>
      <c r="G51" t="str">
        <v>mash premiere</v>
      </c>
      <c r="H51" t="str">
        <v>أدوية المعدة والحموضة ومثبطات مضخة البروتون</v>
      </c>
      <c r="I51" t="str">
        <v>رف E1 - جهاز هضمي ومعدة</v>
      </c>
      <c r="J51" t="str">
        <v>علبة</v>
      </c>
      <c r="K51">
        <v>110</v>
      </c>
      <c r="L51">
        <v>84.7</v>
      </c>
      <c r="M51">
        <v>20</v>
      </c>
      <c r="N51">
        <v>5</v>
      </c>
      <c r="O51" s="1">
        <f>K51-L51</f>
        <v>25.3</v>
      </c>
      <c r="P51" s="2">
        <f>IF(L51&gt;0,O51/L51,0)</f>
        <v>0.2987</v>
      </c>
      <c r="Q51" s="1">
        <f>L51*M51</f>
        <v>1694</v>
      </c>
      <c r="R51" s="1">
        <f>K51*M51</f>
        <v>2200</v>
      </c>
      <c r="S51" s="1">
        <f>R51-Q51</f>
        <v>506</v>
      </c>
      <c r="T51" t="str">
        <f>IF(M51=0,"نافد",IF(M51&lt;=N51,"قرب ينفد","متوفر"))</f>
        <v>متوفر</v>
      </c>
      <c r="U51" t="str">
        <v>فموي (Oral)</v>
      </c>
      <c r="V51" t="str">
        <v>فئة B (آمن إلى حد كبير)</v>
      </c>
      <c r="W51" t="str">
        <v>لا</v>
      </c>
      <c r="X51" t="str">
        <v>لا</v>
      </c>
      <c r="Y51" t="str">
        <v>صرف مباشر (OTC)</v>
      </c>
      <c r="Z51">
        <v>2</v>
      </c>
      <c r="AA51">
        <v>0</v>
      </c>
      <c r="AB51" t="str">
        <v>MED-0268</v>
      </c>
    </row>
    <row r="52">
      <c r="A52">
        <v>49</v>
      </c>
      <c r="B52" t="str">
        <v>6222001400717</v>
      </c>
      <c r="C52" t="str">
        <v>نيكسيماش 40مجم 7 كبسولات (neximash 40mg 7 caps)</v>
      </c>
      <c r="D52" t="str">
        <v>esomeprazole</v>
      </c>
      <c r="E52" t="str">
        <v>كبسولات</v>
      </c>
      <c r="F52" t="str">
        <v>40مجم</v>
      </c>
      <c r="G52" t="str">
        <v>mash premiere</v>
      </c>
      <c r="H52" t="str">
        <v>أدوية المعدة والحموضة ومثبطات مضخة البروتون</v>
      </c>
      <c r="I52" t="str">
        <v>رف E1 - جهاز هضمي ومعدة</v>
      </c>
      <c r="J52" t="str">
        <v>علبة</v>
      </c>
      <c r="K52">
        <v>55</v>
      </c>
      <c r="L52">
        <v>42.35</v>
      </c>
      <c r="M52">
        <v>20</v>
      </c>
      <c r="N52">
        <v>5</v>
      </c>
      <c r="O52" s="1">
        <f>K52-L52</f>
        <v>12.65</v>
      </c>
      <c r="P52" s="2">
        <f>IF(L52&gt;0,O52/L52,0)</f>
        <v>0.2987</v>
      </c>
      <c r="Q52" s="1">
        <f>L52*M52</f>
        <v>847</v>
      </c>
      <c r="R52" s="1">
        <f>K52*M52</f>
        <v>1100</v>
      </c>
      <c r="S52" s="1">
        <f>R52-Q52</f>
        <v>253</v>
      </c>
      <c r="T52" t="str">
        <f>IF(M52=0,"نافد",IF(M52&lt;=N52,"قرب ينفد","متوفر"))</f>
        <v>متوفر</v>
      </c>
      <c r="U52" t="str">
        <v>فموي (Oral)</v>
      </c>
      <c r="V52" t="str">
        <v>فئة B (آمن إلى حد كبير)</v>
      </c>
      <c r="W52" t="str">
        <v>لا</v>
      </c>
      <c r="X52" t="str">
        <v>لا</v>
      </c>
      <c r="Y52" t="str">
        <v>صرف مباشر (OTC)</v>
      </c>
      <c r="Z52">
        <v>1</v>
      </c>
      <c r="AA52">
        <v>0</v>
      </c>
      <c r="AB52" t="str">
        <v>MED-0269</v>
      </c>
    </row>
    <row r="53">
      <c r="A53">
        <v>50</v>
      </c>
      <c r="B53" t="str">
        <v>5000456053518</v>
      </c>
      <c r="C53" t="str">
        <v>نيكسيوم 20مجم 28 قرص (nexium 20mg 28 f.c. tab)</v>
      </c>
      <c r="D53" t="str">
        <v>esomeprazole</v>
      </c>
      <c r="E53" t="str">
        <v>أقراص</v>
      </c>
      <c r="F53" t="str">
        <v>20مجم</v>
      </c>
      <c r="G53" t="str">
        <v>astra zeneca</v>
      </c>
      <c r="H53" t="str">
        <v>أدوية المعدة والحموضة ومثبطات مضخة البروتون</v>
      </c>
      <c r="I53" t="str">
        <v>رف E1 - جهاز هضمي ومعدة</v>
      </c>
      <c r="J53" t="str">
        <v>علبة</v>
      </c>
      <c r="K53">
        <v>332</v>
      </c>
      <c r="L53">
        <v>255.64</v>
      </c>
      <c r="M53">
        <v>20</v>
      </c>
      <c r="N53">
        <v>5</v>
      </c>
      <c r="O53" s="1">
        <f>K53-L53</f>
        <v>76.36</v>
      </c>
      <c r="P53" s="2">
        <f>IF(L53&gt;0,O53/L53,0)</f>
        <v>0.2987</v>
      </c>
      <c r="Q53" s="1">
        <f>L53*M53</f>
        <v>5112.8</v>
      </c>
      <c r="R53" s="1">
        <f>K53*M53</f>
        <v>6640</v>
      </c>
      <c r="S53" s="1">
        <f>R53-Q53</f>
        <v>1527.2</v>
      </c>
      <c r="T53" t="str">
        <f>IF(M53=0,"نافد",IF(M53&lt;=N53,"قرب ينفد","متوفر"))</f>
        <v>متوفر</v>
      </c>
      <c r="U53" t="str">
        <v>فموي (Oral)</v>
      </c>
      <c r="V53" t="str">
        <v>فئة B (آمن إلى حد كبير)</v>
      </c>
      <c r="W53" t="str">
        <v>لا</v>
      </c>
      <c r="X53" t="str">
        <v>لا</v>
      </c>
      <c r="Y53" t="str">
        <v>صرف مباشر (OTC)</v>
      </c>
      <c r="Z53">
        <v>4</v>
      </c>
      <c r="AA53">
        <v>0</v>
      </c>
      <c r="AB53" t="str">
        <v>MED-0270</v>
      </c>
    </row>
    <row r="54">
      <c r="A54">
        <v>51</v>
      </c>
      <c r="B54" t="str">
        <v>5000456055383</v>
      </c>
      <c r="C54" t="str">
        <v>نيكسيوم 40 مجم 28 قرص (nexium 40 mg 28 f.c. tab)</v>
      </c>
      <c r="D54" t="str">
        <v>esomeprazole</v>
      </c>
      <c r="E54" t="str">
        <v>أقراص</v>
      </c>
      <c r="F54" t="str">
        <v>40 مجم</v>
      </c>
      <c r="G54" t="str">
        <v>astra zeneca</v>
      </c>
      <c r="H54" t="str">
        <v>أدوية المعدة والحموضة ومثبطات مضخة البروتون</v>
      </c>
      <c r="I54" t="str">
        <v>رف E1 - جهاز هضمي ومعدة</v>
      </c>
      <c r="J54" t="str">
        <v>علبة</v>
      </c>
      <c r="K54">
        <v>488</v>
      </c>
      <c r="L54">
        <v>375.76</v>
      </c>
      <c r="M54">
        <v>20</v>
      </c>
      <c r="N54">
        <v>5</v>
      </c>
      <c r="O54" s="1">
        <f>K54-L54</f>
        <v>112.24</v>
      </c>
      <c r="P54" s="2">
        <f>IF(L54&gt;0,O54/L54,0)</f>
        <v>0.2987</v>
      </c>
      <c r="Q54" s="1">
        <f>L54*M54</f>
        <v>7515.2</v>
      </c>
      <c r="R54" s="1">
        <f>K54*M54</f>
        <v>9760</v>
      </c>
      <c r="S54" s="1">
        <f>R54-Q54</f>
        <v>2244.8</v>
      </c>
      <c r="T54" t="str">
        <f>IF(M54=0,"نافد",IF(M54&lt;=N54,"قرب ينفد","متوفر"))</f>
        <v>متوفر</v>
      </c>
      <c r="U54" t="str">
        <v>فموي (Oral)</v>
      </c>
      <c r="V54" t="str">
        <v>فئة B (آمن إلى حد كبير)</v>
      </c>
      <c r="W54" t="str">
        <v>لا</v>
      </c>
      <c r="X54" t="str">
        <v>لا</v>
      </c>
      <c r="Y54" t="str">
        <v>صرف مباشر (OTC)</v>
      </c>
      <c r="Z54">
        <v>4</v>
      </c>
      <c r="AA54">
        <v>0</v>
      </c>
      <c r="AB54" t="str">
        <v>MED-0271</v>
      </c>
    </row>
    <row r="55">
      <c r="A55">
        <v>52</v>
      </c>
      <c r="B55" t="str">
        <v>6220001041824</v>
      </c>
      <c r="C55" t="str">
        <v>اوميهيلث 40/1100مجم 7 كبسولات (omehealth 40/1100 mg 7 caps)</v>
      </c>
      <c r="D55" t="str">
        <v>omeprazole+sodium bicarbonate</v>
      </c>
      <c r="E55" t="str">
        <v>كبسولات</v>
      </c>
      <c r="F55" t="str">
        <v>1100مجم</v>
      </c>
      <c r="G55" t="str">
        <v>egpi &gt; healthy point therapeutics</v>
      </c>
      <c r="H55" t="str">
        <v>أدوية المعدة والحموضة ومثبطات مضخة البروتون</v>
      </c>
      <c r="I55" t="str">
        <v>رف E1 - جهاز هضمي ومعدة</v>
      </c>
      <c r="J55" t="str">
        <v>علبة</v>
      </c>
      <c r="K55">
        <v>27</v>
      </c>
      <c r="L55">
        <v>20.79</v>
      </c>
      <c r="M55">
        <v>20</v>
      </c>
      <c r="N55">
        <v>5</v>
      </c>
      <c r="O55" s="1">
        <f>K55-L55</f>
        <v>6.21</v>
      </c>
      <c r="P55" s="2">
        <f>IF(L55&gt;0,O55/L55,0)</f>
        <v>0.2987</v>
      </c>
      <c r="Q55" s="1">
        <f>L55*M55</f>
        <v>415.8</v>
      </c>
      <c r="R55" s="1">
        <f>K55*M55</f>
        <v>540</v>
      </c>
      <c r="S55" s="1">
        <f>R55-Q55</f>
        <v>124.2</v>
      </c>
      <c r="T55" t="str">
        <f>IF(M55=0,"نافد",IF(M55&lt;=N55,"قرب ينفد","متوفر"))</f>
        <v>متوفر</v>
      </c>
      <c r="U55" t="str">
        <v>فموي (Oral)</v>
      </c>
      <c r="V55" t="str">
        <v>فئة C (بحذر وإشراف طبي)</v>
      </c>
      <c r="W55" t="str">
        <v>لا</v>
      </c>
      <c r="X55" t="str">
        <v>لا</v>
      </c>
      <c r="Y55" t="str">
        <v>صرف مباشر (OTC)</v>
      </c>
      <c r="Z55">
        <v>1</v>
      </c>
      <c r="AA55">
        <v>0</v>
      </c>
      <c r="AB55" t="str">
        <v>MED-0272</v>
      </c>
    </row>
    <row r="56">
      <c r="A56">
        <v>53</v>
      </c>
      <c r="B56" t="str">
        <v>6220001041831</v>
      </c>
      <c r="C56" t="str">
        <v>اوميباك 10مجم 14 كبسولة (omepak 10 mg 14 caps)</v>
      </c>
      <c r="D56" t="str">
        <v>omeprazole</v>
      </c>
      <c r="E56" t="str">
        <v>كبسولات</v>
      </c>
      <c r="F56" t="str">
        <v>10مجم</v>
      </c>
      <c r="G56" t="str">
        <v>sedico</v>
      </c>
      <c r="H56" t="str">
        <v>أدوية المعدة والحموضة ومثبطات مضخة البروتون</v>
      </c>
      <c r="I56" t="str">
        <v>رف E1 - جهاز هضمي ومعدة</v>
      </c>
      <c r="J56" t="str">
        <v>علبة</v>
      </c>
      <c r="K56">
        <v>14.4</v>
      </c>
      <c r="L56">
        <v>11.09</v>
      </c>
      <c r="M56">
        <v>20</v>
      </c>
      <c r="N56">
        <v>5</v>
      </c>
      <c r="O56" s="1">
        <f>K56-L56</f>
        <v>3.31</v>
      </c>
      <c r="P56" s="2">
        <f>IF(L56&gt;0,O56/L56,0)</f>
        <v>0.2985</v>
      </c>
      <c r="Q56" s="1">
        <f>L56*M56</f>
        <v>221.8</v>
      </c>
      <c r="R56" s="1">
        <f>K56*M56</f>
        <v>288</v>
      </c>
      <c r="S56" s="1">
        <f>R56-Q56</f>
        <v>66.2</v>
      </c>
      <c r="T56" t="str">
        <f>IF(M56=0,"نافد",IF(M56&lt;=N56,"قرب ينفد","متوفر"))</f>
        <v>متوفر</v>
      </c>
      <c r="U56" t="str">
        <v>فموي (Oral)</v>
      </c>
      <c r="V56" t="str">
        <v>فئة C (بحذر وإشراف طبي)</v>
      </c>
      <c r="W56" t="str">
        <v>لا</v>
      </c>
      <c r="X56" t="str">
        <v>لا</v>
      </c>
      <c r="Y56" t="str">
        <v>صرف مباشر (OTC)</v>
      </c>
      <c r="Z56">
        <v>1</v>
      </c>
      <c r="AA56">
        <v>0</v>
      </c>
      <c r="AB56" t="str">
        <v>MED-0273</v>
      </c>
    </row>
    <row r="57">
      <c r="A57">
        <v>54</v>
      </c>
      <c r="B57" t="str">
        <v>6221042168075</v>
      </c>
      <c r="C57" t="str">
        <v>اوميباك 20مجم 14 كبسولة (omepak 20 mg 14 caps)</v>
      </c>
      <c r="D57" t="str">
        <v>omeprazole</v>
      </c>
      <c r="E57" t="str">
        <v>كبسولات</v>
      </c>
      <c r="F57" t="str">
        <v>20مجم</v>
      </c>
      <c r="G57" t="str">
        <v>sedico</v>
      </c>
      <c r="H57" t="str">
        <v>أدوية المعدة والحموضة ومثبطات مضخة البروتون</v>
      </c>
      <c r="I57" t="str">
        <v>رف E1 - جهاز هضمي ومعدة</v>
      </c>
      <c r="J57" t="str">
        <v>علبة</v>
      </c>
      <c r="K57">
        <v>50</v>
      </c>
      <c r="L57">
        <v>38.5</v>
      </c>
      <c r="M57">
        <v>20</v>
      </c>
      <c r="N57">
        <v>5</v>
      </c>
      <c r="O57" s="1">
        <f>K57-L57</f>
        <v>11.5</v>
      </c>
      <c r="P57" s="2">
        <f>IF(L57&gt;0,O57/L57,0)</f>
        <v>0.2987</v>
      </c>
      <c r="Q57" s="1">
        <f>L57*M57</f>
        <v>770</v>
      </c>
      <c r="R57" s="1">
        <f>K57*M57</f>
        <v>1000</v>
      </c>
      <c r="S57" s="1">
        <f>R57-Q57</f>
        <v>230</v>
      </c>
      <c r="T57" t="str">
        <f>IF(M57=0,"نافد",IF(M57&lt;=N57,"قرب ينفد","متوفر"))</f>
        <v>متوفر</v>
      </c>
      <c r="U57" t="str">
        <v>فموي (Oral)</v>
      </c>
      <c r="V57" t="str">
        <v>فئة C (بحذر وإشراف طبي)</v>
      </c>
      <c r="W57" t="str">
        <v>لا</v>
      </c>
      <c r="X57" t="str">
        <v>لا</v>
      </c>
      <c r="Y57" t="str">
        <v>صرف مباشر (OTC)</v>
      </c>
      <c r="Z57">
        <v>1</v>
      </c>
      <c r="AA57">
        <v>0</v>
      </c>
      <c r="AB57" t="str">
        <v>MED-0274</v>
      </c>
    </row>
    <row r="58">
      <c r="A58">
        <v>55</v>
      </c>
      <c r="B58" t="str">
        <v>6221042183078</v>
      </c>
      <c r="C58" t="str">
        <v>اوميباك 40مجم 14 كبسولة (omepak 40 mg 14 caps)</v>
      </c>
      <c r="D58" t="str">
        <v>omeprazole</v>
      </c>
      <c r="E58" t="str">
        <v>كبسولات</v>
      </c>
      <c r="F58" t="str">
        <v>40مجم</v>
      </c>
      <c r="G58" t="str">
        <v>sedico</v>
      </c>
      <c r="H58" t="str">
        <v>أدوية المعدة والحموضة ومثبطات مضخة البروتون</v>
      </c>
      <c r="I58" t="str">
        <v>رف E1 - جهاز هضمي ومعدة</v>
      </c>
      <c r="J58" t="str">
        <v>علبة</v>
      </c>
      <c r="K58">
        <v>67</v>
      </c>
      <c r="L58">
        <v>51.59</v>
      </c>
      <c r="M58">
        <v>20</v>
      </c>
      <c r="N58">
        <v>5</v>
      </c>
      <c r="O58" s="1">
        <f>K58-L58</f>
        <v>15.41</v>
      </c>
      <c r="P58" s="2">
        <f>IF(L58&gt;0,O58/L58,0)</f>
        <v>0.2987</v>
      </c>
      <c r="Q58" s="1">
        <f>L58*M58</f>
        <v>1031.8</v>
      </c>
      <c r="R58" s="1">
        <f>K58*M58</f>
        <v>1340</v>
      </c>
      <c r="S58" s="1">
        <f>R58-Q58</f>
        <v>308.2</v>
      </c>
      <c r="T58" t="str">
        <f>IF(M58=0,"نافد",IF(M58&lt;=N58,"قرب ينفد","متوفر"))</f>
        <v>متوفر</v>
      </c>
      <c r="U58" t="str">
        <v>فموي (Oral)</v>
      </c>
      <c r="V58" t="str">
        <v>فئة C (بحذر وإشراف طبي)</v>
      </c>
      <c r="W58" t="str">
        <v>لا</v>
      </c>
      <c r="X58" t="str">
        <v>لا</v>
      </c>
      <c r="Y58" t="str">
        <v>صرف مباشر (OTC)</v>
      </c>
      <c r="Z58">
        <v>1</v>
      </c>
      <c r="AA58">
        <v>0</v>
      </c>
      <c r="AB58" t="str">
        <v>MED-0275</v>
      </c>
    </row>
    <row r="59">
      <c r="A59" t="str">
        <v>الإجمالي</v>
      </c>
      <c r="B59" t="str">
        <v>عدد الأصناف: 55</v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s="1">
        <f>AVERAGE(K4:K58)</f>
        <v>109.81</v>
      </c>
      <c r="L59" s="1">
        <f>AVERAGE(L4:L58)</f>
        <v>84.55</v>
      </c>
      <c r="M59" s="3">
        <f>SUM(M4:M58)</f>
        <v>1100</v>
      </c>
      <c r="N59" s="3">
        <f>SUM(N4:N58)</f>
        <v>275</v>
      </c>
      <c r="O59" s="1">
        <f>AVERAGE(O4:O58)</f>
        <v>25.26</v>
      </c>
      <c r="P59" s="2">
        <f>AVERAGE(P4:P58)</f>
        <v>0.2988</v>
      </c>
      <c r="Q59" s="1">
        <f>SUM(Q4:Q58)</f>
        <v>93005</v>
      </c>
      <c r="R59" s="1">
        <f>SUM(R4:R58)</f>
        <v>120791</v>
      </c>
      <c r="S59" s="1">
        <f>SUM(S4:S58)</f>
        <v>27786</v>
      </c>
      <c r="T59" t="str">
        <v>محسوب بمعادلات إكسل</v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/>
      </c>
      <c r="AA59" t="str">
        <v/>
      </c>
      <c r="AB59" t="str">
        <v/>
      </c>
    </row>
  </sheetData>
  <mergeCells count="2">
    <mergeCell ref="A1:AB1"/>
    <mergeCell ref="A2:AB2"/>
  </mergeCells>
  <ignoredErrors>
    <ignoredError numberStoredAsText="1" sqref="A1:AB5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B14"/>
  <sheetViews>
    <sheetView workbookViewId="0"/>
  </sheetViews>
  <cols>
    <col min="1" max="1" width="6.83203125" customWidth="1"/>
    <col min="2" max="2" width="18.83203125" customWidth="1"/>
    <col min="3" max="3" width="45.83203125" customWidth="1"/>
    <col min="4" max="4" width="42.83203125" customWidth="1"/>
    <col min="5" max="5" width="18.83203125" customWidth="1"/>
    <col min="6" max="6" width="16.83203125" customWidth="1"/>
    <col min="7" max="7" width="25.83203125" customWidth="1"/>
    <col min="8" max="8" width="32.83203125" customWidth="1"/>
    <col min="9" max="9" width="24.83203125" customWidth="1"/>
    <col min="10" max="10" width="16.83203125" customWidth="1"/>
    <col min="11" max="11" width="18.83203125" customWidth="1"/>
    <col min="12" max="12" width="18.83203125" customWidth="1"/>
    <col min="13" max="13" width="16.83203125" customWidth="1"/>
    <col min="14" max="14" width="16.83203125" customWidth="1"/>
    <col min="15" max="15" width="16.83203125" customWidth="1"/>
    <col min="16" max="16" width="14.83203125" customWidth="1"/>
    <col min="17" max="17" width="18.83203125" customWidth="1"/>
    <col min="18" max="18" width="18.83203125" customWidth="1"/>
    <col min="19" max="19" width="18.83203125" customWidth="1"/>
    <col min="20" max="20" width="16.83203125" customWidth="1"/>
    <col min="21" max="21" width="22.83203125" customWidth="1"/>
    <col min="22" max="22" width="24.83203125" customWidth="1"/>
    <col min="23" max="23" width="15.83203125" customWidth="1"/>
    <col min="24" max="24" width="18.83203125" customWidth="1"/>
    <col min="25" max="25" width="18.83203125" customWidth="1"/>
    <col min="26" max="26" width="18.83203125" customWidth="1"/>
    <col min="27" max="27" width="14.83203125" customWidth="1"/>
    <col min="28" max="28" width="16.83203125" customWidth="1"/>
  </cols>
  <sheetData>
    <row r="1">
      <c r="A1" t="str">
        <v>رفيق POS - قائمة أصناف قسم: [مستلزمات وإسعافات]</v>
      </c>
    </row>
    <row r="2">
      <c r="A2" t="str">
        <v>تعليمات هامة: الأعمدة المميزة بنجمة (*) إلزامية | يتضمن النموذج كافة البيانات السريرية والصيدلية المعتمدة | المعادلات المالية والمخزنية تتحدث تلقائياً</v>
      </c>
    </row>
    <row r="3">
      <c r="A3" t="str">
        <v>م</v>
      </c>
      <c r="B3" t="str">
        <v>باركود الدواء *</v>
      </c>
      <c r="C3" t="str">
        <v>الاسم التجاري (عربي / إنجليزي) *</v>
      </c>
      <c r="D3" t="str">
        <v>الاسم العلمي (المادة الفعالة والتركيبة) *</v>
      </c>
      <c r="E3" t="str">
        <v>الشكل الدوائي (Dosage Form)</v>
      </c>
      <c r="F3" t="str">
        <v>التركيز والحجم</v>
      </c>
      <c r="G3" t="str">
        <v>الشركة المصنعة (Manufacturer)</v>
      </c>
      <c r="H3" t="str">
        <v>المجموعة العلاجية (Therapeutic Class)</v>
      </c>
      <c r="I3" t="str">
        <v>مكان التخزين / الرف / الدرج</v>
      </c>
      <c r="J3" t="str">
        <v>الوحدة الأساسية (علبة / قطعة)</v>
      </c>
      <c r="K3" t="str">
        <v>سعر الجمهور الرسمي (ج.م) *</v>
      </c>
      <c r="L3" t="str">
        <v>سعر التكلفة / الشراء (ج.م) *</v>
      </c>
      <c r="M3" t="str">
        <v>الرصيد الافتتاحي (علب)</v>
      </c>
      <c r="N3" t="str">
        <v>حد الطلب الأدنى</v>
      </c>
      <c r="O3" t="str">
        <v>هامش ربح العلبة (ج.م)</v>
      </c>
      <c r="P3" t="str">
        <v>نسبة الربح (%)</v>
      </c>
      <c r="Q3" t="str">
        <v>إجمالي قيمة التكلفة (ج.م)</v>
      </c>
      <c r="R3" t="str">
        <v>إجمالي القيمة البيعية (ج.م)</v>
      </c>
      <c r="S3" t="str">
        <v>إجمالي الربح المتوقع (ج.م)</v>
      </c>
      <c r="T3" t="str">
        <v>حالة المخزون التلقائية</v>
      </c>
      <c r="U3" t="str">
        <v>طريقة الاستخدام (Route)</v>
      </c>
      <c r="V3" t="str">
        <v>فئة أمان الحمل والرضاعة</v>
      </c>
      <c r="W3" t="str">
        <v>مضاد حيوي (نعم / لا)</v>
      </c>
      <c r="X3" t="str">
        <v>سلسلة التبريد / ثلاجة (نعم / لا)</v>
      </c>
      <c r="Y3" t="str">
        <v>نوع الوصفة والصرف (Rx Status)</v>
      </c>
      <c r="Z3" t="str">
        <v>عدد الوحدات / الأشرطة بالعلبة</v>
      </c>
      <c r="AA3" t="str">
        <v>نسبة الضريبة (%)</v>
      </c>
      <c r="AB3" t="str">
        <v>كود الصنف الداخلي (SKU)</v>
      </c>
    </row>
    <row r="4">
      <c r="A4">
        <v>1</v>
      </c>
      <c r="B4" t="str">
        <v>6224001110014</v>
      </c>
      <c r="C4" t="str">
        <v>سرنجة 3 سم معقمة سن ناعم (شريط 10 سرنجات)</v>
      </c>
      <c r="D4" t="str">
        <v>سرنجات بلاستيكية طبية معقمة للاستخدام مرة واحدة</v>
      </c>
      <c r="E4" t="str">
        <v>مستلزم طبي</v>
      </c>
      <c r="F4" t="str">
        <v>3 مل / 3cc</v>
      </c>
      <c r="G4" t="str">
        <v>ألترا ميديكا (Ultra)</v>
      </c>
      <c r="H4" t="str">
        <v>مستلزمات وإسعافات</v>
      </c>
      <c r="I4" t="str">
        <v>درج المستلزمات الطبية</v>
      </c>
      <c r="J4" t="str">
        <v>قطعة</v>
      </c>
      <c r="K4">
        <v>3.5</v>
      </c>
      <c r="L4">
        <v>2.7</v>
      </c>
      <c r="M4">
        <v>20</v>
      </c>
      <c r="N4">
        <v>5</v>
      </c>
      <c r="O4" s="1">
        <f>K4-L4</f>
        <v>0.8</v>
      </c>
      <c r="P4" s="2">
        <f>IF(L4&gt;0,O4/L4,0)</f>
        <v>0.2963</v>
      </c>
      <c r="Q4" s="1">
        <f>L4*M4</f>
        <v>54</v>
      </c>
      <c r="R4" s="1">
        <f>K4*M4</f>
        <v>70</v>
      </c>
      <c r="S4" s="1">
        <f>R4-Q4</f>
        <v>16</v>
      </c>
      <c r="T4" t="str">
        <f>IF(M4=0,"نافد",IF(M4&lt;=N4,"قرب ينفد","متوفر"))</f>
        <v>متوفر</v>
      </c>
      <c r="U4" t="str">
        <v>حقن (عضل/وريد)</v>
      </c>
      <c r="V4" t="str">
        <v>آمن</v>
      </c>
      <c r="W4" t="str">
        <v>لا</v>
      </c>
      <c r="X4" t="str">
        <v>لا</v>
      </c>
      <c r="Y4" t="str">
        <v>صرف مباشر (OTC)</v>
      </c>
      <c r="Z4">
        <v>10</v>
      </c>
      <c r="AA4">
        <v>0</v>
      </c>
      <c r="AB4" t="str">
        <v>MED-0276</v>
      </c>
    </row>
    <row r="5">
      <c r="A5">
        <v>2</v>
      </c>
      <c r="B5" t="str">
        <v>6224001110021</v>
      </c>
      <c r="C5" t="str">
        <v>سرنجة 5 سم معقمة (شريط 10 سرنجات)</v>
      </c>
      <c r="D5" t="str">
        <v>سرنجات طبية 5 مل</v>
      </c>
      <c r="E5" t="str">
        <v>مستلزم طبي</v>
      </c>
      <c r="F5" t="str">
        <v>5 مل / 5cc</v>
      </c>
      <c r="G5" t="str">
        <v>ألترا ميديكا (Ultra)</v>
      </c>
      <c r="H5" t="str">
        <v>مستلزمات وإسعافات</v>
      </c>
      <c r="I5" t="str">
        <v>درج المستلزمات الطبية</v>
      </c>
      <c r="J5" t="str">
        <v>قطعة</v>
      </c>
      <c r="K5">
        <v>4</v>
      </c>
      <c r="L5">
        <v>3.08</v>
      </c>
      <c r="M5">
        <v>20</v>
      </c>
      <c r="N5">
        <v>5</v>
      </c>
      <c r="O5" s="1">
        <f>K5-L5</f>
        <v>0.92</v>
      </c>
      <c r="P5" s="2">
        <f>IF(L5&gt;0,O5/L5,0)</f>
        <v>0.2987</v>
      </c>
      <c r="Q5" s="1">
        <f>L5*M5</f>
        <v>61.6</v>
      </c>
      <c r="R5" s="1">
        <f>K5*M5</f>
        <v>80</v>
      </c>
      <c r="S5" s="1">
        <f>R5-Q5</f>
        <v>18.4</v>
      </c>
      <c r="T5" t="str">
        <f>IF(M5=0,"نافد",IF(M5&lt;=N5,"قرب ينفد","متوفر"))</f>
        <v>متوفر</v>
      </c>
      <c r="U5" t="str">
        <v>حقن (عضل/وريد)</v>
      </c>
      <c r="V5" t="str">
        <v>آمن</v>
      </c>
      <c r="W5" t="str">
        <v>لا</v>
      </c>
      <c r="X5" t="str">
        <v>لا</v>
      </c>
      <c r="Y5" t="str">
        <v>صرف مباشر (OTC)</v>
      </c>
      <c r="Z5">
        <v>10</v>
      </c>
      <c r="AA5">
        <v>0</v>
      </c>
      <c r="AB5" t="str">
        <v>MED-0277</v>
      </c>
    </row>
    <row r="6">
      <c r="A6">
        <v>3</v>
      </c>
      <c r="B6" t="str">
        <v>6224001110038</v>
      </c>
      <c r="C6" t="str">
        <v>سرنجة أنسولين 100 وحدة معقمة 1 مل</v>
      </c>
      <c r="D6" t="str">
        <v>سرنجات أنسولين دقيقة U-100 سن قصير</v>
      </c>
      <c r="E6" t="str">
        <v>مستلزم طبي</v>
      </c>
      <c r="F6" t="str">
        <v>100 وحدة / 1ml</v>
      </c>
      <c r="G6" t="str">
        <v>بي دي (BD)</v>
      </c>
      <c r="H6" t="str">
        <v>مستلزمات وإسعافات</v>
      </c>
      <c r="I6" t="str">
        <v>درج المستلزمات الطبية</v>
      </c>
      <c r="J6" t="str">
        <v>قطعة</v>
      </c>
      <c r="K6">
        <v>6</v>
      </c>
      <c r="L6">
        <v>4.62</v>
      </c>
      <c r="M6">
        <v>20</v>
      </c>
      <c r="N6">
        <v>5</v>
      </c>
      <c r="O6" s="1">
        <f>K6-L6</f>
        <v>1.38</v>
      </c>
      <c r="P6" s="2">
        <f>IF(L6&gt;0,O6/L6,0)</f>
        <v>0.2987</v>
      </c>
      <c r="Q6" s="1">
        <f>L6*M6</f>
        <v>92.4</v>
      </c>
      <c r="R6" s="1">
        <f>K6*M6</f>
        <v>120</v>
      </c>
      <c r="S6" s="1">
        <f>R6-Q6</f>
        <v>27.6</v>
      </c>
      <c r="T6" t="str">
        <f>IF(M6=0,"نافد",IF(M6&lt;=N6,"قرب ينفد","متوفر"))</f>
        <v>متوفر</v>
      </c>
      <c r="U6" t="str">
        <v>حقن تحت الجلد (SC)</v>
      </c>
      <c r="V6" t="str">
        <v>آمن</v>
      </c>
      <c r="W6" t="str">
        <v>لا</v>
      </c>
      <c r="X6" t="str">
        <v>لا</v>
      </c>
      <c r="Y6" t="str">
        <v>صرف مباشر (OTC)</v>
      </c>
      <c r="Z6">
        <v>10</v>
      </c>
      <c r="AA6">
        <v>0</v>
      </c>
      <c r="AB6" t="str">
        <v>MED-0278</v>
      </c>
    </row>
    <row r="7">
      <c r="A7">
        <v>4</v>
      </c>
      <c r="B7" t="str">
        <v>6224001110045</v>
      </c>
      <c r="C7" t="str">
        <v>كحول إيثيلي نقي 70% بخاخ 120 مل</v>
      </c>
      <c r="D7" t="str">
        <v>Ethanol 70% Ethyl Alcohol Antiseptic</v>
      </c>
      <c r="E7" t="str">
        <v>سبراي مطهر</v>
      </c>
      <c r="F7" t="str">
        <v>70% - 120ml</v>
      </c>
      <c r="G7" t="str">
        <v>إيفا فارما (Eva Pharma)</v>
      </c>
      <c r="H7" t="str">
        <v>مطهرات ومعقمات</v>
      </c>
      <c r="I7" t="str">
        <v>رف المطهرات والإسعافات</v>
      </c>
      <c r="J7" t="str">
        <v>قطعة</v>
      </c>
      <c r="K7">
        <v>25</v>
      </c>
      <c r="L7">
        <v>19.25</v>
      </c>
      <c r="M7">
        <v>20</v>
      </c>
      <c r="N7">
        <v>5</v>
      </c>
      <c r="O7" s="1">
        <f>K7-L7</f>
        <v>5.75</v>
      </c>
      <c r="P7" s="2">
        <f>IF(L7&gt;0,O7/L7,0)</f>
        <v>0.2987</v>
      </c>
      <c r="Q7" s="1">
        <f>L7*M7</f>
        <v>385</v>
      </c>
      <c r="R7" s="1">
        <f>K7*M7</f>
        <v>500</v>
      </c>
      <c r="S7" s="1">
        <f>R7-Q7</f>
        <v>115</v>
      </c>
      <c r="T7" t="str">
        <f>IF(M7=0,"نافد",IF(M7&lt;=N7,"قرب ينفد","متوفر"))</f>
        <v>متوفر</v>
      </c>
      <c r="U7" t="str">
        <v>موضعي للجلد والأسطح</v>
      </c>
      <c r="V7" t="str">
        <v>آمن للاستخدام الخارجي</v>
      </c>
      <c r="W7" t="str">
        <v>لا</v>
      </c>
      <c r="X7" t="str">
        <v>لا</v>
      </c>
      <c r="Y7" t="str">
        <v>صرف مباشر (OTC)</v>
      </c>
      <c r="Z7">
        <v>1</v>
      </c>
      <c r="AA7">
        <v>0</v>
      </c>
      <c r="AB7" t="str">
        <v>MED-0279</v>
      </c>
    </row>
    <row r="8">
      <c r="A8">
        <v>5</v>
      </c>
      <c r="B8" t="str">
        <v>6224001110052</v>
      </c>
      <c r="C8" t="str">
        <v>بيتادين محلول مطهر للجروح 10% (120 مل)</v>
      </c>
      <c r="D8" t="str">
        <v>Povidone Iodine 10% Antiseptic Solution</v>
      </c>
      <c r="E8" t="str">
        <v>محلول موضعي</v>
      </c>
      <c r="F8" t="str">
        <v>10% - 120ml</v>
      </c>
      <c r="G8" t="str">
        <v>النيل للأدوية ومونديفارما</v>
      </c>
      <c r="H8" t="str">
        <v>مطهرات جروح وحروق</v>
      </c>
      <c r="I8" t="str">
        <v>رف المطهرات والإسعافات</v>
      </c>
      <c r="J8" t="str">
        <v>قطعة</v>
      </c>
      <c r="K8">
        <v>45</v>
      </c>
      <c r="L8">
        <v>34.65</v>
      </c>
      <c r="M8">
        <v>20</v>
      </c>
      <c r="N8">
        <v>5</v>
      </c>
      <c r="O8" s="1">
        <f>K8-L8</f>
        <v>10.35</v>
      </c>
      <c r="P8" s="2">
        <f>IF(L8&gt;0,O8/L8,0)</f>
        <v>0.2987</v>
      </c>
      <c r="Q8" s="1">
        <f>L8*M8</f>
        <v>693</v>
      </c>
      <c r="R8" s="1">
        <f>K8*M8</f>
        <v>900</v>
      </c>
      <c r="S8" s="1">
        <f>R8-Q8</f>
        <v>207</v>
      </c>
      <c r="T8" t="str">
        <f>IF(M8=0,"نافد",IF(M8&lt;=N8,"قرب ينفد","متوفر"))</f>
        <v>متوفر</v>
      </c>
      <c r="U8" t="str">
        <v>موضعي خارجي</v>
      </c>
      <c r="V8" t="str">
        <v>فئة C (بحذر للغدة)</v>
      </c>
      <c r="W8" t="str">
        <v>لا</v>
      </c>
      <c r="X8" t="str">
        <v>لا</v>
      </c>
      <c r="Y8" t="str">
        <v>صرف مباشر (OTC)</v>
      </c>
      <c r="Z8">
        <v>1</v>
      </c>
      <c r="AA8">
        <v>0</v>
      </c>
      <c r="AB8" t="str">
        <v>MED-0280</v>
      </c>
    </row>
    <row r="9">
      <c r="A9">
        <v>6</v>
      </c>
      <c r="B9" t="str">
        <v>6224001110069</v>
      </c>
      <c r="C9" t="str">
        <v>قطن طبي معقم ممتص للدم والسوائل 100 جم</v>
      </c>
      <c r="D9" t="str">
        <v>Pure Absorbent Surgical Cotton Wool</v>
      </c>
      <c r="E9" t="str">
        <v>قطن طبي</v>
      </c>
      <c r="F9" t="str">
        <v>100 جرام</v>
      </c>
      <c r="G9" t="str">
        <v>غزل المحلة الطبي</v>
      </c>
      <c r="H9" t="str">
        <v>مستلزمات وإسعافات</v>
      </c>
      <c r="I9" t="str">
        <v>رف الضمادات والقطن</v>
      </c>
      <c r="J9" t="str">
        <v>قطعة</v>
      </c>
      <c r="K9">
        <v>22</v>
      </c>
      <c r="L9">
        <v>16.94</v>
      </c>
      <c r="M9">
        <v>20</v>
      </c>
      <c r="N9">
        <v>5</v>
      </c>
      <c r="O9" s="1">
        <f>K9-L9</f>
        <v>5.06</v>
      </c>
      <c r="P9" s="2">
        <f>IF(L9&gt;0,O9/L9,0)</f>
        <v>0.2987</v>
      </c>
      <c r="Q9" s="1">
        <f>L9*M9</f>
        <v>338.8</v>
      </c>
      <c r="R9" s="1">
        <f>K9*M9</f>
        <v>440</v>
      </c>
      <c r="S9" s="1">
        <f>R9-Q9</f>
        <v>101.2</v>
      </c>
      <c r="T9" t="str">
        <f>IF(M9=0,"نافد",IF(M9&lt;=N9,"قرب ينفد","متوفر"))</f>
        <v>متوفر</v>
      </c>
      <c r="U9" t="str">
        <v>موضعي خارجي</v>
      </c>
      <c r="V9" t="str">
        <v>آمن</v>
      </c>
      <c r="W9" t="str">
        <v>لا</v>
      </c>
      <c r="X9" t="str">
        <v>لا</v>
      </c>
      <c r="Y9" t="str">
        <v>صرف مباشر (OTC)</v>
      </c>
      <c r="Z9">
        <v>1</v>
      </c>
      <c r="AA9">
        <v>0</v>
      </c>
      <c r="AB9" t="str">
        <v>MED-0281</v>
      </c>
    </row>
    <row r="10">
      <c r="A10">
        <v>7</v>
      </c>
      <c r="B10" t="str">
        <v>6224001110076</v>
      </c>
      <c r="C10" t="str">
        <v>شاش طبي معقم مقاس 10 سم × 10 سم (5 شاشات)</v>
      </c>
      <c r="D10" t="str">
        <v>Sterile Gauze Swabs 10x10 cm</v>
      </c>
      <c r="E10" t="str">
        <v>شاش طبي</v>
      </c>
      <c r="F10" t="str">
        <v>10x10 cm</v>
      </c>
      <c r="G10" t="str">
        <v>ألترا ميديكا</v>
      </c>
      <c r="H10" t="str">
        <v>مستلزمات وإسعافات</v>
      </c>
      <c r="I10" t="str">
        <v>رف الضمادات والقطن</v>
      </c>
      <c r="J10" t="str">
        <v>قطعة</v>
      </c>
      <c r="K10">
        <v>15</v>
      </c>
      <c r="L10">
        <v>11.55</v>
      </c>
      <c r="M10">
        <v>20</v>
      </c>
      <c r="N10">
        <v>5</v>
      </c>
      <c r="O10" s="1">
        <f>K10-L10</f>
        <v>3.45</v>
      </c>
      <c r="P10" s="2">
        <f>IF(L10&gt;0,O10/L10,0)</f>
        <v>0.2987</v>
      </c>
      <c r="Q10" s="1">
        <f>L10*M10</f>
        <v>231</v>
      </c>
      <c r="R10" s="1">
        <f>K10*M10</f>
        <v>300</v>
      </c>
      <c r="S10" s="1">
        <f>R10-Q10</f>
        <v>69</v>
      </c>
      <c r="T10" t="str">
        <f>IF(M10=0,"نافد",IF(M10&lt;=N10,"قرب ينفد","متوفر"))</f>
        <v>متوفر</v>
      </c>
      <c r="U10" t="str">
        <v>موضعي خارجي</v>
      </c>
      <c r="V10" t="str">
        <v>آمن</v>
      </c>
      <c r="W10" t="str">
        <v>لا</v>
      </c>
      <c r="X10" t="str">
        <v>لا</v>
      </c>
      <c r="Y10" t="str">
        <v>صرف مباشر (OTC)</v>
      </c>
      <c r="Z10">
        <v>1</v>
      </c>
      <c r="AA10">
        <v>0</v>
      </c>
      <c r="AB10" t="str">
        <v>MED-0282</v>
      </c>
    </row>
    <row r="11">
      <c r="A11">
        <v>8</v>
      </c>
      <c r="B11" t="str">
        <v>6224001110083</v>
      </c>
      <c r="C11" t="str">
        <v>بلاستر طبي حريري لاصق للجروح 5 سم × 5 متر</v>
      </c>
      <c r="D11" t="str">
        <v>Medical Adhesive Silk Plaster Tape</v>
      </c>
      <c r="E11" t="str">
        <v>شريط لاصق</v>
      </c>
      <c r="F11" t="str">
        <v>5cm x 5m</v>
      </c>
      <c r="G11" t="str">
        <v>ميديكال تيب</v>
      </c>
      <c r="H11" t="str">
        <v>مستلزمات وإسعافات</v>
      </c>
      <c r="I11" t="str">
        <v>رف الضمادات والقطن</v>
      </c>
      <c r="J11" t="str">
        <v>قطعة</v>
      </c>
      <c r="K11">
        <v>30</v>
      </c>
      <c r="L11">
        <v>23.1</v>
      </c>
      <c r="M11">
        <v>20</v>
      </c>
      <c r="N11">
        <v>5</v>
      </c>
      <c r="O11" s="1">
        <f>K11-L11</f>
        <v>6.9</v>
      </c>
      <c r="P11" s="2">
        <f>IF(L11&gt;0,O11/L11,0)</f>
        <v>0.2987</v>
      </c>
      <c r="Q11" s="1">
        <f>L11*M11</f>
        <v>462</v>
      </c>
      <c r="R11" s="1">
        <f>K11*M11</f>
        <v>600</v>
      </c>
      <c r="S11" s="1">
        <f>R11-Q11</f>
        <v>138</v>
      </c>
      <c r="T11" t="str">
        <f>IF(M11=0,"نافد",IF(M11&lt;=N11,"قرب ينفد","متوفر"))</f>
        <v>متوفر</v>
      </c>
      <c r="U11" t="str">
        <v>موضعي خارجي</v>
      </c>
      <c r="V11" t="str">
        <v>آمن</v>
      </c>
      <c r="W11" t="str">
        <v>لا</v>
      </c>
      <c r="X11" t="str">
        <v>لا</v>
      </c>
      <c r="Y11" t="str">
        <v>صرف مباشر (OTC)</v>
      </c>
      <c r="Z11">
        <v>1</v>
      </c>
      <c r="AA11">
        <v>0</v>
      </c>
      <c r="AB11" t="str">
        <v>MED-0283</v>
      </c>
    </row>
    <row r="12">
      <c r="A12">
        <v>9</v>
      </c>
      <c r="B12" t="str">
        <v>6224001110090</v>
      </c>
      <c r="C12" t="str">
        <v>ترمومتر طبي رقمي سريع القياس مع شاشة LCD</v>
      </c>
      <c r="D12" t="str">
        <v>Digital Clinical Thermometer LCD</v>
      </c>
      <c r="E12" t="str">
        <v>جهاز طبي</v>
      </c>
      <c r="F12" t="str">
        <v>1 وحدة</v>
      </c>
      <c r="G12" t="str">
        <v>جرانزيا (Granzia)</v>
      </c>
      <c r="H12" t="str">
        <v>أجهزة قياس طبية</v>
      </c>
      <c r="I12" t="str">
        <v>فاترينة الأجهزة الطبية</v>
      </c>
      <c r="J12" t="str">
        <v>قطعة</v>
      </c>
      <c r="K12">
        <v>85</v>
      </c>
      <c r="L12">
        <v>65.45</v>
      </c>
      <c r="M12">
        <v>20</v>
      </c>
      <c r="N12">
        <v>5</v>
      </c>
      <c r="O12" s="1">
        <f>K12-L12</f>
        <v>19.55</v>
      </c>
      <c r="P12" s="2">
        <f>IF(L12&gt;0,O12/L12,0)</f>
        <v>0.2987</v>
      </c>
      <c r="Q12" s="1">
        <f>L12*M12</f>
        <v>1309</v>
      </c>
      <c r="R12" s="1">
        <f>K12*M12</f>
        <v>1700</v>
      </c>
      <c r="S12" s="1">
        <f>R12-Q12</f>
        <v>391</v>
      </c>
      <c r="T12" t="str">
        <f>IF(M12=0,"نافد",IF(M12&lt;=N12,"قرب ينفد","متوفر"))</f>
        <v>متوفر</v>
      </c>
      <c r="U12" t="str">
        <v>قياس فموي وتحت الإبط</v>
      </c>
      <c r="V12" t="str">
        <v>آمن</v>
      </c>
      <c r="W12" t="str">
        <v>لا</v>
      </c>
      <c r="X12" t="str">
        <v>لا</v>
      </c>
      <c r="Y12" t="str">
        <v>صرف مباشر (OTC)</v>
      </c>
      <c r="Z12">
        <v>1</v>
      </c>
      <c r="AA12">
        <v>0</v>
      </c>
      <c r="AB12" t="str">
        <v>MED-0284</v>
      </c>
    </row>
    <row r="13">
      <c r="A13">
        <v>10</v>
      </c>
      <c r="B13" t="str">
        <v>6224001110106</v>
      </c>
      <c r="C13" t="str">
        <v>قفازات طبية فحص لاتكس معقمة مقاس M (علبة 100 قفاز)</v>
      </c>
      <c r="D13" t="str">
        <v>Latex Examination Medical Gloves Powder-Free</v>
      </c>
      <c r="E13" t="str">
        <v>قفازات طبية</v>
      </c>
      <c r="F13" t="str">
        <v>مقاس وسط Medium</v>
      </c>
      <c r="G13" t="str">
        <v>ماليزيا الطبية</v>
      </c>
      <c r="H13" t="str">
        <v>مستلزمات وقاية</v>
      </c>
      <c r="I13" t="str">
        <v>رف القفازات والماسكات</v>
      </c>
      <c r="J13" t="str">
        <v>قطعة</v>
      </c>
      <c r="K13">
        <v>160</v>
      </c>
      <c r="L13">
        <v>123.2</v>
      </c>
      <c r="M13">
        <v>20</v>
      </c>
      <c r="N13">
        <v>5</v>
      </c>
      <c r="O13" s="1">
        <f>K13-L13</f>
        <v>36.8</v>
      </c>
      <c r="P13" s="2">
        <f>IF(L13&gt;0,O13/L13,0)</f>
        <v>0.2987</v>
      </c>
      <c r="Q13" s="1">
        <f>L13*M13</f>
        <v>2464</v>
      </c>
      <c r="R13" s="1">
        <f>K13*M13</f>
        <v>3200</v>
      </c>
      <c r="S13" s="1">
        <f>R13-Q13</f>
        <v>736</v>
      </c>
      <c r="T13" t="str">
        <f>IF(M13=0,"نافد",IF(M13&lt;=N13,"قرب ينفد","متوفر"))</f>
        <v>متوفر</v>
      </c>
      <c r="U13" t="str">
        <v>ارتداء يدوي</v>
      </c>
      <c r="V13" t="str">
        <v>آمن</v>
      </c>
      <c r="W13" t="str">
        <v>لا</v>
      </c>
      <c r="X13" t="str">
        <v>لا</v>
      </c>
      <c r="Y13" t="str">
        <v>صرف مباشر (OTC)</v>
      </c>
      <c r="Z13">
        <v>100</v>
      </c>
      <c r="AA13">
        <v>0</v>
      </c>
      <c r="AB13" t="str">
        <v>MED-0285</v>
      </c>
    </row>
    <row r="14">
      <c r="A14" t="str">
        <v>الإجمالي</v>
      </c>
      <c r="B14" t="str">
        <v>عدد الأصناف: 10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s="1">
        <f>AVERAGE(K4:K13)</f>
        <v>39.55</v>
      </c>
      <c r="L14" s="1">
        <f>AVERAGE(L4:L13)</f>
        <v>30.45</v>
      </c>
      <c r="M14" s="3">
        <f>SUM(M4:M13)</f>
        <v>200</v>
      </c>
      <c r="N14" s="3">
        <f>SUM(N4:N13)</f>
        <v>50</v>
      </c>
      <c r="O14" s="1">
        <f>AVERAGE(O4:O13)</f>
        <v>9.1</v>
      </c>
      <c r="P14" s="2">
        <f>AVERAGE(P4:P13)</f>
        <v>0.2989</v>
      </c>
      <c r="Q14" s="1">
        <f>SUM(Q4:Q13)</f>
        <v>6090</v>
      </c>
      <c r="R14" s="1">
        <f>SUM(R4:R13)</f>
        <v>7910</v>
      </c>
      <c r="S14" s="1">
        <f>SUM(S4:S13)</f>
        <v>1820</v>
      </c>
      <c r="T14" t="str">
        <v>محسوب بمعادلات إكسل</v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</row>
  </sheetData>
  <mergeCells count="2">
    <mergeCell ref="A1:AB1"/>
    <mergeCell ref="A2:AB2"/>
  </mergeCells>
  <ignoredErrors>
    <ignoredError numberStoredAsText="1" sqref="A1:AB1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B12"/>
  <sheetViews>
    <sheetView workbookViewId="0"/>
  </sheetViews>
  <cols>
    <col min="1" max="1" width="6.83203125" customWidth="1"/>
    <col min="2" max="2" width="18.83203125" customWidth="1"/>
    <col min="3" max="3" width="45.83203125" customWidth="1"/>
    <col min="4" max="4" width="42.83203125" customWidth="1"/>
    <col min="5" max="5" width="18.83203125" customWidth="1"/>
    <col min="6" max="6" width="16.83203125" customWidth="1"/>
    <col min="7" max="7" width="25.83203125" customWidth="1"/>
    <col min="8" max="8" width="32.83203125" customWidth="1"/>
    <col min="9" max="9" width="24.83203125" customWidth="1"/>
    <col min="10" max="10" width="16.83203125" customWidth="1"/>
    <col min="11" max="11" width="18.83203125" customWidth="1"/>
    <col min="12" max="12" width="18.83203125" customWidth="1"/>
    <col min="13" max="13" width="16.83203125" customWidth="1"/>
    <col min="14" max="14" width="16.83203125" customWidth="1"/>
    <col min="15" max="15" width="16.83203125" customWidth="1"/>
    <col min="16" max="16" width="14.83203125" customWidth="1"/>
    <col min="17" max="17" width="18.83203125" customWidth="1"/>
    <col min="18" max="18" width="18.83203125" customWidth="1"/>
    <col min="19" max="19" width="18.83203125" customWidth="1"/>
    <col min="20" max="20" width="16.83203125" customWidth="1"/>
    <col min="21" max="21" width="22.83203125" customWidth="1"/>
    <col min="22" max="22" width="24.83203125" customWidth="1"/>
    <col min="23" max="23" width="15.83203125" customWidth="1"/>
    <col min="24" max="24" width="18.83203125" customWidth="1"/>
    <col min="25" max="25" width="18.83203125" customWidth="1"/>
    <col min="26" max="26" width="18.83203125" customWidth="1"/>
    <col min="27" max="27" width="14.83203125" customWidth="1"/>
    <col min="28" max="28" width="16.83203125" customWidth="1"/>
  </cols>
  <sheetData>
    <row r="1">
      <c r="A1" t="str">
        <v>رفيق POS - قائمة أصناف قسم: [عناية بالأم والطفل]</v>
      </c>
    </row>
    <row r="2">
      <c r="A2" t="str">
        <v>تعليمات هامة: الأعمدة المميزة بنجمة (*) إلزامية | يتضمن النموذج كافة البيانات السريرية والصيدلية المعتمدة | المعادلات المالية والمخزنية تتحدث تلقائياً</v>
      </c>
    </row>
    <row r="3">
      <c r="A3" t="str">
        <v>م</v>
      </c>
      <c r="B3" t="str">
        <v>باركود الدواء *</v>
      </c>
      <c r="C3" t="str">
        <v>الاسم التجاري (عربي / إنجليزي) *</v>
      </c>
      <c r="D3" t="str">
        <v>الاسم العلمي (المادة الفعالة والتركيبة) *</v>
      </c>
      <c r="E3" t="str">
        <v>الشكل الدوائي (Dosage Form)</v>
      </c>
      <c r="F3" t="str">
        <v>التركيز والحجم</v>
      </c>
      <c r="G3" t="str">
        <v>الشركة المصنعة (Manufacturer)</v>
      </c>
      <c r="H3" t="str">
        <v>المجموعة العلاجية (Therapeutic Class)</v>
      </c>
      <c r="I3" t="str">
        <v>مكان التخزين / الرف / الدرج</v>
      </c>
      <c r="J3" t="str">
        <v>الوحدة الأساسية (علبة / قطعة)</v>
      </c>
      <c r="K3" t="str">
        <v>سعر الجمهور الرسمي (ج.م) *</v>
      </c>
      <c r="L3" t="str">
        <v>سعر التكلفة / الشراء (ج.م) *</v>
      </c>
      <c r="M3" t="str">
        <v>الرصيد الافتتاحي (علب)</v>
      </c>
      <c r="N3" t="str">
        <v>حد الطلب الأدنى</v>
      </c>
      <c r="O3" t="str">
        <v>هامش ربح العلبة (ج.م)</v>
      </c>
      <c r="P3" t="str">
        <v>نسبة الربح (%)</v>
      </c>
      <c r="Q3" t="str">
        <v>إجمالي قيمة التكلفة (ج.م)</v>
      </c>
      <c r="R3" t="str">
        <v>إجمالي القيمة البيعية (ج.م)</v>
      </c>
      <c r="S3" t="str">
        <v>إجمالي الربح المتوقع (ج.م)</v>
      </c>
      <c r="T3" t="str">
        <v>حالة المخزون التلقائية</v>
      </c>
      <c r="U3" t="str">
        <v>طريقة الاستخدام (Route)</v>
      </c>
      <c r="V3" t="str">
        <v>فئة أمان الحمل والرضاعة</v>
      </c>
      <c r="W3" t="str">
        <v>مضاد حيوي (نعم / لا)</v>
      </c>
      <c r="X3" t="str">
        <v>سلسلة التبريد / ثلاجة (نعم / لا)</v>
      </c>
      <c r="Y3" t="str">
        <v>نوع الوصفة والصرف (Rx Status)</v>
      </c>
      <c r="Z3" t="str">
        <v>عدد الوحدات / الأشرطة بالعلبة</v>
      </c>
      <c r="AA3" t="str">
        <v>نسبة الضريبة (%)</v>
      </c>
      <c r="AB3" t="str">
        <v>كود الصنف الداخلي (SKU)</v>
      </c>
    </row>
    <row r="4">
      <c r="A4">
        <v>1</v>
      </c>
      <c r="B4" t="str">
        <v>6221155010011</v>
      </c>
      <c r="C4" t="str">
        <v>حفاضات بامبرز عناية مميزة مقاس 1 حديثي الولادة (60 حفاضة)</v>
      </c>
      <c r="D4" t="str">
        <v>Pampers Premium Protection Diapers Size 1 Newborn</v>
      </c>
      <c r="E4" t="str">
        <v>حفاضات أطفال</v>
      </c>
      <c r="F4" t="str">
        <v>مقاس 1 (2-5 كجم)</v>
      </c>
      <c r="G4" t="str">
        <v>بروكتر آند جامبل (P&amp;G)</v>
      </c>
      <c r="H4" t="str">
        <v>عناية بالطفل</v>
      </c>
      <c r="I4" t="str">
        <v>رف حفاضات الأطفال</v>
      </c>
      <c r="J4" t="str">
        <v>قطعة</v>
      </c>
      <c r="K4">
        <v>295</v>
      </c>
      <c r="L4">
        <v>227.15</v>
      </c>
      <c r="M4">
        <v>20</v>
      </c>
      <c r="N4">
        <v>5</v>
      </c>
      <c r="O4" s="1">
        <f>K4-L4</f>
        <v>67.85</v>
      </c>
      <c r="P4" s="2">
        <f>IF(L4&gt;0,O4/L4,0)</f>
        <v>0.2987</v>
      </c>
      <c r="Q4" s="1">
        <f>L4*M4</f>
        <v>4543</v>
      </c>
      <c r="R4" s="1">
        <f>K4*M4</f>
        <v>5900</v>
      </c>
      <c r="S4" s="1">
        <f>R4-Q4</f>
        <v>1357</v>
      </c>
      <c r="T4" t="str">
        <f>IF(M4=0,"نافد",IF(M4&lt;=N4,"قرب ينفد","متوفر"))</f>
        <v>متوفر</v>
      </c>
      <c r="U4" t="str">
        <v>ارتداء للرضع</v>
      </c>
      <c r="V4" t="str">
        <v>آمن</v>
      </c>
      <c r="W4" t="str">
        <v>لا</v>
      </c>
      <c r="X4" t="str">
        <v>لا</v>
      </c>
      <c r="Y4" t="str">
        <v>صرف مباشر (OTC)</v>
      </c>
      <c r="Z4">
        <v>60</v>
      </c>
      <c r="AA4">
        <v>0</v>
      </c>
      <c r="AB4" t="str">
        <v>MED-0286</v>
      </c>
    </row>
    <row r="5">
      <c r="A5">
        <v>2</v>
      </c>
      <c r="B5" t="str">
        <v>6221155010028</v>
      </c>
      <c r="C5" t="str">
        <v>حفاضات مولفيكس مقاس 3 وسط مع لوشن مهدئ (58 حفاضة)</v>
      </c>
      <c r="D5" t="str">
        <v>Molfix Baby Diapers Size 3 Midi</v>
      </c>
      <c r="E5" t="str">
        <v>حفاضات أطفال</v>
      </c>
      <c r="F5" t="str">
        <v>مقاس 3 (4-9 كجم)</v>
      </c>
      <c r="G5" t="str">
        <v>حياة إيجيبت (Hayat)</v>
      </c>
      <c r="H5" t="str">
        <v>عناية بالطفل</v>
      </c>
      <c r="I5" t="str">
        <v>رف حفاضات الأطفال</v>
      </c>
      <c r="J5" t="str">
        <v>قطعة</v>
      </c>
      <c r="K5">
        <v>260</v>
      </c>
      <c r="L5">
        <v>200.2</v>
      </c>
      <c r="M5">
        <v>20</v>
      </c>
      <c r="N5">
        <v>5</v>
      </c>
      <c r="O5" s="1">
        <f>K5-L5</f>
        <v>59.8</v>
      </c>
      <c r="P5" s="2">
        <f>IF(L5&gt;0,O5/L5,0)</f>
        <v>0.2987</v>
      </c>
      <c r="Q5" s="1">
        <f>L5*M5</f>
        <v>4004</v>
      </c>
      <c r="R5" s="1">
        <f>K5*M5</f>
        <v>5200</v>
      </c>
      <c r="S5" s="1">
        <f>R5-Q5</f>
        <v>1196</v>
      </c>
      <c r="T5" t="str">
        <f>IF(M5=0,"نافد",IF(M5&lt;=N5,"قرب ينفد","متوفر"))</f>
        <v>متوفر</v>
      </c>
      <c r="U5" t="str">
        <v>ارتداء للرضع</v>
      </c>
      <c r="V5" t="str">
        <v>آمن</v>
      </c>
      <c r="W5" t="str">
        <v>لا</v>
      </c>
      <c r="X5" t="str">
        <v>لا</v>
      </c>
      <c r="Y5" t="str">
        <v>صرف مباشر (OTC)</v>
      </c>
      <c r="Z5">
        <v>58</v>
      </c>
      <c r="AA5">
        <v>0</v>
      </c>
      <c r="AB5" t="str">
        <v>MED-0287</v>
      </c>
    </row>
    <row r="6">
      <c r="A6">
        <v>3</v>
      </c>
      <c r="B6" t="str">
        <v>6221155010035</v>
      </c>
      <c r="C6" t="str">
        <v>شامبو أطفال جونسون لا دموع بعد اليوم 500 مل</v>
      </c>
      <c r="D6" t="str">
        <v>Johnson Baby Shampoo No More Tears 500ml</v>
      </c>
      <c r="E6" t="str">
        <v>شامبو أطفال</v>
      </c>
      <c r="F6" t="str">
        <v>500 مل</v>
      </c>
      <c r="G6" t="str">
        <v>جونسون آند جونسون (J&amp;J)</v>
      </c>
      <c r="H6" t="str">
        <v>استحمام وعناية بالطفل</v>
      </c>
      <c r="I6" t="str">
        <v>رف مستحضرات الأطفال</v>
      </c>
      <c r="J6" t="str">
        <v>قطعة</v>
      </c>
      <c r="K6">
        <v>95</v>
      </c>
      <c r="L6">
        <v>73.15</v>
      </c>
      <c r="M6">
        <v>20</v>
      </c>
      <c r="N6">
        <v>5</v>
      </c>
      <c r="O6" s="1">
        <f>K6-L6</f>
        <v>21.85</v>
      </c>
      <c r="P6" s="2">
        <f>IF(L6&gt;0,O6/L6,0)</f>
        <v>0.2987</v>
      </c>
      <c r="Q6" s="1">
        <f>L6*M6</f>
        <v>1463</v>
      </c>
      <c r="R6" s="1">
        <f>K6*M6</f>
        <v>1900</v>
      </c>
      <c r="S6" s="1">
        <f>R6-Q6</f>
        <v>437</v>
      </c>
      <c r="T6" t="str">
        <f>IF(M6=0,"نافد",IF(M6&lt;=N6,"قرب ينفد","متوفر"))</f>
        <v>متوفر</v>
      </c>
      <c r="U6" t="str">
        <v>استحمام موضعي</v>
      </c>
      <c r="V6" t="str">
        <v>آمن</v>
      </c>
      <c r="W6" t="str">
        <v>لا</v>
      </c>
      <c r="X6" t="str">
        <v>لا</v>
      </c>
      <c r="Y6" t="str">
        <v>صرف مباشر (OTC)</v>
      </c>
      <c r="Z6">
        <v>1</v>
      </c>
      <c r="AA6">
        <v>0</v>
      </c>
      <c r="AB6" t="str">
        <v>MED-0288</v>
      </c>
    </row>
    <row r="7">
      <c r="A7">
        <v>4</v>
      </c>
      <c r="B7" t="str">
        <v>6221155010042</v>
      </c>
      <c r="C7" t="str">
        <v>زيت أطفال جونسون بالصبار لترطيب بشرة الرضع 200 مل</v>
      </c>
      <c r="D7" t="str">
        <v>Johnson Baby Oil with Aloe Vera 200ml</v>
      </c>
      <c r="E7" t="str">
        <v>زيت ترطيب</v>
      </c>
      <c r="F7" t="str">
        <v>200 مل</v>
      </c>
      <c r="G7" t="str">
        <v>جونسون آند جونسون</v>
      </c>
      <c r="H7" t="str">
        <v>ترطيب وحماية الطفل</v>
      </c>
      <c r="I7" t="str">
        <v>رف مستحضرات الأطفال</v>
      </c>
      <c r="J7" t="str">
        <v>قطعة</v>
      </c>
      <c r="K7">
        <v>75</v>
      </c>
      <c r="L7">
        <v>57.75</v>
      </c>
      <c r="M7">
        <v>20</v>
      </c>
      <c r="N7">
        <v>5</v>
      </c>
      <c r="O7" s="1">
        <f>K7-L7</f>
        <v>17.25</v>
      </c>
      <c r="P7" s="2">
        <f>IF(L7&gt;0,O7/L7,0)</f>
        <v>0.2987</v>
      </c>
      <c r="Q7" s="1">
        <f>L7*M7</f>
        <v>1155</v>
      </c>
      <c r="R7" s="1">
        <f>K7*M7</f>
        <v>1500</v>
      </c>
      <c r="S7" s="1">
        <f>R7-Q7</f>
        <v>345</v>
      </c>
      <c r="T7" t="str">
        <f>IF(M7=0,"نافد",IF(M7&lt;=N7,"قرب ينفد","متوفر"))</f>
        <v>متوفر</v>
      </c>
      <c r="U7" t="str">
        <v>موضعي للجلد</v>
      </c>
      <c r="V7" t="str">
        <v>آمن</v>
      </c>
      <c r="W7" t="str">
        <v>لا</v>
      </c>
      <c r="X7" t="str">
        <v>لا</v>
      </c>
      <c r="Y7" t="str">
        <v>صرف مباشر (OTC)</v>
      </c>
      <c r="Z7">
        <v>1</v>
      </c>
      <c r="AA7">
        <v>0</v>
      </c>
      <c r="AB7" t="str">
        <v>MED-0289</v>
      </c>
    </row>
    <row r="8">
      <c r="A8">
        <v>5</v>
      </c>
      <c r="B8" t="str">
        <v>6221155010059</v>
      </c>
      <c r="C8" t="str">
        <v>سودوكريم كريم ملطف وواقي من التهابات الحفاض 125 جم</v>
      </c>
      <c r="D8" t="str">
        <v>Sudocrem Antiseptic Healing Zinc Cream 125g</v>
      </c>
      <c r="E8" t="str">
        <v>كريم ملطف</v>
      </c>
      <c r="F8" t="str">
        <v>125 جرام</v>
      </c>
      <c r="G8" t="str">
        <v>تيفا فارما (Teva)</v>
      </c>
      <c r="H8" t="str">
        <v>علاج التهاب الحفاض</v>
      </c>
      <c r="I8" t="str">
        <v>رف مراهم الأطفال</v>
      </c>
      <c r="J8" t="str">
        <v>قطعة</v>
      </c>
      <c r="K8">
        <v>185</v>
      </c>
      <c r="L8">
        <v>142.45</v>
      </c>
      <c r="M8">
        <v>20</v>
      </c>
      <c r="N8">
        <v>5</v>
      </c>
      <c r="O8" s="1">
        <f>K8-L8</f>
        <v>42.55</v>
      </c>
      <c r="P8" s="2">
        <f>IF(L8&gt;0,O8/L8,0)</f>
        <v>0.2987</v>
      </c>
      <c r="Q8" s="1">
        <f>L8*M8</f>
        <v>2849</v>
      </c>
      <c r="R8" s="1">
        <f>K8*M8</f>
        <v>3700</v>
      </c>
      <c r="S8" s="1">
        <f>R8-Q8</f>
        <v>851</v>
      </c>
      <c r="T8" t="str">
        <f>IF(M8=0,"نافد",IF(M8&lt;=N8,"قرب ينفد","متوفر"))</f>
        <v>متوفر</v>
      </c>
      <c r="U8" t="str">
        <v>موضعي للجلد مع كل حفاض</v>
      </c>
      <c r="V8" t="str">
        <v>آمن</v>
      </c>
      <c r="W8" t="str">
        <v>لا</v>
      </c>
      <c r="X8" t="str">
        <v>لا</v>
      </c>
      <c r="Y8" t="str">
        <v>صرف مباشر (OTC)</v>
      </c>
      <c r="Z8">
        <v>1</v>
      </c>
      <c r="AA8">
        <v>0</v>
      </c>
      <c r="AB8" t="str">
        <v>MED-0290</v>
      </c>
    </row>
    <row r="9">
      <c r="A9">
        <v>6</v>
      </c>
      <c r="B9" t="str">
        <v>6221155010066</v>
      </c>
      <c r="C9" t="str">
        <v>زنك أوليف كريم زنك وزيت زيتون لالتهابات الحفاض 75 جم</v>
      </c>
      <c r="D9" t="str">
        <v>Zinc Oxide + Olive Oil + Castor Oil Cream</v>
      </c>
      <c r="E9" t="str">
        <v>كريم ملطف</v>
      </c>
      <c r="F9" t="str">
        <v>75 جرام</v>
      </c>
      <c r="G9" t="str">
        <v>الشركة الفرعونية للأدوية</v>
      </c>
      <c r="H9" t="str">
        <v>وقاية وعلاج التسلخات</v>
      </c>
      <c r="I9" t="str">
        <v>رف مراهم الأطفال</v>
      </c>
      <c r="J9" t="str">
        <v>قطعة</v>
      </c>
      <c r="K9">
        <v>42</v>
      </c>
      <c r="L9">
        <v>32.34</v>
      </c>
      <c r="M9">
        <v>20</v>
      </c>
      <c r="N9">
        <v>5</v>
      </c>
      <c r="O9" s="1">
        <f>K9-L9</f>
        <v>9.66</v>
      </c>
      <c r="P9" s="2">
        <f>IF(L9&gt;0,O9/L9,0)</f>
        <v>0.2987</v>
      </c>
      <c r="Q9" s="1">
        <f>L9*M9</f>
        <v>646.8</v>
      </c>
      <c r="R9" s="1">
        <f>K9*M9</f>
        <v>840</v>
      </c>
      <c r="S9" s="1">
        <f>R9-Q9</f>
        <v>193.2</v>
      </c>
      <c r="T9" t="str">
        <f>IF(M9=0,"نافد",IF(M9&lt;=N9,"قرب ينفد","متوفر"))</f>
        <v>متوفر</v>
      </c>
      <c r="U9" t="str">
        <v>موضعي للجلد</v>
      </c>
      <c r="V9" t="str">
        <v>آمن</v>
      </c>
      <c r="W9" t="str">
        <v>لا</v>
      </c>
      <c r="X9" t="str">
        <v>لا</v>
      </c>
      <c r="Y9" t="str">
        <v>صرف مباشر (OTC)</v>
      </c>
      <c r="Z9">
        <v>1</v>
      </c>
      <c r="AA9">
        <v>0</v>
      </c>
      <c r="AB9" t="str">
        <v>MED-0291</v>
      </c>
    </row>
    <row r="10">
      <c r="A10">
        <v>7</v>
      </c>
      <c r="B10" t="str">
        <v>6221155010073</v>
      </c>
      <c r="C10" t="str">
        <v>ببرونة شيكو ناتشورال فيلينج زجاج مضادة للمغص 150 مل</v>
      </c>
      <c r="D10" t="str">
        <v>Chicco NaturalFeeling Anti-Colic Glass Bottle 150ml</v>
      </c>
      <c r="E10" t="str">
        <v>ببرونة رضاعة</v>
      </c>
      <c r="F10" t="str">
        <v>150 مل</v>
      </c>
      <c r="G10" t="str">
        <v>شيكو إيطاليا (Chicco)</v>
      </c>
      <c r="H10" t="str">
        <v>تغذية ورضاعة</v>
      </c>
      <c r="I10" t="str">
        <v>فاترينة مستلزمات الرضع</v>
      </c>
      <c r="J10" t="str">
        <v>قطعة</v>
      </c>
      <c r="K10">
        <v>240</v>
      </c>
      <c r="L10">
        <v>184.8</v>
      </c>
      <c r="M10">
        <v>20</v>
      </c>
      <c r="N10">
        <v>5</v>
      </c>
      <c r="O10" s="1">
        <f>K10-L10</f>
        <v>55.2</v>
      </c>
      <c r="P10" s="2">
        <f>IF(L10&gt;0,O10/L10,0)</f>
        <v>0.2987</v>
      </c>
      <c r="Q10" s="1">
        <f>L10*M10</f>
        <v>3696</v>
      </c>
      <c r="R10" s="1">
        <f>K10*M10</f>
        <v>4800</v>
      </c>
      <c r="S10" s="1">
        <f>R10-Q10</f>
        <v>1104</v>
      </c>
      <c r="T10" t="str">
        <f>IF(M10=0,"نافد",IF(M10&lt;=N10,"قرب ينفد","متوفر"))</f>
        <v>متوفر</v>
      </c>
      <c r="U10" t="str">
        <v>تغذية فموية</v>
      </c>
      <c r="V10" t="str">
        <v>آمن</v>
      </c>
      <c r="W10" t="str">
        <v>لا</v>
      </c>
      <c r="X10" t="str">
        <v>لا</v>
      </c>
      <c r="Y10" t="str">
        <v>صرف مباشر (OTC)</v>
      </c>
      <c r="Z10">
        <v>1</v>
      </c>
      <c r="AA10">
        <v>0</v>
      </c>
      <c r="AB10" t="str">
        <v>MED-0292</v>
      </c>
    </row>
    <row r="11">
      <c r="A11">
        <v>8</v>
      </c>
      <c r="B11" t="str">
        <v>6221155010080</v>
      </c>
      <c r="C11" t="str">
        <v>لهاية أطفال أفينت سيليكون فائقة النعومة 0-6 شهور (2 قطعة)</v>
      </c>
      <c r="D11" t="str">
        <v>Philips Avent Ultra Soft Silicone Soothers 0-6m</v>
      </c>
      <c r="E11" t="str">
        <v>لهاية سيليكون</v>
      </c>
      <c r="F11" t="str">
        <v>0-6 شهور</v>
      </c>
      <c r="G11" t="str">
        <v>فيليبس أفينت (Avent)</v>
      </c>
      <c r="H11" t="str">
        <v>مهدئات الرضع</v>
      </c>
      <c r="I11" t="str">
        <v>فاترينة مستلزمات الرضع</v>
      </c>
      <c r="J11" t="str">
        <v>قطعة</v>
      </c>
      <c r="K11">
        <v>190</v>
      </c>
      <c r="L11">
        <v>146.3</v>
      </c>
      <c r="M11">
        <v>20</v>
      </c>
      <c r="N11">
        <v>5</v>
      </c>
      <c r="O11" s="1">
        <f>K11-L11</f>
        <v>43.7</v>
      </c>
      <c r="P11" s="2">
        <f>IF(L11&gt;0,O11/L11,0)</f>
        <v>0.2987</v>
      </c>
      <c r="Q11" s="1">
        <f>L11*M11</f>
        <v>2926</v>
      </c>
      <c r="R11" s="1">
        <f>K11*M11</f>
        <v>3800</v>
      </c>
      <c r="S11" s="1">
        <f>R11-Q11</f>
        <v>874</v>
      </c>
      <c r="T11" t="str">
        <f>IF(M11=0,"نافد",IF(M11&lt;=N11,"قرب ينفد","متوفر"))</f>
        <v>متوفر</v>
      </c>
      <c r="U11" t="str">
        <v>مص فموي</v>
      </c>
      <c r="V11" t="str">
        <v>آمن</v>
      </c>
      <c r="W11" t="str">
        <v>لا</v>
      </c>
      <c r="X11" t="str">
        <v>لا</v>
      </c>
      <c r="Y11" t="str">
        <v>صرف مباشر (OTC)</v>
      </c>
      <c r="Z11">
        <v>2</v>
      </c>
      <c r="AA11">
        <v>0</v>
      </c>
      <c r="AB11" t="str">
        <v>MED-0293</v>
      </c>
    </row>
    <row r="12">
      <c r="A12" t="str">
        <v>الإجمالي</v>
      </c>
      <c r="B12" t="str">
        <v>عدد الأصناف: 8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s="1">
        <f>AVERAGE(K4:K11)</f>
        <v>172.75</v>
      </c>
      <c r="L12" s="1">
        <f>AVERAGE(L4:L11)</f>
        <v>133.02</v>
      </c>
      <c r="M12" s="3">
        <f>SUM(M4:M11)</f>
        <v>160</v>
      </c>
      <c r="N12" s="3">
        <f>SUM(N4:N11)</f>
        <v>40</v>
      </c>
      <c r="O12" s="1">
        <f>AVERAGE(O4:O11)</f>
        <v>39.73</v>
      </c>
      <c r="P12" s="2">
        <f>AVERAGE(P4:P11)</f>
        <v>0.2987</v>
      </c>
      <c r="Q12" s="1">
        <f>SUM(Q4:Q11)</f>
        <v>21283.2</v>
      </c>
      <c r="R12" s="1">
        <f>SUM(R4:R11)</f>
        <v>27640</v>
      </c>
      <c r="S12" s="1">
        <f>SUM(S4:S11)</f>
        <v>6356.8</v>
      </c>
      <c r="T12" t="str">
        <v>محسوب بمعادلات إكسل</v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</row>
  </sheetData>
  <mergeCells count="2">
    <mergeCell ref="A1:AB1"/>
    <mergeCell ref="A2:AB2"/>
  </mergeCells>
  <ignoredErrors>
    <ignoredError numberStoredAsText="1" sqref="A1:AB1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AB10"/>
  <sheetViews>
    <sheetView workbookViewId="0"/>
  </sheetViews>
  <cols>
    <col min="1" max="1" width="6.83203125" customWidth="1"/>
    <col min="2" max="2" width="18.83203125" customWidth="1"/>
    <col min="3" max="3" width="45.83203125" customWidth="1"/>
    <col min="4" max="4" width="42.83203125" customWidth="1"/>
    <col min="5" max="5" width="18.83203125" customWidth="1"/>
    <col min="6" max="6" width="16.83203125" customWidth="1"/>
    <col min="7" max="7" width="25.83203125" customWidth="1"/>
    <col min="8" max="8" width="32.83203125" customWidth="1"/>
    <col min="9" max="9" width="24.83203125" customWidth="1"/>
    <col min="10" max="10" width="16.83203125" customWidth="1"/>
    <col min="11" max="11" width="18.83203125" customWidth="1"/>
    <col min="12" max="12" width="18.83203125" customWidth="1"/>
    <col min="13" max="13" width="16.83203125" customWidth="1"/>
    <col min="14" max="14" width="16.83203125" customWidth="1"/>
    <col min="15" max="15" width="16.83203125" customWidth="1"/>
    <col min="16" max="16" width="14.83203125" customWidth="1"/>
    <col min="17" max="17" width="18.83203125" customWidth="1"/>
    <col min="18" max="18" width="18.83203125" customWidth="1"/>
    <col min="19" max="19" width="18.83203125" customWidth="1"/>
    <col min="20" max="20" width="16.83203125" customWidth="1"/>
    <col min="21" max="21" width="22.83203125" customWidth="1"/>
    <col min="22" max="22" width="24.83203125" customWidth="1"/>
    <col min="23" max="23" width="15.83203125" customWidth="1"/>
    <col min="24" max="24" width="18.83203125" customWidth="1"/>
    <col min="25" max="25" width="18.83203125" customWidth="1"/>
    <col min="26" max="26" width="18.83203125" customWidth="1"/>
    <col min="27" max="27" width="14.83203125" customWidth="1"/>
    <col min="28" max="28" width="16.83203125" customWidth="1"/>
  </cols>
  <sheetData>
    <row r="1">
      <c r="A1" t="str">
        <v>رفيق POS - قائمة أصناف قسم: [تجميل وعناية بالبشرة]</v>
      </c>
    </row>
    <row r="2">
      <c r="A2" t="str">
        <v>تعليمات هامة: الأعمدة المميزة بنجمة (*) إلزامية | يتضمن النموذج كافة البيانات السريرية والصيدلية المعتمدة | المعادلات المالية والمخزنية تتحدث تلقائياً</v>
      </c>
    </row>
    <row r="3">
      <c r="A3" t="str">
        <v>م</v>
      </c>
      <c r="B3" t="str">
        <v>باركود الدواء *</v>
      </c>
      <c r="C3" t="str">
        <v>الاسم التجاري (عربي / إنجليزي) *</v>
      </c>
      <c r="D3" t="str">
        <v>الاسم العلمي (المادة الفعالة والتركيبة) *</v>
      </c>
      <c r="E3" t="str">
        <v>الشكل الدوائي (Dosage Form)</v>
      </c>
      <c r="F3" t="str">
        <v>التركيز والحجم</v>
      </c>
      <c r="G3" t="str">
        <v>الشركة المصنعة (Manufacturer)</v>
      </c>
      <c r="H3" t="str">
        <v>المجموعة العلاجية (Therapeutic Class)</v>
      </c>
      <c r="I3" t="str">
        <v>مكان التخزين / الرف / الدرج</v>
      </c>
      <c r="J3" t="str">
        <v>الوحدة الأساسية (علبة / قطعة)</v>
      </c>
      <c r="K3" t="str">
        <v>سعر الجمهور الرسمي (ج.م) *</v>
      </c>
      <c r="L3" t="str">
        <v>سعر التكلفة / الشراء (ج.م) *</v>
      </c>
      <c r="M3" t="str">
        <v>الرصيد الافتتاحي (علب)</v>
      </c>
      <c r="N3" t="str">
        <v>حد الطلب الأدنى</v>
      </c>
      <c r="O3" t="str">
        <v>هامش ربح العلبة (ج.م)</v>
      </c>
      <c r="P3" t="str">
        <v>نسبة الربح (%)</v>
      </c>
      <c r="Q3" t="str">
        <v>إجمالي قيمة التكلفة (ج.م)</v>
      </c>
      <c r="R3" t="str">
        <v>إجمالي القيمة البيعية (ج.م)</v>
      </c>
      <c r="S3" t="str">
        <v>إجمالي الربح المتوقع (ج.م)</v>
      </c>
      <c r="T3" t="str">
        <v>حالة المخزون التلقائية</v>
      </c>
      <c r="U3" t="str">
        <v>طريقة الاستخدام (Route)</v>
      </c>
      <c r="V3" t="str">
        <v>فئة أمان الحمل والرضاعة</v>
      </c>
      <c r="W3" t="str">
        <v>مضاد حيوي (نعم / لا)</v>
      </c>
      <c r="X3" t="str">
        <v>سلسلة التبريد / ثلاجة (نعم / لا)</v>
      </c>
      <c r="Y3" t="str">
        <v>نوع الوصفة والصرف (Rx Status)</v>
      </c>
      <c r="Z3" t="str">
        <v>عدد الوحدات / الأشرطة بالعلبة</v>
      </c>
      <c r="AA3" t="str">
        <v>نسبة الضريبة (%)</v>
      </c>
      <c r="AB3" t="str">
        <v>كود الصنف الداخلي (SKU)</v>
      </c>
    </row>
    <row r="4">
      <c r="A4">
        <v>1</v>
      </c>
      <c r="B4" t="str">
        <v>6223000551011</v>
      </c>
      <c r="C4" t="str">
        <v>بانثينول كريم مرطب ومجدد لخلايا الجلد 50 جم</v>
      </c>
      <c r="D4" t="str">
        <v>Dexpanthenol 5% Moisturizing Skin Cream</v>
      </c>
      <c r="E4" t="str">
        <v>كريم مرطب</v>
      </c>
      <c r="F4" t="str">
        <v>5% - 50g</v>
      </c>
      <c r="G4" t="str">
        <v>النيل للأدوية والصناعات الكيماوية</v>
      </c>
      <c r="H4" t="str">
        <v>ترطيب وتجديد البشرة</v>
      </c>
      <c r="I4" t="str">
        <v>رف كريمات العناية بالبشرة</v>
      </c>
      <c r="J4" t="str">
        <v>قطعة</v>
      </c>
      <c r="K4">
        <v>30</v>
      </c>
      <c r="L4">
        <v>23.1</v>
      </c>
      <c r="M4">
        <v>20</v>
      </c>
      <c r="N4">
        <v>5</v>
      </c>
      <c r="O4" s="1">
        <f>K4-L4</f>
        <v>6.9</v>
      </c>
      <c r="P4" s="2">
        <f>IF(L4&gt;0,O4/L4,0)</f>
        <v>0.2987</v>
      </c>
      <c r="Q4" s="1">
        <f>L4*M4</f>
        <v>462</v>
      </c>
      <c r="R4" s="1">
        <f>K4*M4</f>
        <v>600</v>
      </c>
      <c r="S4" s="1">
        <f>R4-Q4</f>
        <v>138</v>
      </c>
      <c r="T4" t="str">
        <f>IF(M4=0,"نافد",IF(M4&lt;=N4,"قرب ينفد","متوفر"))</f>
        <v>متوفر</v>
      </c>
      <c r="U4" t="str">
        <v>موضعي للوجه والجسم</v>
      </c>
      <c r="V4" t="str">
        <v>آمن (فئة A)</v>
      </c>
      <c r="W4" t="str">
        <v>لا</v>
      </c>
      <c r="X4" t="str">
        <v>لا</v>
      </c>
      <c r="Y4" t="str">
        <v>صرف مباشر (OTC)</v>
      </c>
      <c r="Z4">
        <v>1</v>
      </c>
      <c r="AA4">
        <v>0</v>
      </c>
      <c r="AB4" t="str">
        <v>MED-0294</v>
      </c>
    </row>
    <row r="5">
      <c r="A5">
        <v>2</v>
      </c>
      <c r="B5" t="str">
        <v>6223000551028</v>
      </c>
      <c r="C5" t="str">
        <v>لاروش بوزيه أنثيليوس واقي شمس سائل SPF 50+ خالي من الزيوت 50 مل</v>
      </c>
      <c r="D5" t="str">
        <v>La Roche-Posay Anthelios UVMune 400 Oil Control Fluid SPF50+</v>
      </c>
      <c r="E5" t="str">
        <v>سائل واقي شمس</v>
      </c>
      <c r="F5" t="str">
        <v>SPF 50+ / 50ml</v>
      </c>
      <c r="G5" t="str">
        <v>لاروش بوزيه فرنسا (L'Oreal)</v>
      </c>
      <c r="H5" t="str">
        <v>حماية من أشعة الشمس</v>
      </c>
      <c r="I5" t="str">
        <v>ستاند الديرما كوزماتيكس</v>
      </c>
      <c r="J5" t="str">
        <v>قطعة</v>
      </c>
      <c r="K5">
        <v>620</v>
      </c>
      <c r="L5">
        <v>477.4</v>
      </c>
      <c r="M5">
        <v>20</v>
      </c>
      <c r="N5">
        <v>5</v>
      </c>
      <c r="O5" s="1">
        <f>K5-L5</f>
        <v>142.6</v>
      </c>
      <c r="P5" s="2">
        <f>IF(L5&gt;0,O5/L5,0)</f>
        <v>0.2987</v>
      </c>
      <c r="Q5" s="1">
        <f>L5*M5</f>
        <v>9548</v>
      </c>
      <c r="R5" s="1">
        <f>K5*M5</f>
        <v>12400</v>
      </c>
      <c r="S5" s="1">
        <f>R5-Q5</f>
        <v>2852</v>
      </c>
      <c r="T5" t="str">
        <f>IF(M5=0,"نافد",IF(M5&lt;=N5,"قرب ينفد","متوفر"))</f>
        <v>متوفر</v>
      </c>
      <c r="U5" t="str">
        <v>موضعي للوجه قبل التعرض للشمس</v>
      </c>
      <c r="V5" t="str">
        <v>آمن</v>
      </c>
      <c r="W5" t="str">
        <v>لا</v>
      </c>
      <c r="X5" t="str">
        <v>لا</v>
      </c>
      <c r="Y5" t="str">
        <v>صرف مباشر (OTC)</v>
      </c>
      <c r="Z5">
        <v>1</v>
      </c>
      <c r="AA5">
        <v>0</v>
      </c>
      <c r="AB5" t="str">
        <v>MED-0295</v>
      </c>
    </row>
    <row r="6">
      <c r="A6">
        <v>3</v>
      </c>
      <c r="B6" t="str">
        <v>6223000551035</v>
      </c>
      <c r="C6" t="str">
        <v>سيرافيه غسول رغوي للبشرة العادية إلى الدهنية بالسيراميد 236 مل</v>
      </c>
      <c r="D6" t="str">
        <v>CeraVe Foaming Cleanser Niacinamide + Ceramides 236ml</v>
      </c>
      <c r="E6" t="str">
        <v>غسول رغوي</v>
      </c>
      <c r="F6" t="str">
        <v>236 مل</v>
      </c>
      <c r="G6" t="str">
        <v>سيرافيه فرنسا (L'Oreal)</v>
      </c>
      <c r="H6" t="str">
        <v>تنظيف وتطهير الوجه</v>
      </c>
      <c r="I6" t="str">
        <v>ستاند الديرما كوزماتيكس</v>
      </c>
      <c r="J6" t="str">
        <v>قطعة</v>
      </c>
      <c r="K6">
        <v>440</v>
      </c>
      <c r="L6">
        <v>338.8</v>
      </c>
      <c r="M6">
        <v>20</v>
      </c>
      <c r="N6">
        <v>5</v>
      </c>
      <c r="O6" s="1">
        <f>K6-L6</f>
        <v>101.2</v>
      </c>
      <c r="P6" s="2">
        <f>IF(L6&gt;0,O6/L6,0)</f>
        <v>0.2987</v>
      </c>
      <c r="Q6" s="1">
        <f>L6*M6</f>
        <v>6776</v>
      </c>
      <c r="R6" s="1">
        <f>K6*M6</f>
        <v>8800</v>
      </c>
      <c r="S6" s="1">
        <f>R6-Q6</f>
        <v>2024</v>
      </c>
      <c r="T6" t="str">
        <f>IF(M6=0,"نافد",IF(M6&lt;=N6,"قرب ينفد","متوفر"))</f>
        <v>متوفر</v>
      </c>
      <c r="U6" t="str">
        <v>غسيل يومي موضعي</v>
      </c>
      <c r="V6" t="str">
        <v>آمن</v>
      </c>
      <c r="W6" t="str">
        <v>لا</v>
      </c>
      <c r="X6" t="str">
        <v>لا</v>
      </c>
      <c r="Y6" t="str">
        <v>صرف مباشر (OTC)</v>
      </c>
      <c r="Z6">
        <v>1</v>
      </c>
      <c r="AA6">
        <v>0</v>
      </c>
      <c r="AB6" t="str">
        <v>MED-0296</v>
      </c>
    </row>
    <row r="7">
      <c r="A7">
        <v>4</v>
      </c>
      <c r="B7" t="str">
        <v>6223000551042</v>
      </c>
      <c r="C7" t="str">
        <v>بيوديرما سينسيبيو ماء ميسيلار مزيل للمكياج للبشرة الحساسة 250 مل</v>
      </c>
      <c r="D7" t="str">
        <v>Bioderma Sensibio H2O Micellar Water 250ml</v>
      </c>
      <c r="E7" t="str">
        <v>محلول ميسيلار</v>
      </c>
      <c r="F7" t="str">
        <v>250 مل</v>
      </c>
      <c r="G7" t="str">
        <v>بيوديرما فرنسا (NAOS)</v>
      </c>
      <c r="H7" t="str">
        <v>تنظيف وإزالة المكياج</v>
      </c>
      <c r="I7" t="str">
        <v>ستاند الديرما كوزماتيكس</v>
      </c>
      <c r="J7" t="str">
        <v>قطعة</v>
      </c>
      <c r="K7">
        <v>380</v>
      </c>
      <c r="L7">
        <v>292.6</v>
      </c>
      <c r="M7">
        <v>20</v>
      </c>
      <c r="N7">
        <v>5</v>
      </c>
      <c r="O7" s="1">
        <f>K7-L7</f>
        <v>87.4</v>
      </c>
      <c r="P7" s="2">
        <f>IF(L7&gt;0,O7/L7,0)</f>
        <v>0.2987</v>
      </c>
      <c r="Q7" s="1">
        <f>L7*M7</f>
        <v>5852</v>
      </c>
      <c r="R7" s="1">
        <f>K7*M7</f>
        <v>7600</v>
      </c>
      <c r="S7" s="1">
        <f>R7-Q7</f>
        <v>1748</v>
      </c>
      <c r="T7" t="str">
        <f>IF(M7=0,"نافد",IF(M7&lt;=N7,"قرب ينفد","متوفر"))</f>
        <v>متوفر</v>
      </c>
      <c r="U7" t="str">
        <v>مسح موضعي بقطنة</v>
      </c>
      <c r="V7" t="str">
        <v>آمن</v>
      </c>
      <c r="W7" t="str">
        <v>لا</v>
      </c>
      <c r="X7" t="str">
        <v>لا</v>
      </c>
      <c r="Y7" t="str">
        <v>صرف مباشر (OTC)</v>
      </c>
      <c r="Z7">
        <v>1</v>
      </c>
      <c r="AA7">
        <v>0</v>
      </c>
      <c r="AB7" t="str">
        <v>MED-0297</v>
      </c>
    </row>
    <row r="8">
      <c r="A8">
        <v>5</v>
      </c>
      <c r="B8" t="str">
        <v>6223000551059</v>
      </c>
      <c r="C8" t="str">
        <v>إيفا كولاجين كريم النهار لشد البشرة ومقاومة التجاعيد 50 مل</v>
      </c>
      <c r="D8" t="str">
        <v>Eva Skin Clinic Collagen Day Cream with SPF15</v>
      </c>
      <c r="E8" t="str">
        <v>كريم مضاد تجاعيد</v>
      </c>
      <c r="F8" t="str">
        <v>50 مل</v>
      </c>
      <c r="G8" t="str">
        <v>إيفا كوزماتيكس (Eva Cosmetics)</v>
      </c>
      <c r="H8" t="str">
        <v>مقاومة التجاعيد ونضارة الوجه</v>
      </c>
      <c r="I8" t="str">
        <v>رف مستحضرات التجميل</v>
      </c>
      <c r="J8" t="str">
        <v>قطعة</v>
      </c>
      <c r="K8">
        <v>165</v>
      </c>
      <c r="L8">
        <v>127.05</v>
      </c>
      <c r="M8">
        <v>20</v>
      </c>
      <c r="N8">
        <v>5</v>
      </c>
      <c r="O8" s="1">
        <f>K8-L8</f>
        <v>37.95</v>
      </c>
      <c r="P8" s="2">
        <f>IF(L8&gt;0,O8/L8,0)</f>
        <v>0.2987</v>
      </c>
      <c r="Q8" s="1">
        <f>L8*M8</f>
        <v>2541</v>
      </c>
      <c r="R8" s="1">
        <f>K8*M8</f>
        <v>3300</v>
      </c>
      <c r="S8" s="1">
        <f>R8-Q8</f>
        <v>759</v>
      </c>
      <c r="T8" t="str">
        <f>IF(M8=0,"نافد",IF(M8&lt;=N8,"قرب ينفد","متوفر"))</f>
        <v>متوفر</v>
      </c>
      <c r="U8" t="str">
        <v>موضعي صباحي</v>
      </c>
      <c r="V8" t="str">
        <v>آمن</v>
      </c>
      <c r="W8" t="str">
        <v>لا</v>
      </c>
      <c r="X8" t="str">
        <v>لا</v>
      </c>
      <c r="Y8" t="str">
        <v>صرف مباشر (OTC)</v>
      </c>
      <c r="Z8">
        <v>1</v>
      </c>
      <c r="AA8">
        <v>0</v>
      </c>
      <c r="AB8" t="str">
        <v>MED-0298</v>
      </c>
    </row>
    <row r="9">
      <c r="A9">
        <v>6</v>
      </c>
      <c r="B9" t="str">
        <v>6223000551066</v>
      </c>
      <c r="C9" t="str">
        <v>نيفيا سوفت كريم ترطيب منعش بالصبار وفيتامين E (100 مل)</v>
      </c>
      <c r="D9" t="str">
        <v>Nivea Soft Refreshing Moisturizing Cream Aloe Vera 100ml</v>
      </c>
      <c r="E9" t="str">
        <v>كريم ترطيب</v>
      </c>
      <c r="F9" t="str">
        <v>100 مل</v>
      </c>
      <c r="G9" t="str">
        <v>بايرسدورف ألمانيا (Beiersdorf)</v>
      </c>
      <c r="H9" t="str">
        <v>ترطيب عام لليدين والجسم</v>
      </c>
      <c r="I9" t="str">
        <v>رف كريمات العناية بالبشرة</v>
      </c>
      <c r="J9" t="str">
        <v>قطعة</v>
      </c>
      <c r="K9">
        <v>70</v>
      </c>
      <c r="L9">
        <v>53.9</v>
      </c>
      <c r="M9">
        <v>20</v>
      </c>
      <c r="N9">
        <v>5</v>
      </c>
      <c r="O9" s="1">
        <f>K9-L9</f>
        <v>16.1</v>
      </c>
      <c r="P9" s="2">
        <f>IF(L9&gt;0,O9/L9,0)</f>
        <v>0.2987</v>
      </c>
      <c r="Q9" s="1">
        <f>L9*M9</f>
        <v>1078</v>
      </c>
      <c r="R9" s="1">
        <f>K9*M9</f>
        <v>1400</v>
      </c>
      <c r="S9" s="1">
        <f>R9-Q9</f>
        <v>322</v>
      </c>
      <c r="T9" t="str">
        <f>IF(M9=0,"نافد",IF(M9&lt;=N9,"قرب ينفد","متوفر"))</f>
        <v>متوفر</v>
      </c>
      <c r="U9" t="str">
        <v>موضعي للجلد</v>
      </c>
      <c r="V9" t="str">
        <v>آمن</v>
      </c>
      <c r="W9" t="str">
        <v>لا</v>
      </c>
      <c r="X9" t="str">
        <v>لا</v>
      </c>
      <c r="Y9" t="str">
        <v>صرف مباشر (OTC)</v>
      </c>
      <c r="Z9">
        <v>1</v>
      </c>
      <c r="AA9">
        <v>0</v>
      </c>
      <c r="AB9" t="str">
        <v>MED-0299</v>
      </c>
    </row>
    <row r="10">
      <c r="A10" t="str">
        <v>الإجمالي</v>
      </c>
      <c r="B10" t="str">
        <v>عدد الأصناف: 6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s="1">
        <f>AVERAGE(K4:K9)</f>
        <v>284.17</v>
      </c>
      <c r="L10" s="1">
        <f>AVERAGE(L4:L9)</f>
        <v>218.81</v>
      </c>
      <c r="M10" s="3">
        <f>SUM(M4:M9)</f>
        <v>120</v>
      </c>
      <c r="N10" s="3">
        <f>SUM(N4:N9)</f>
        <v>30</v>
      </c>
      <c r="O10" s="1">
        <f>AVERAGE(O4:O9)</f>
        <v>65.36</v>
      </c>
      <c r="P10" s="2">
        <f>AVERAGE(P4:P9)</f>
        <v>0.2987</v>
      </c>
      <c r="Q10" s="1">
        <f>SUM(Q4:Q9)</f>
        <v>26257.2</v>
      </c>
      <c r="R10" s="1">
        <f>SUM(R4:R9)</f>
        <v>34100.4</v>
      </c>
      <c r="S10" s="1">
        <f>SUM(S4:S9)</f>
        <v>7843.2</v>
      </c>
      <c r="T10" t="str">
        <v>محسوب بمعادلات إكسل</v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</row>
  </sheetData>
  <mergeCells count="2">
    <mergeCell ref="A1:AB1"/>
    <mergeCell ref="A2:AB2"/>
  </mergeCells>
  <ignoredErrors>
    <ignoredError numberStoredAsText="1" sqref="A1:AB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أدوية ومسكنات شائعة وفيتامينات</vt:lpstr>
      <vt:lpstr>أدوية الأطفال والرضع</vt:lpstr>
      <vt:lpstr>أدوية الأمراض المزمنة والضغط و</vt:lpstr>
      <vt:lpstr>مضادات حيوية ومطهرات بكتيرية</vt:lpstr>
      <vt:lpstr>أدوية الجهاز الهضمي والمعدة وا</vt:lpstr>
      <vt:lpstr>مستلزمات وإسعافات</vt:lpstr>
      <vt:lpstr>عناية بالأم والطفل</vt:lpstr>
      <vt:lpstr>تجميل وعناية بالبشرة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