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أدوية ومسكنات شائعة وفيتامينات" sheetId="1" r:id="rId1"/>
    <sheet name="أدوية الأطفال والرضع" sheetId="2" r:id="rId2"/>
    <sheet name="أدوية الأمراض المزمنة والضغط وا" sheetId="3" r:id="rId3"/>
    <sheet name="مضادات حيوية ومطهرات بكتيرية" sheetId="4" r:id="rId4"/>
    <sheet name="أدوية الجهاز الهضمي والمعدة وال" sheetId="5" r:id="rId5"/>
    <sheet name="مستلزمات وإسعافات" sheetId="6" r:id="rId6"/>
    <sheet name="عناية بالأم والطفل" sheetId="7" r:id="rId7"/>
    <sheet name="تجميل وعناية بالبشرة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0.0%"/>
    <numFmt numFmtId="61" formatCode="#,##0.##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10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146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[أدوية ومسكنات شائعة وفيتامينات]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بانادول إكسترا أقراص 500mg/65mg (علبة 2 شريط - 24 قرص)</v>
      </c>
      <c r="C4" t="str">
        <v>6221001001011</v>
      </c>
      <c r="D4" t="str">
        <v/>
      </c>
      <c r="E4" t="str">
        <v>قطعة</v>
      </c>
      <c r="F4">
        <v>48</v>
      </c>
      <c r="G4">
        <v>37.44</v>
      </c>
      <c r="H4">
        <v>25</v>
      </c>
      <c r="I4">
        <v>5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MED-0001</v>
      </c>
      <c r="R4" t="str">
        <v/>
      </c>
      <c r="S4" t="str">
        <v>500mg/65mg</v>
      </c>
      <c r="T4" t="str">
        <v/>
      </c>
    </row>
    <row r="5">
      <c r="A5">
        <v>2</v>
      </c>
      <c r="B5" t="str">
        <v>بانادول أدفانس أقراص 500mg (علبة 2 شريط - 24 قرص)</v>
      </c>
      <c r="C5" t="str">
        <v>6221001001028</v>
      </c>
      <c r="D5" t="str">
        <v/>
      </c>
      <c r="E5" t="str">
        <v>قطعة</v>
      </c>
      <c r="F5">
        <v>36</v>
      </c>
      <c r="G5">
        <v>28.08</v>
      </c>
      <c r="H5">
        <v>25</v>
      </c>
      <c r="I5">
        <v>5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MED-0002</v>
      </c>
      <c r="R5" t="str">
        <v/>
      </c>
      <c r="S5" t="str">
        <v>500mg</v>
      </c>
      <c r="T5" t="str">
        <v/>
      </c>
    </row>
    <row r="6">
      <c r="A6">
        <v>3</v>
      </c>
      <c r="B6" t="str">
        <v>بانادol كولد آند فلو أصفر 500mg/5mg/2mg (علبة 2 شريط - 24 قرص)</v>
      </c>
      <c r="C6" t="str">
        <v>6221001001035</v>
      </c>
      <c r="D6" t="str">
        <v/>
      </c>
      <c r="E6" t="str">
        <v>قطعة</v>
      </c>
      <c r="F6">
        <v>48</v>
      </c>
      <c r="G6">
        <v>37.44</v>
      </c>
      <c r="H6">
        <v>25</v>
      </c>
      <c r="I6">
        <v>5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MED-0003</v>
      </c>
      <c r="R6" t="str">
        <v/>
      </c>
      <c r="S6" t="str">
        <v>500mg/5mg/2mg</v>
      </c>
      <c r="T6" t="str">
        <v/>
      </c>
    </row>
    <row r="7">
      <c r="A7">
        <v>4</v>
      </c>
      <c r="B7" t="str">
        <v>بانادول نايت أقراص 500mg/25mg (علبة 2 شريط - 24 قرص)</v>
      </c>
      <c r="C7" t="str">
        <v>6221001001042</v>
      </c>
      <c r="D7" t="str">
        <v/>
      </c>
      <c r="E7" t="str">
        <v>قطعة</v>
      </c>
      <c r="F7">
        <v>45</v>
      </c>
      <c r="G7">
        <v>35.1</v>
      </c>
      <c r="H7">
        <v>25</v>
      </c>
      <c r="I7">
        <v>5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MED-0004</v>
      </c>
      <c r="R7" t="str">
        <v/>
      </c>
      <c r="S7" t="str">
        <v>500mg/25mg</v>
      </c>
      <c r="T7" t="str">
        <v/>
      </c>
    </row>
    <row r="8">
      <c r="A8">
        <v>5</v>
      </c>
      <c r="B8" t="str">
        <v>بانادول كولد آند فلو داي ديسك 500mg/30mg/15mg (علبة 2 شريط - 24 قرص)</v>
      </c>
      <c r="C8" t="str">
        <v>6221001001059</v>
      </c>
      <c r="D8" t="str">
        <v/>
      </c>
      <c r="E8" t="str">
        <v>قطعة</v>
      </c>
      <c r="F8">
        <v>52</v>
      </c>
      <c r="G8">
        <v>40.56</v>
      </c>
      <c r="H8">
        <v>25</v>
      </c>
      <c r="I8">
        <v>5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MED-0005</v>
      </c>
      <c r="R8" t="str">
        <v/>
      </c>
      <c r="S8" t="str">
        <v>500mg/30mg/15mg</v>
      </c>
      <c r="T8" t="str">
        <v/>
      </c>
    </row>
    <row r="9">
      <c r="A9">
        <v>6</v>
      </c>
      <c r="B9" t="str">
        <v>كتافلام 50 مجم أقراص 50mg (علبة 2 شريط - 20 قرص)</v>
      </c>
      <c r="C9" t="str">
        <v>6221102002012</v>
      </c>
      <c r="D9" t="str">
        <v/>
      </c>
      <c r="E9" t="str">
        <v>قطعة</v>
      </c>
      <c r="F9">
        <v>66</v>
      </c>
      <c r="G9">
        <v>51.48</v>
      </c>
      <c r="H9">
        <v>25</v>
      </c>
      <c r="I9">
        <v>5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MED-0006</v>
      </c>
      <c r="R9" t="str">
        <v/>
      </c>
      <c r="S9" t="str">
        <v>50mg</v>
      </c>
      <c r="T9" t="str">
        <v/>
      </c>
    </row>
    <row r="10">
      <c r="A10">
        <v>7</v>
      </c>
      <c r="B10" t="str">
        <v>كتافلام 75 مجم حقن 75mg/3ml (علبة 6 أمبولات)</v>
      </c>
      <c r="C10" t="str">
        <v>6221102002029</v>
      </c>
      <c r="D10" t="str">
        <v/>
      </c>
      <c r="E10" t="str">
        <v>قطعة</v>
      </c>
      <c r="F10">
        <v>72</v>
      </c>
      <c r="G10">
        <v>56.16</v>
      </c>
      <c r="H10">
        <v>25</v>
      </c>
      <c r="I10">
        <v>5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MED-0007</v>
      </c>
      <c r="R10" t="str">
        <v/>
      </c>
      <c r="S10" t="str">
        <v>75mg/3ml</v>
      </c>
      <c r="T10" t="str">
        <v/>
      </c>
    </row>
    <row r="11">
      <c r="A11">
        <v>8</v>
      </c>
      <c r="B11" t="str">
        <v>فولتارين 75 مجم حقن عضل 75mg/3ml (علبة 6 أمبولات)</v>
      </c>
      <c r="C11" t="str">
        <v>6221102002036</v>
      </c>
      <c r="D11" t="str">
        <v/>
      </c>
      <c r="E11" t="str">
        <v>قطعة</v>
      </c>
      <c r="F11">
        <v>68</v>
      </c>
      <c r="G11">
        <v>53.04</v>
      </c>
      <c r="H11">
        <v>25</v>
      </c>
      <c r="I11">
        <v>5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MED-0008</v>
      </c>
      <c r="R11" t="str">
        <v/>
      </c>
      <c r="S11" t="str">
        <v>75mg/3ml</v>
      </c>
      <c r="T11" t="str">
        <v/>
      </c>
    </row>
    <row r="12">
      <c r="A12">
        <v>9</v>
      </c>
      <c r="B12" t="str">
        <v>فولتارين 100 مجم ريتارد أقراص 100mg (علبة 2 شريط - 20 قرص)</v>
      </c>
      <c r="C12" t="str">
        <v>6221102002043</v>
      </c>
      <c r="D12" t="str">
        <v/>
      </c>
      <c r="E12" t="str">
        <v>قطعة</v>
      </c>
      <c r="F12">
        <v>85</v>
      </c>
      <c r="G12">
        <v>66.3</v>
      </c>
      <c r="H12">
        <v>25</v>
      </c>
      <c r="I12">
        <v>5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MED-0009</v>
      </c>
      <c r="R12" t="str">
        <v/>
      </c>
      <c r="S12" t="str">
        <v>100mg</v>
      </c>
      <c r="T12" t="str">
        <v/>
      </c>
    </row>
    <row r="13">
      <c r="A13">
        <v>10</v>
      </c>
      <c r="B13" t="str">
        <v>فولتارين إيمولجيل 100 جم 1.16% (أنبوبة ألومنيوم 100 جم)</v>
      </c>
      <c r="C13" t="str">
        <v>6221102002050</v>
      </c>
      <c r="D13" t="str">
        <v/>
      </c>
      <c r="E13" t="str">
        <v>قطعة</v>
      </c>
      <c r="F13">
        <v>75</v>
      </c>
      <c r="G13">
        <v>58.5</v>
      </c>
      <c r="H13">
        <v>25</v>
      </c>
      <c r="I13">
        <v>5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MED-0010</v>
      </c>
      <c r="R13" t="str">
        <v/>
      </c>
      <c r="S13" t="str">
        <v>1.16%</v>
      </c>
      <c r="T13" t="str">
        <v/>
      </c>
    </row>
    <row r="14">
      <c r="A14">
        <v>11</v>
      </c>
      <c r="B14" t="str">
        <v>بروفين 400 مجم أقراص 400mg (علبة 3 شريط - 30 قرص)</v>
      </c>
      <c r="C14" t="str">
        <v>6221103003019</v>
      </c>
      <c r="D14" t="str">
        <v/>
      </c>
      <c r="E14" t="str">
        <v>قطعة</v>
      </c>
      <c r="F14">
        <v>54</v>
      </c>
      <c r="G14">
        <v>42.12</v>
      </c>
      <c r="H14">
        <v>25</v>
      </c>
      <c r="I14">
        <v>5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MED-0011</v>
      </c>
      <c r="R14" t="str">
        <v/>
      </c>
      <c r="S14" t="str">
        <v>400mg</v>
      </c>
      <c r="T14" t="str">
        <v/>
      </c>
    </row>
    <row r="15">
      <c r="A15">
        <v>12</v>
      </c>
      <c r="B15" t="str">
        <v>بروفين 600 مجم أقراص وفوار 600mg (علبة 3 شريط - 30 قرص)</v>
      </c>
      <c r="C15" t="str">
        <v>6221103003026</v>
      </c>
      <c r="D15" t="str">
        <v/>
      </c>
      <c r="E15" t="str">
        <v>قطعة</v>
      </c>
      <c r="F15">
        <v>70</v>
      </c>
      <c r="G15">
        <v>54.6</v>
      </c>
      <c r="H15">
        <v>25</v>
      </c>
      <c r="I15">
        <v>5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MED-0012</v>
      </c>
      <c r="R15" t="str">
        <v/>
      </c>
      <c r="S15" t="str">
        <v>600mg</v>
      </c>
      <c r="T15" t="str">
        <v/>
      </c>
    </row>
    <row r="16">
      <c r="A16">
        <v>13</v>
      </c>
      <c r="B16" t="str">
        <v>بارامول 500 مجم أقراص 500mg (علبة 2 شريط - 20 قرص)</v>
      </c>
      <c r="C16" t="str">
        <v>6221104004016</v>
      </c>
      <c r="D16" t="str">
        <v/>
      </c>
      <c r="E16" t="str">
        <v>قطعة</v>
      </c>
      <c r="F16">
        <v>24</v>
      </c>
      <c r="G16">
        <v>18.72</v>
      </c>
      <c r="H16">
        <v>25</v>
      </c>
      <c r="I16">
        <v>5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MED-0014</v>
      </c>
      <c r="R16" t="str">
        <v/>
      </c>
      <c r="S16" t="str">
        <v>500mg</v>
      </c>
      <c r="T16" t="str">
        <v/>
      </c>
    </row>
    <row r="17">
      <c r="A17">
        <v>14</v>
      </c>
      <c r="B17" t="str">
        <v>سيتال 500 مجم أقراص 500mg (علبة 2 شريط - 20 قرص)</v>
      </c>
      <c r="C17" t="str">
        <v>6221105005013</v>
      </c>
      <c r="D17" t="str">
        <v/>
      </c>
      <c r="E17" t="str">
        <v>قطعة</v>
      </c>
      <c r="F17">
        <v>20</v>
      </c>
      <c r="G17">
        <v>15.6</v>
      </c>
      <c r="H17">
        <v>25</v>
      </c>
      <c r="I17">
        <v>5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MED-0016</v>
      </c>
      <c r="R17" t="str">
        <v/>
      </c>
      <c r="S17" t="str">
        <v>500mg</v>
      </c>
      <c r="T17" t="str">
        <v/>
      </c>
    </row>
    <row r="18">
      <c r="A18">
        <v>15</v>
      </c>
      <c r="B18" t="str">
        <v>ألفينترن أقراص مضادة للالتهاب والتورم 300 units (علبة 3 شريط - 30 قرص)</v>
      </c>
      <c r="C18" t="str">
        <v>6224004004044</v>
      </c>
      <c r="D18" t="str">
        <v/>
      </c>
      <c r="E18" t="str">
        <v>قطعة</v>
      </c>
      <c r="F18">
        <v>54</v>
      </c>
      <c r="G18">
        <v>42.12</v>
      </c>
      <c r="H18">
        <v>25</v>
      </c>
      <c r="I18">
        <v>5</v>
      </c>
      <c r="J18" s="1">
        <f>F18-G18</f>
      </c>
      <c r="K18" s="2">
        <f>IF(G18&gt;0, (F18-G18)/G18, 0)</f>
      </c>
      <c r="L18" s="1">
        <f>H18*G18</f>
      </c>
      <c r="M18" s="1">
        <f>H18*F18</f>
      </c>
      <c r="N18" s="1">
        <f>M18-L18</f>
      </c>
      <c r="O18">
        <f>IF(H18&lt;=0, "نفد من المخزن", IF(H18&lt;=I18, "قارب على النفاد", "متوفر بالمخزن"))</f>
      </c>
      <c r="P18">
        <v>0</v>
      </c>
      <c r="Q18" t="str">
        <v>MED-0019</v>
      </c>
      <c r="R18" t="str">
        <v/>
      </c>
      <c r="S18" t="str">
        <v>300 units</v>
      </c>
      <c r="T18" t="str">
        <v/>
      </c>
    </row>
    <row r="19">
      <c r="A19">
        <v>16</v>
      </c>
      <c r="B19" t="str">
        <v>أمبيزيم أقراص 5mg (علبة 3 شريط - 30 قرص)</v>
      </c>
      <c r="C19" t="str">
        <v>6224004004051</v>
      </c>
      <c r="D19" t="str">
        <v/>
      </c>
      <c r="E19" t="str">
        <v>قطعة</v>
      </c>
      <c r="F19">
        <v>65</v>
      </c>
      <c r="G19">
        <v>50.7</v>
      </c>
      <c r="H19">
        <v>25</v>
      </c>
      <c r="I19">
        <v>5</v>
      </c>
      <c r="J19" s="1">
        <f>F19-G19</f>
      </c>
      <c r="K19" s="2">
        <f>IF(G19&gt;0, (F19-G19)/G19, 0)</f>
      </c>
      <c r="L19" s="1">
        <f>H19*G19</f>
      </c>
      <c r="M19" s="1">
        <f>H19*F19</f>
      </c>
      <c r="N19" s="1">
        <f>M19-L19</f>
      </c>
      <c r="O19">
        <f>IF(H19&lt;=0, "نفد من المخزن", IF(H19&lt;=I19, "قارب على النفاد", "متوفر بالمخزن"))</f>
      </c>
      <c r="P19">
        <v>0</v>
      </c>
      <c r="Q19" t="str">
        <v>MED-0020</v>
      </c>
      <c r="R19" t="str">
        <v/>
      </c>
      <c r="S19" t="str">
        <v>5mg</v>
      </c>
      <c r="T19" t="str">
        <v/>
      </c>
    </row>
    <row r="20">
      <c r="A20">
        <v>17</v>
      </c>
      <c r="B20" t="str">
        <v>أسبرين بروتكت 100 مجم أقراص معوية 100mg (علبة 3 شريط - 30 قرص)</v>
      </c>
      <c r="C20" t="str">
        <v>6224004004075</v>
      </c>
      <c r="D20" t="str">
        <v/>
      </c>
      <c r="E20" t="str">
        <v>قطعة</v>
      </c>
      <c r="F20">
        <v>45</v>
      </c>
      <c r="G20">
        <v>35.1</v>
      </c>
      <c r="H20">
        <v>25</v>
      </c>
      <c r="I20">
        <v>5</v>
      </c>
      <c r="J20" s="1">
        <f>F20-G20</f>
      </c>
      <c r="K20" s="2">
        <f>IF(G20&gt;0, (F20-G20)/G20, 0)</f>
      </c>
      <c r="L20" s="1">
        <f>H20*G20</f>
      </c>
      <c r="M20" s="1">
        <f>H20*F20</f>
      </c>
      <c r="N20" s="1">
        <f>M20-L20</f>
      </c>
      <c r="O20">
        <f>IF(H20&lt;=0, "نفد من المخزن", IF(H20&lt;=I20, "قارب على النفاد", "متوفر بالمخزن"))</f>
      </c>
      <c r="P20">
        <v>0</v>
      </c>
      <c r="Q20" t="str">
        <v>MED-0022</v>
      </c>
      <c r="R20" t="str">
        <v/>
      </c>
      <c r="S20" t="str">
        <v>100mg</v>
      </c>
      <c r="T20" t="str">
        <v/>
      </c>
    </row>
    <row r="21">
      <c r="A21">
        <v>18</v>
      </c>
      <c r="B21" t="str">
        <v>جيسبرين 81 مجم أقراص 81mg (علبة 3 شريط - 30 قرص)</v>
      </c>
      <c r="C21" t="str">
        <v>6224004004082</v>
      </c>
      <c r="D21" t="str">
        <v/>
      </c>
      <c r="E21" t="str">
        <v>قطعة</v>
      </c>
      <c r="F21">
        <v>28</v>
      </c>
      <c r="G21">
        <v>21.84</v>
      </c>
      <c r="H21">
        <v>25</v>
      </c>
      <c r="I21">
        <v>5</v>
      </c>
      <c r="J21" s="1">
        <f>F21-G21</f>
      </c>
      <c r="K21" s="2">
        <f>IF(G21&gt;0, (F21-G21)/G21, 0)</f>
      </c>
      <c r="L21" s="1">
        <f>H21*G21</f>
      </c>
      <c r="M21" s="1">
        <f>H21*F21</f>
      </c>
      <c r="N21" s="1">
        <f>M21-L21</f>
      </c>
      <c r="O21">
        <f>IF(H21&lt;=0, "نفد من المخزن", IF(H21&lt;=I21, "قارب على النفاد", "متوفر بالمخزن"))</f>
      </c>
      <c r="P21">
        <v>0</v>
      </c>
      <c r="Q21" t="str">
        <v>MED-0023</v>
      </c>
      <c r="R21" t="str">
        <v/>
      </c>
      <c r="S21" t="str">
        <v>81mg</v>
      </c>
      <c r="T21" t="str">
        <v/>
      </c>
    </row>
    <row r="22">
      <c r="A22">
        <v>19</v>
      </c>
      <c r="B22" t="str">
        <v>كيتولاك 30 مجم حقن مسكن قوي 30mg/2ml (علبة 5 أمبولات)</v>
      </c>
      <c r="C22" t="str">
        <v>6224004004099</v>
      </c>
      <c r="D22" t="str">
        <v/>
      </c>
      <c r="E22" t="str">
        <v>قطعة</v>
      </c>
      <c r="F22">
        <v>45</v>
      </c>
      <c r="G22">
        <v>35.1</v>
      </c>
      <c r="H22">
        <v>25</v>
      </c>
      <c r="I22">
        <v>5</v>
      </c>
      <c r="J22" s="1">
        <f>F22-G22</f>
      </c>
      <c r="K22" s="2">
        <f>IF(G22&gt;0, (F22-G22)/G22, 0)</f>
      </c>
      <c r="L22" s="1">
        <f>H22*G22</f>
      </c>
      <c r="M22" s="1">
        <f>H22*F22</f>
      </c>
      <c r="N22" s="1">
        <f>M22-L22</f>
      </c>
      <c r="O22">
        <f>IF(H22&lt;=0, "نفد من المخزن", IF(H22&lt;=I22, "قارب على النفاد", "متوفر بالمخزن"))</f>
      </c>
      <c r="P22">
        <v>0</v>
      </c>
      <c r="Q22" t="str">
        <v>MED-0024</v>
      </c>
      <c r="R22" t="str">
        <v/>
      </c>
      <c r="S22" t="str">
        <v>30mg/2ml</v>
      </c>
      <c r="T22" t="str">
        <v/>
      </c>
    </row>
    <row r="23">
      <c r="A23">
        <v>20</v>
      </c>
      <c r="B23" t="str">
        <v>كيتوفان 50 مجم كبسولات 50mg (علبة 2 شريط - 20 كبسولة)</v>
      </c>
      <c r="C23" t="str">
        <v>6224004004105</v>
      </c>
      <c r="D23" t="str">
        <v/>
      </c>
      <c r="E23" t="str">
        <v>قطعة</v>
      </c>
      <c r="F23">
        <v>28</v>
      </c>
      <c r="G23">
        <v>21.84</v>
      </c>
      <c r="H23">
        <v>25</v>
      </c>
      <c r="I23">
        <v>5</v>
      </c>
      <c r="J23" s="1">
        <f>F23-G23</f>
      </c>
      <c r="K23" s="2">
        <f>IF(G23&gt;0, (F23-G23)/G23, 0)</f>
      </c>
      <c r="L23" s="1">
        <f>H23*G23</f>
      </c>
      <c r="M23" s="1">
        <f>H23*F23</f>
      </c>
      <c r="N23" s="1">
        <f>M23-L23</f>
      </c>
      <c r="O23">
        <f>IF(H23&lt;=0, "نفد من المخزن", IF(H23&lt;=I23, "قارب على النفاد", "متوفر بالمخزن"))</f>
      </c>
      <c r="P23">
        <v>0</v>
      </c>
      <c r="Q23" t="str">
        <v>MED-0025</v>
      </c>
      <c r="R23" t="str">
        <v/>
      </c>
      <c r="S23" t="str">
        <v>50mg</v>
      </c>
      <c r="T23" t="str">
        <v/>
      </c>
    </row>
    <row r="24">
      <c r="A24">
        <v>21</v>
      </c>
      <c r="B24" t="str">
        <v>باي كيتوفان 150 مجم أقراص 150mg (علبة 2 شريط - 20 قرص)</v>
      </c>
      <c r="C24" t="str">
        <v>6224004004112</v>
      </c>
      <c r="D24" t="str">
        <v/>
      </c>
      <c r="E24" t="str">
        <v>قطعة</v>
      </c>
      <c r="F24">
        <v>42</v>
      </c>
      <c r="G24">
        <v>32.76</v>
      </c>
      <c r="H24">
        <v>25</v>
      </c>
      <c r="I24">
        <v>5</v>
      </c>
      <c r="J24" s="1">
        <f>F24-G24</f>
      </c>
      <c r="K24" s="2">
        <f>IF(G24&gt;0, (F24-G24)/G24, 0)</f>
      </c>
      <c r="L24" s="1">
        <f>H24*G24</f>
      </c>
      <c r="M24" s="1">
        <f>H24*F24</f>
      </c>
      <c r="N24" s="1">
        <f>M24-L24</f>
      </c>
      <c r="O24">
        <f>IF(H24&lt;=0, "نفد من المخزن", IF(H24&lt;=I24, "قارب على النفاد", "متوفر بالمخزن"))</f>
      </c>
      <c r="P24">
        <v>0</v>
      </c>
      <c r="Q24" t="str">
        <v>MED-0026</v>
      </c>
      <c r="R24" t="str">
        <v/>
      </c>
      <c r="S24" t="str">
        <v>150mg</v>
      </c>
      <c r="T24" t="str">
        <v/>
      </c>
    </row>
    <row r="25">
      <c r="A25">
        <v>22</v>
      </c>
      <c r="B25" t="str">
        <v>فلدين 20 مجم كبسولات 20mg (علبة 2 شريط - 20 كبسولة)</v>
      </c>
      <c r="C25" t="str">
        <v>6224004004129</v>
      </c>
      <c r="D25" t="str">
        <v/>
      </c>
      <c r="E25" t="str">
        <v>قطعة</v>
      </c>
      <c r="F25">
        <v>38</v>
      </c>
      <c r="G25">
        <v>29.64</v>
      </c>
      <c r="H25">
        <v>25</v>
      </c>
      <c r="I25">
        <v>5</v>
      </c>
      <c r="J25" s="1">
        <f>F25-G25</f>
      </c>
      <c r="K25" s="2">
        <f>IF(G25&gt;0, (F25-G25)/G25, 0)</f>
      </c>
      <c r="L25" s="1">
        <f>H25*G25</f>
      </c>
      <c r="M25" s="1">
        <f>H25*F25</f>
      </c>
      <c r="N25" s="1">
        <f>M25-L25</f>
      </c>
      <c r="O25">
        <f>IF(H25&lt;=0, "نفد من المخزن", IF(H25&lt;=I25, "قارب على النفاد", "متوفر بالمخزن"))</f>
      </c>
      <c r="P25">
        <v>0</v>
      </c>
      <c r="Q25" t="str">
        <v>MED-0027</v>
      </c>
      <c r="R25" t="str">
        <v/>
      </c>
      <c r="S25" t="str">
        <v>20mg</v>
      </c>
      <c r="T25" t="str">
        <v/>
      </c>
    </row>
    <row r="26">
      <c r="A26">
        <v>23</v>
      </c>
      <c r="B26" t="str">
        <v>سيلبركس 200 مجم كبسولات 200mg (علبة 1 شريط - 10 كبسولات)</v>
      </c>
      <c r="C26" t="str">
        <v>6224004004136</v>
      </c>
      <c r="D26" t="str">
        <v/>
      </c>
      <c r="E26" t="str">
        <v>قطعة</v>
      </c>
      <c r="F26">
        <v>95</v>
      </c>
      <c r="G26">
        <v>74.1</v>
      </c>
      <c r="H26">
        <v>25</v>
      </c>
      <c r="I26">
        <v>5</v>
      </c>
      <c r="J26" s="1">
        <f>F26-G26</f>
      </c>
      <c r="K26" s="2">
        <f>IF(G26&gt;0, (F26-G26)/G26, 0)</f>
      </c>
      <c r="L26" s="1">
        <f>H26*G26</f>
      </c>
      <c r="M26" s="1">
        <f>H26*F26</f>
      </c>
      <c r="N26" s="1">
        <f>M26-L26</f>
      </c>
      <c r="O26">
        <f>IF(H26&lt;=0, "نفد من المخزن", IF(H26&lt;=I26, "قارب على النفاد", "متوفر بالمخزن"))</f>
      </c>
      <c r="P26">
        <v>0</v>
      </c>
      <c r="Q26" t="str">
        <v>MED-0028</v>
      </c>
      <c r="R26" t="str">
        <v/>
      </c>
      <c r="S26" t="str">
        <v>200mg</v>
      </c>
      <c r="T26" t="str">
        <v/>
      </c>
    </row>
    <row r="27">
      <c r="A27">
        <v>24</v>
      </c>
      <c r="B27" t="str">
        <v>أركوكسيا 90 مجم أقراص 90mg (علبة 1 شريط - 7 أقراص)</v>
      </c>
      <c r="C27" t="str">
        <v>6224004004143</v>
      </c>
      <c r="D27" t="str">
        <v/>
      </c>
      <c r="E27" t="str">
        <v>قطعة</v>
      </c>
      <c r="F27">
        <v>135</v>
      </c>
      <c r="G27">
        <v>105.3</v>
      </c>
      <c r="H27">
        <v>25</v>
      </c>
      <c r="I27">
        <v>5</v>
      </c>
      <c r="J27" s="1">
        <f>F27-G27</f>
      </c>
      <c r="K27" s="2">
        <f>IF(G27&gt;0, (F27-G27)/G27, 0)</f>
      </c>
      <c r="L27" s="1">
        <f>H27*G27</f>
      </c>
      <c r="M27" s="1">
        <f>H27*F27</f>
      </c>
      <c r="N27" s="1">
        <f>M27-L27</f>
      </c>
      <c r="O27">
        <f>IF(H27&lt;=0, "نفد من المخزن", IF(H27&lt;=I27, "قارب على النفاد", "متوفر بالمخزن"))</f>
      </c>
      <c r="P27">
        <v>0</v>
      </c>
      <c r="Q27" t="str">
        <v>MED-0029</v>
      </c>
      <c r="R27" t="str">
        <v/>
      </c>
      <c r="S27" t="str">
        <v>90mg</v>
      </c>
      <c r="T27" t="str">
        <v/>
      </c>
    </row>
    <row r="28">
      <c r="A28">
        <v>25</v>
      </c>
      <c r="B28" t="str">
        <v>كونجستال أقراص للبرد 650mg/60mg/4mg (علبة 2 شريط - 20 قرص)</v>
      </c>
      <c r="C28" t="str">
        <v>6222002002022</v>
      </c>
      <c r="D28" t="str">
        <v/>
      </c>
      <c r="E28" t="str">
        <v>قطعة</v>
      </c>
      <c r="F28">
        <v>39</v>
      </c>
      <c r="G28">
        <v>30.42</v>
      </c>
      <c r="H28">
        <v>25</v>
      </c>
      <c r="I28">
        <v>5</v>
      </c>
      <c r="J28" s="1">
        <f>F28-G28</f>
      </c>
      <c r="K28" s="2">
        <f>IF(G28&gt;0, (F28-G28)/G28, 0)</f>
      </c>
      <c r="L28" s="1">
        <f>H28*G28</f>
      </c>
      <c r="M28" s="1">
        <f>H28*F28</f>
      </c>
      <c r="N28" s="1">
        <f>M28-L28</f>
      </c>
      <c r="O28">
        <f>IF(H28&lt;=0, "نفد من المخزن", IF(H28&lt;=I28, "قارب على النفاد", "متوفر بالمخزن"))</f>
      </c>
      <c r="P28">
        <v>0</v>
      </c>
      <c r="Q28" t="str">
        <v>MED-0030</v>
      </c>
      <c r="R28" t="str">
        <v/>
      </c>
      <c r="S28" t="str">
        <v>650mg/60mg/4mg</v>
      </c>
      <c r="T28" t="str">
        <v/>
      </c>
    </row>
    <row r="29">
      <c r="A29">
        <v>26</v>
      </c>
      <c r="B29" t="str">
        <v>123 أقراص (وان تو ثري) للبرد 500mg/30mg/2mg (علبة 2 شريط - 20 قرص)</v>
      </c>
      <c r="C29" t="str">
        <v>6222002002046</v>
      </c>
      <c r="D29" t="str">
        <v/>
      </c>
      <c r="E29" t="str">
        <v>قطعة</v>
      </c>
      <c r="F29">
        <v>36</v>
      </c>
      <c r="G29">
        <v>28.08</v>
      </c>
      <c r="H29">
        <v>25</v>
      </c>
      <c r="I29">
        <v>5</v>
      </c>
      <c r="J29" s="1">
        <f>F29-G29</f>
      </c>
      <c r="K29" s="2">
        <f>IF(G29&gt;0, (F29-G29)/G29, 0)</f>
      </c>
      <c r="L29" s="1">
        <f>H29*G29</f>
      </c>
      <c r="M29" s="1">
        <f>H29*F29</f>
      </c>
      <c r="N29" s="1">
        <f>M29-L29</f>
      </c>
      <c r="O29">
        <f>IF(H29&lt;=0, "نفد من المخزن", IF(H29&lt;=I29, "قارب على النفاد", "متوفر بالمخزن"))</f>
      </c>
      <c r="P29">
        <v>0</v>
      </c>
      <c r="Q29" t="str">
        <v>MED-0032</v>
      </c>
      <c r="R29" t="str">
        <v/>
      </c>
      <c r="S29" t="str">
        <v>500mg/30mg/2mg</v>
      </c>
      <c r="T29" t="str">
        <v/>
      </c>
    </row>
    <row r="30">
      <c r="A30">
        <v>27</v>
      </c>
      <c r="B30" t="str">
        <v>كومتركس أقراص للإنفلونزا 500mg/30mg/2mg (علبة 2 شريط - 24 قرص)</v>
      </c>
      <c r="C30" t="str">
        <v>6222002002053</v>
      </c>
      <c r="D30" t="str">
        <v/>
      </c>
      <c r="E30" t="str">
        <v>قطعة</v>
      </c>
      <c r="F30">
        <v>45</v>
      </c>
      <c r="G30">
        <v>35.1</v>
      </c>
      <c r="H30">
        <v>25</v>
      </c>
      <c r="I30">
        <v>5</v>
      </c>
      <c r="J30" s="1">
        <f>F30-G30</f>
      </c>
      <c r="K30" s="2">
        <f>IF(G30&gt;0, (F30-G30)/G30, 0)</f>
      </c>
      <c r="L30" s="1">
        <f>H30*G30</f>
      </c>
      <c r="M30" s="1">
        <f>H30*F30</f>
      </c>
      <c r="N30" s="1">
        <f>M30-L30</f>
      </c>
      <c r="O30">
        <f>IF(H30&lt;=0, "نفد من المخزن", IF(H30&lt;=I30, "قارب على النفاد", "متوفر بالمخزن"))</f>
      </c>
      <c r="P30">
        <v>0</v>
      </c>
      <c r="Q30" t="str">
        <v>MED-0033</v>
      </c>
      <c r="R30" t="str">
        <v/>
      </c>
      <c r="S30" t="str">
        <v>500mg/30mg/2mg</v>
      </c>
      <c r="T30" t="str">
        <v/>
      </c>
    </row>
    <row r="31">
      <c r="A31">
        <v>28</v>
      </c>
      <c r="B31" t="str">
        <v>نايت آند داي أقراص 500mg/60mg (علبة 2 شريط - 20 قرص)</v>
      </c>
      <c r="C31" t="str">
        <v>6222002002060</v>
      </c>
      <c r="D31" t="str">
        <v/>
      </c>
      <c r="E31" t="str">
        <v>قطعة</v>
      </c>
      <c r="F31">
        <v>36</v>
      </c>
      <c r="G31">
        <v>28.08</v>
      </c>
      <c r="H31">
        <v>25</v>
      </c>
      <c r="I31">
        <v>5</v>
      </c>
      <c r="J31" s="1">
        <f>F31-G31</f>
      </c>
      <c r="K31" s="2">
        <f>IF(G31&gt;0, (F31-G31)/G31, 0)</f>
      </c>
      <c r="L31" s="1">
        <f>H31*G31</f>
      </c>
      <c r="M31" s="1">
        <f>H31*F31</f>
      </c>
      <c r="N31" s="1">
        <f>M31-L31</f>
      </c>
      <c r="O31">
        <f>IF(H31&lt;=0, "نفد من المخزن", IF(H31&lt;=I31, "قارب على النفاد", "متوفر بالمخزن"))</f>
      </c>
      <c r="P31">
        <v>0</v>
      </c>
      <c r="Q31" t="str">
        <v>MED-0034</v>
      </c>
      <c r="R31" t="str">
        <v/>
      </c>
      <c r="S31" t="str">
        <v>500mg/60mg</v>
      </c>
      <c r="T31" t="str">
        <v/>
      </c>
    </row>
    <row r="32">
      <c r="A32">
        <v>29</v>
      </c>
      <c r="B32" t="str">
        <v>فلوستوب أقراص 500mg/25mg/30mg (علبة 2 شريط - 20 قرص)</v>
      </c>
      <c r="C32" t="str">
        <v>6222002002077</v>
      </c>
      <c r="D32" t="str">
        <v/>
      </c>
      <c r="E32" t="str">
        <v>قطعة</v>
      </c>
      <c r="F32">
        <v>30</v>
      </c>
      <c r="G32">
        <v>23.4</v>
      </c>
      <c r="H32">
        <v>25</v>
      </c>
      <c r="I32">
        <v>5</v>
      </c>
      <c r="J32" s="1">
        <f>F32-G32</f>
      </c>
      <c r="K32" s="2">
        <f>IF(G32&gt;0, (F32-G32)/G32, 0)</f>
      </c>
      <c r="L32" s="1">
        <f>H32*G32</f>
      </c>
      <c r="M32" s="1">
        <f>H32*F32</f>
      </c>
      <c r="N32" s="1">
        <f>M32-L32</f>
      </c>
      <c r="O32">
        <f>IF(H32&lt;=0, "نفد من المخزن", IF(H32&lt;=I32, "قارب على النفاد", "متوفر بالمخزن"))</f>
      </c>
      <c r="P32">
        <v>0</v>
      </c>
      <c r="Q32" t="str">
        <v>MED-0035</v>
      </c>
      <c r="R32" t="str">
        <v/>
      </c>
      <c r="S32" t="str">
        <v>500mg/25mg/30mg</v>
      </c>
      <c r="T32" t="str">
        <v/>
      </c>
    </row>
    <row r="33">
      <c r="A33">
        <v>30</v>
      </c>
      <c r="B33" t="str">
        <v>تلفاست 120 مجم أقراص حساسية 120mg (علبة 2 شريط - 20 قرص)</v>
      </c>
      <c r="C33" t="str">
        <v>6222002002084</v>
      </c>
      <c r="D33" t="str">
        <v/>
      </c>
      <c r="E33" t="str">
        <v>قطعة</v>
      </c>
      <c r="F33">
        <v>90</v>
      </c>
      <c r="G33">
        <v>70.2</v>
      </c>
      <c r="H33">
        <v>25</v>
      </c>
      <c r="I33">
        <v>5</v>
      </c>
      <c r="J33" s="1">
        <f>F33-G33</f>
      </c>
      <c r="K33" s="2">
        <f>IF(G33&gt;0, (F33-G33)/G33, 0)</f>
      </c>
      <c r="L33" s="1">
        <f>H33*G33</f>
      </c>
      <c r="M33" s="1">
        <f>H33*F33</f>
      </c>
      <c r="N33" s="1">
        <f>M33-L33</f>
      </c>
      <c r="O33">
        <f>IF(H33&lt;=0, "نفد من المخزن", IF(H33&lt;=I33, "قارب على النفاد", "متوفر بالمخزن"))</f>
      </c>
      <c r="P33">
        <v>0</v>
      </c>
      <c r="Q33" t="str">
        <v>MED-0036</v>
      </c>
      <c r="R33" t="str">
        <v/>
      </c>
      <c r="S33" t="str">
        <v>120mg</v>
      </c>
      <c r="T33" t="str">
        <v/>
      </c>
    </row>
    <row r="34">
      <c r="A34">
        <v>31</v>
      </c>
      <c r="B34" t="str">
        <v>تلفاست 180 مجم أقراص حساسية 180mg (علبة 2 شريط - 20 قرص)</v>
      </c>
      <c r="C34" t="str">
        <v>6222002002091</v>
      </c>
      <c r="D34" t="str">
        <v/>
      </c>
      <c r="E34" t="str">
        <v>قطعة</v>
      </c>
      <c r="F34">
        <v>110</v>
      </c>
      <c r="G34">
        <v>85.8</v>
      </c>
      <c r="H34">
        <v>25</v>
      </c>
      <c r="I34">
        <v>5</v>
      </c>
      <c r="J34" s="1">
        <f>F34-G34</f>
      </c>
      <c r="K34" s="2">
        <f>IF(G34&gt;0, (F34-G34)/G34, 0)</f>
      </c>
      <c r="L34" s="1">
        <f>H34*G34</f>
      </c>
      <c r="M34" s="1">
        <f>H34*F34</f>
      </c>
      <c r="N34" s="1">
        <f>M34-L34</f>
      </c>
      <c r="O34">
        <f>IF(H34&lt;=0, "نفد من المخزن", IF(H34&lt;=I34, "قارب على النفاد", "متوفر بالمخزن"))</f>
      </c>
      <c r="P34">
        <v>0</v>
      </c>
      <c r="Q34" t="str">
        <v>MED-0037</v>
      </c>
      <c r="R34" t="str">
        <v/>
      </c>
      <c r="S34" t="str">
        <v>180mg</v>
      </c>
      <c r="T34" t="str">
        <v/>
      </c>
    </row>
    <row r="35">
      <c r="A35">
        <v>32</v>
      </c>
      <c r="B35" t="str">
        <v>زيرتك 10 مجم أقراص 10mg (علبة 2 شريط - 20 قرص)</v>
      </c>
      <c r="C35" t="str">
        <v>6222002002114</v>
      </c>
      <c r="D35" t="str">
        <v/>
      </c>
      <c r="E35" t="str">
        <v>قطعة</v>
      </c>
      <c r="F35">
        <v>58</v>
      </c>
      <c r="G35">
        <v>45.24</v>
      </c>
      <c r="H35">
        <v>25</v>
      </c>
      <c r="I35">
        <v>5</v>
      </c>
      <c r="J35" s="1">
        <f>F35-G35</f>
      </c>
      <c r="K35" s="2">
        <f>IF(G35&gt;0, (F35-G35)/G35, 0)</f>
      </c>
      <c r="L35" s="1">
        <f>H35*G35</f>
      </c>
      <c r="M35" s="1">
        <f>H35*F35</f>
      </c>
      <c r="N35" s="1">
        <f>M35-L35</f>
      </c>
      <c r="O35">
        <f>IF(H35&lt;=0, "نفد من المخزن", IF(H35&lt;=I35, "قارب على النفاد", "متوفر بالمخزن"))</f>
      </c>
      <c r="P35">
        <v>0</v>
      </c>
      <c r="Q35" t="str">
        <v>MED-0039</v>
      </c>
      <c r="R35" t="str">
        <v/>
      </c>
      <c r="S35" t="str">
        <v>10mg</v>
      </c>
      <c r="T35" t="str">
        <v/>
      </c>
    </row>
    <row r="36">
      <c r="A36">
        <v>33</v>
      </c>
      <c r="B36" t="str">
        <v>كلاريتين 10 مجم أقراص 10mg (علبة 2 شريط - 20 قرص)</v>
      </c>
      <c r="C36" t="str">
        <v>6222002002145</v>
      </c>
      <c r="D36" t="str">
        <v/>
      </c>
      <c r="E36" t="str">
        <v>قطعة</v>
      </c>
      <c r="F36">
        <v>64</v>
      </c>
      <c r="G36">
        <v>49.92</v>
      </c>
      <c r="H36">
        <v>25</v>
      </c>
      <c r="I36">
        <v>5</v>
      </c>
      <c r="J36" s="1">
        <f>F36-G36</f>
      </c>
      <c r="K36" s="2">
        <f>IF(G36&gt;0, (F36-G36)/G36, 0)</f>
      </c>
      <c r="L36" s="1">
        <f>H36*G36</f>
      </c>
      <c r="M36" s="1">
        <f>H36*F36</f>
      </c>
      <c r="N36" s="1">
        <f>M36-L36</f>
      </c>
      <c r="O36">
        <f>IF(H36&lt;=0, "نفد من المخزن", IF(H36&lt;=I36, "قارب على النفاد", "متوفر بالمخزن"))</f>
      </c>
      <c r="P36">
        <v>0</v>
      </c>
      <c r="Q36" t="str">
        <v>MED-0042</v>
      </c>
      <c r="R36" t="str">
        <v/>
      </c>
      <c r="S36" t="str">
        <v>10mg</v>
      </c>
      <c r="T36" t="str">
        <v/>
      </c>
    </row>
    <row r="37">
      <c r="A37">
        <v>34</v>
      </c>
      <c r="B37" t="str">
        <v>برونكوفين شراب مهدئ للسعال 100mg/10mg/7.5mg per 5ml (زجاجة 125 مل)</v>
      </c>
      <c r="C37" t="str">
        <v>6222002002169</v>
      </c>
      <c r="D37" t="str">
        <v/>
      </c>
      <c r="E37" t="str">
        <v>قطعة</v>
      </c>
      <c r="F37">
        <v>26</v>
      </c>
      <c r="G37">
        <v>20.28</v>
      </c>
      <c r="H37">
        <v>25</v>
      </c>
      <c r="I37">
        <v>5</v>
      </c>
      <c r="J37" s="1">
        <f>F37-G37</f>
      </c>
      <c r="K37" s="2">
        <f>IF(G37&gt;0, (F37-G37)/G37, 0)</f>
      </c>
      <c r="L37" s="1">
        <f>H37*G37</f>
      </c>
      <c r="M37" s="1">
        <f>H37*F37</f>
      </c>
      <c r="N37" s="1">
        <f>M37-L37</f>
      </c>
      <c r="O37">
        <f>IF(H37&lt;=0, "نفد من المخزن", IF(H37&lt;=I37, "قارب على النفاد", "متوفر بالمخزن"))</f>
      </c>
      <c r="P37">
        <v>0</v>
      </c>
      <c r="Q37" t="str">
        <v>MED-0044</v>
      </c>
      <c r="R37" t="str">
        <v/>
      </c>
      <c r="S37" t="str">
        <v>100mg/10mg/7.5mg per 5ml</v>
      </c>
      <c r="T37" t="str">
        <v/>
      </c>
    </row>
    <row r="38">
      <c r="A38">
        <v>35</v>
      </c>
      <c r="B38" t="str">
        <v>أوبلكس شراب للكحة والبلغم 1.65mg/33.3mg/33.3mg (زجاجة 125 مل)</v>
      </c>
      <c r="C38" t="str">
        <v>6222002002176</v>
      </c>
      <c r="D38" t="str">
        <v/>
      </c>
      <c r="E38" t="str">
        <v>قطعة</v>
      </c>
      <c r="F38">
        <v>24</v>
      </c>
      <c r="G38">
        <v>18.72</v>
      </c>
      <c r="H38">
        <v>25</v>
      </c>
      <c r="I38">
        <v>5</v>
      </c>
      <c r="J38" s="1">
        <f>F38-G38</f>
      </c>
      <c r="K38" s="2">
        <f>IF(G38&gt;0, (F38-G38)/G38, 0)</f>
      </c>
      <c r="L38" s="1">
        <f>H38*G38</f>
      </c>
      <c r="M38" s="1">
        <f>H38*F38</f>
      </c>
      <c r="N38" s="1">
        <f>M38-L38</f>
      </c>
      <c r="O38">
        <f>IF(H38&lt;=0, "نفد من المخزن", IF(H38&lt;=I38, "قارب على النفاد", "متوفر بالمخزن"))</f>
      </c>
      <c r="P38">
        <v>0</v>
      </c>
      <c r="Q38" t="str">
        <v>MED-0045</v>
      </c>
      <c r="R38" t="str">
        <v/>
      </c>
      <c r="S38" t="str">
        <v>1.65mg/33.3mg/33.3mg</v>
      </c>
      <c r="T38" t="str">
        <v/>
      </c>
    </row>
    <row r="39">
      <c r="A39">
        <v>36</v>
      </c>
      <c r="B39" t="str">
        <v>كوديلار شراب كحة ناشفة 15mg/5mg/2mg per 5ml (زجاجة 120 مل)</v>
      </c>
      <c r="C39" t="str">
        <v>6222002002183</v>
      </c>
      <c r="D39" t="str">
        <v/>
      </c>
      <c r="E39" t="str">
        <v>قطعة</v>
      </c>
      <c r="F39">
        <v>22</v>
      </c>
      <c r="G39">
        <v>17.16</v>
      </c>
      <c r="H39">
        <v>25</v>
      </c>
      <c r="I39">
        <v>5</v>
      </c>
      <c r="J39" s="1">
        <f>F39-G39</f>
      </c>
      <c r="K39" s="2">
        <f>IF(G39&gt;0, (F39-G39)/G39, 0)</f>
      </c>
      <c r="L39" s="1">
        <f>H39*G39</f>
      </c>
      <c r="M39" s="1">
        <f>H39*F39</f>
      </c>
      <c r="N39" s="1">
        <f>M39-L39</f>
      </c>
      <c r="O39">
        <f>IF(H39&lt;=0, "نفد من المخزن", IF(H39&lt;=I39, "قارب على النفاد", "متوفر بالمخزن"))</f>
      </c>
      <c r="P39">
        <v>0</v>
      </c>
      <c r="Q39" t="str">
        <v>MED-0046</v>
      </c>
      <c r="R39" t="str">
        <v/>
      </c>
      <c r="S39" t="str">
        <v>15mg/5mg/2mg per 5ml</v>
      </c>
      <c r="T39" t="str">
        <v/>
      </c>
    </row>
    <row r="40">
      <c r="A40">
        <v>37</v>
      </c>
      <c r="B40" t="str">
        <v>إيريبان شراب أوراق اللبلاب للكحة 0.7g/100ml (زجاجة 100 مل)</v>
      </c>
      <c r="C40" t="str">
        <v>6222002002206</v>
      </c>
      <c r="D40" t="str">
        <v/>
      </c>
      <c r="E40" t="str">
        <v>قطعة</v>
      </c>
      <c r="F40">
        <v>45</v>
      </c>
      <c r="G40">
        <v>35.1</v>
      </c>
      <c r="H40">
        <v>25</v>
      </c>
      <c r="I40">
        <v>5</v>
      </c>
      <c r="J40" s="1">
        <f>F40-G40</f>
      </c>
      <c r="K40" s="2">
        <f>IF(G40&gt;0, (F40-G40)/G40, 0)</f>
      </c>
      <c r="L40" s="1">
        <f>H40*G40</f>
      </c>
      <c r="M40" s="1">
        <f>H40*F40</f>
      </c>
      <c r="N40" s="1">
        <f>M40-L40</f>
      </c>
      <c r="O40">
        <f>IF(H40&lt;=0, "نفد من المخزن", IF(H40&lt;=I40, "قارب على النفاد", "متوفر بالمخزن"))</f>
      </c>
      <c r="P40">
        <v>0</v>
      </c>
      <c r="Q40" t="str">
        <v>MED-0048</v>
      </c>
      <c r="R40" t="str">
        <v/>
      </c>
      <c r="S40" t="str">
        <v>0.7g/100ml</v>
      </c>
      <c r="T40" t="str">
        <v/>
      </c>
    </row>
    <row r="41">
      <c r="A41">
        <v>38</v>
      </c>
      <c r="B41" t="str">
        <v>ميوكوسول شراب طارد للبلغم 250mg/5ml (زجاجة 120 مل)</v>
      </c>
      <c r="C41" t="str">
        <v>6222002002213</v>
      </c>
      <c r="D41" t="str">
        <v/>
      </c>
      <c r="E41" t="str">
        <v>قطعة</v>
      </c>
      <c r="F41">
        <v>24</v>
      </c>
      <c r="G41">
        <v>18.72</v>
      </c>
      <c r="H41">
        <v>25</v>
      </c>
      <c r="I41">
        <v>5</v>
      </c>
      <c r="J41" s="1">
        <f>F41-G41</f>
      </c>
      <c r="K41" s="2">
        <f>IF(G41&gt;0, (F41-G41)/G41, 0)</f>
      </c>
      <c r="L41" s="1">
        <f>H41*G41</f>
      </c>
      <c r="M41" s="1">
        <f>H41*F41</f>
      </c>
      <c r="N41" s="1">
        <f>M41-L41</f>
      </c>
      <c r="O41">
        <f>IF(H41&lt;=0, "نفد من المخزن", IF(H41&lt;=I41, "قارب على النفاد", "متوفر بالمخزن"))</f>
      </c>
      <c r="P41">
        <v>0</v>
      </c>
      <c r="Q41" t="str">
        <v>MED-0049</v>
      </c>
      <c r="R41" t="str">
        <v/>
      </c>
      <c r="S41" t="str">
        <v>250mg/5ml</v>
      </c>
      <c r="T41" t="str">
        <v/>
      </c>
    </row>
    <row r="42">
      <c r="A42">
        <v>39</v>
      </c>
      <c r="B42" t="str">
        <v>ميوكوسول كبسولات مذيب للبلغم 375mg (علبة 2 شريط - 20 كبسولة)</v>
      </c>
      <c r="C42" t="str">
        <v>6222002002220</v>
      </c>
      <c r="D42" t="str">
        <v/>
      </c>
      <c r="E42" t="str">
        <v>قطعة</v>
      </c>
      <c r="F42">
        <v>28</v>
      </c>
      <c r="G42">
        <v>21.84</v>
      </c>
      <c r="H42">
        <v>25</v>
      </c>
      <c r="I42">
        <v>5</v>
      </c>
      <c r="J42" s="1">
        <f>F42-G42</f>
      </c>
      <c r="K42" s="2">
        <f>IF(G42&gt;0, (F42-G42)/G42, 0)</f>
      </c>
      <c r="L42" s="1">
        <f>H42*G42</f>
      </c>
      <c r="M42" s="1">
        <f>H42*F42</f>
      </c>
      <c r="N42" s="1">
        <f>M42-L42</f>
      </c>
      <c r="O42">
        <f>IF(H42&lt;=0, "نفد من المخزن", IF(H42&lt;=I42, "قارب على النفاد", "متوفر بالمخزن"))</f>
      </c>
      <c r="P42">
        <v>0</v>
      </c>
      <c r="Q42" t="str">
        <v>MED-0050</v>
      </c>
      <c r="R42" t="str">
        <v/>
      </c>
      <c r="S42" t="str">
        <v>375mg</v>
      </c>
      <c r="T42" t="str">
        <v/>
      </c>
    </row>
    <row r="43">
      <c r="A43">
        <v>40</v>
      </c>
      <c r="B43" t="str">
        <v>فاركوسولفين كبسولات مذيب وموسع 30mg/100mg/100mg (علبة 3 شريط - 30 كبسولة)</v>
      </c>
      <c r="C43" t="str">
        <v>6222002002237</v>
      </c>
      <c r="D43" t="str">
        <v/>
      </c>
      <c r="E43" t="str">
        <v>قطعة</v>
      </c>
      <c r="F43">
        <v>33</v>
      </c>
      <c r="G43">
        <v>25.74</v>
      </c>
      <c r="H43">
        <v>25</v>
      </c>
      <c r="I43">
        <v>5</v>
      </c>
      <c r="J43" s="1">
        <f>F43-G43</f>
      </c>
      <c r="K43" s="2">
        <f>IF(G43&gt;0, (F43-G43)/G43, 0)</f>
      </c>
      <c r="L43" s="1">
        <f>H43*G43</f>
      </c>
      <c r="M43" s="1">
        <f>H43*F43</f>
      </c>
      <c r="N43" s="1">
        <f>M43-L43</f>
      </c>
      <c r="O43">
        <f>IF(H43&lt;=0, "نفد من المخزن", IF(H43&lt;=I43, "قارب على النفاد", "متوفر بالمخزن"))</f>
      </c>
      <c r="P43">
        <v>0</v>
      </c>
      <c r="Q43" t="str">
        <v>MED-0051</v>
      </c>
      <c r="R43" t="str">
        <v/>
      </c>
      <c r="S43" t="str">
        <v>30mg/100mg/100mg</v>
      </c>
      <c r="T43" t="str">
        <v/>
      </c>
    </row>
    <row r="44">
      <c r="A44">
        <v>41</v>
      </c>
      <c r="B44" t="str">
        <v>أول-فينت شراب موسع للشعب ومذيب Combination (زجاجة 120 مل)</v>
      </c>
      <c r="C44" t="str">
        <v>6222002002244</v>
      </c>
      <c r="D44" t="str">
        <v/>
      </c>
      <c r="E44" t="str">
        <v>قطعة</v>
      </c>
      <c r="F44">
        <v>26</v>
      </c>
      <c r="G44">
        <v>20.28</v>
      </c>
      <c r="H44">
        <v>25</v>
      </c>
      <c r="I44">
        <v>5</v>
      </c>
      <c r="J44" s="1">
        <f>F44-G44</f>
      </c>
      <c r="K44" s="2">
        <f>IF(G44&gt;0, (F44-G44)/G44, 0)</f>
      </c>
      <c r="L44" s="1">
        <f>H44*G44</f>
      </c>
      <c r="M44" s="1">
        <f>H44*F44</f>
      </c>
      <c r="N44" s="1">
        <f>M44-L44</f>
      </c>
      <c r="O44">
        <f>IF(H44&lt;=0, "نفد من المخزن", IF(H44&lt;=I44, "قارب على النفاد", "متوفر بالمخزن"))</f>
      </c>
      <c r="P44">
        <v>0</v>
      </c>
      <c r="Q44" t="str">
        <v>MED-0052</v>
      </c>
      <c r="R44" t="str">
        <v/>
      </c>
      <c r="S44" t="str">
        <v>Combination</v>
      </c>
      <c r="T44" t="str">
        <v/>
      </c>
    </row>
    <row r="45">
      <c r="A45">
        <v>42</v>
      </c>
      <c r="B45" t="str">
        <v>فينتولين بخاخ صدر سريع المفعول 100mcg/dose - 200 doses (عبوة بخاخ 200 جرعة)</v>
      </c>
      <c r="C45" t="str">
        <v>6222002002268</v>
      </c>
      <c r="D45" t="str">
        <v/>
      </c>
      <c r="E45" t="str">
        <v>قطعة</v>
      </c>
      <c r="F45">
        <v>68</v>
      </c>
      <c r="G45">
        <v>53.04</v>
      </c>
      <c r="H45">
        <v>25</v>
      </c>
      <c r="I45">
        <v>5</v>
      </c>
      <c r="J45" s="1">
        <f>F45-G45</f>
      </c>
      <c r="K45" s="2">
        <f>IF(G45&gt;0, (F45-G45)/G45, 0)</f>
      </c>
      <c r="L45" s="1">
        <f>H45*G45</f>
      </c>
      <c r="M45" s="1">
        <f>H45*F45</f>
      </c>
      <c r="N45" s="1">
        <f>M45-L45</f>
      </c>
      <c r="O45">
        <f>IF(H45&lt;=0, "نفد من المخزن", IF(H45&lt;=I45, "قارب على النفاد", "متوفر بالمخزن"))</f>
      </c>
      <c r="P45">
        <v>0</v>
      </c>
      <c r="Q45" t="str">
        <v>MED-0054</v>
      </c>
      <c r="R45" t="str">
        <v/>
      </c>
      <c r="S45" t="str">
        <v>100mcg/dose - 200 doses</v>
      </c>
      <c r="T45" t="str">
        <v/>
      </c>
    </row>
    <row r="46">
      <c r="A46">
        <v>43</v>
      </c>
      <c r="B46" t="str">
        <v>أتروفنت 0.025% محلول استنشاق وجلسات 250mcg/ml (زجاجة 20 مل)</v>
      </c>
      <c r="C46" t="str">
        <v>6222002002275</v>
      </c>
      <c r="D46" t="str">
        <v/>
      </c>
      <c r="E46" t="str">
        <v>قطعة</v>
      </c>
      <c r="F46">
        <v>52</v>
      </c>
      <c r="G46">
        <v>40.56</v>
      </c>
      <c r="H46">
        <v>25</v>
      </c>
      <c r="I46">
        <v>5</v>
      </c>
      <c r="J46" s="1">
        <f>F46-G46</f>
      </c>
      <c r="K46" s="2">
        <f>IF(G46&gt;0, (F46-G46)/G46, 0)</f>
      </c>
      <c r="L46" s="1">
        <f>H46*G46</f>
      </c>
      <c r="M46" s="1">
        <f>H46*F46</f>
      </c>
      <c r="N46" s="1">
        <f>M46-L46</f>
      </c>
      <c r="O46">
        <f>IF(H46&lt;=0, "نفد من المخزن", IF(H46&lt;=I46, "قارب على النفاد", "متوفر بالمخزن"))</f>
      </c>
      <c r="P46">
        <v>0</v>
      </c>
      <c r="Q46" t="str">
        <v>MED-0055</v>
      </c>
      <c r="R46" t="str">
        <v/>
      </c>
      <c r="S46" t="str">
        <v>250mcg/ml</v>
      </c>
      <c r="T46" t="str">
        <v/>
      </c>
    </row>
    <row r="47">
      <c r="A47">
        <v>44</v>
      </c>
      <c r="B47" t="str">
        <v>بولميكورت 0.5 مجم/2 مل محلول جلسات 0.5mg/2ml (علبة 20 أمبولة بلاستيك)</v>
      </c>
      <c r="C47" t="str">
        <v>6222002002282</v>
      </c>
      <c r="D47" t="str">
        <v/>
      </c>
      <c r="E47" t="str">
        <v>قطعة</v>
      </c>
      <c r="F47">
        <v>360</v>
      </c>
      <c r="G47">
        <v>280.8</v>
      </c>
      <c r="H47">
        <v>25</v>
      </c>
      <c r="I47">
        <v>5</v>
      </c>
      <c r="J47" s="1">
        <f>F47-G47</f>
      </c>
      <c r="K47" s="2">
        <f>IF(G47&gt;0, (F47-G47)/G47, 0)</f>
      </c>
      <c r="L47" s="1">
        <f>H47*G47</f>
      </c>
      <c r="M47" s="1">
        <f>H47*F47</f>
      </c>
      <c r="N47" s="1">
        <f>M47-L47</f>
      </c>
      <c r="O47">
        <f>IF(H47&lt;=0, "نفد من المخزن", IF(H47&lt;=I47, "قارب على النفاد", "متوفر بالمخزن"))</f>
      </c>
      <c r="P47">
        <v>0</v>
      </c>
      <c r="Q47" t="str">
        <v>MED-0056</v>
      </c>
      <c r="R47" t="str">
        <v/>
      </c>
      <c r="S47" t="str">
        <v>0.5mg/2ml</v>
      </c>
      <c r="T47" t="str">
        <v/>
      </c>
    </row>
    <row r="48">
      <c r="A48">
        <v>45</v>
      </c>
      <c r="B48" t="str">
        <v>هاي-بيوتك 1 جم أقراص 1000mg (علبة 2 شريط - 16 قرص)</v>
      </c>
      <c r="C48" t="str">
        <v>6223003003071</v>
      </c>
      <c r="D48" t="str">
        <v/>
      </c>
      <c r="E48" t="str">
        <v>قطعة</v>
      </c>
      <c r="F48">
        <v>118</v>
      </c>
      <c r="G48">
        <v>92.04</v>
      </c>
      <c r="H48">
        <v>25</v>
      </c>
      <c r="I48">
        <v>5</v>
      </c>
      <c r="J48" s="1">
        <f>F48-G48</f>
      </c>
      <c r="K48" s="2">
        <f>IF(G48&gt;0, (F48-G48)/G48, 0)</f>
      </c>
      <c r="L48" s="1">
        <f>H48*G48</f>
      </c>
      <c r="M48" s="1">
        <f>H48*F48</f>
      </c>
      <c r="N48" s="1">
        <f>M48-L48</f>
      </c>
      <c r="O48">
        <f>IF(H48&lt;=0, "نفد من المخزن", IF(H48&lt;=I48, "قارب على النفاد", "متوفر بالمخزن"))</f>
      </c>
      <c r="P48">
        <v>0</v>
      </c>
      <c r="Q48" t="str">
        <v>MED-0061</v>
      </c>
      <c r="R48" t="str">
        <v/>
      </c>
      <c r="S48" t="str">
        <v>1000mg</v>
      </c>
      <c r="T48" t="str">
        <v/>
      </c>
    </row>
    <row r="49">
      <c r="A49">
        <v>46</v>
      </c>
      <c r="B49" t="str">
        <v>هاي-بيوتك 625 مجم أقراص 625mg (علبة 2 شريط - 16 قرص)</v>
      </c>
      <c r="C49" t="str">
        <v>6223003003088</v>
      </c>
      <c r="D49" t="str">
        <v/>
      </c>
      <c r="E49" t="str">
        <v>قطعة</v>
      </c>
      <c r="F49">
        <v>88</v>
      </c>
      <c r="G49">
        <v>68.64</v>
      </c>
      <c r="H49">
        <v>25</v>
      </c>
      <c r="I49">
        <v>5</v>
      </c>
      <c r="J49" s="1">
        <f>F49-G49</f>
      </c>
      <c r="K49" s="2">
        <f>IF(G49&gt;0, (F49-G49)/G49, 0)</f>
      </c>
      <c r="L49" s="1">
        <f>H49*G49</f>
      </c>
      <c r="M49" s="1">
        <f>H49*F49</f>
      </c>
      <c r="N49" s="1">
        <f>M49-L49</f>
      </c>
      <c r="O49">
        <f>IF(H49&lt;=0, "نفد من المخزن", IF(H49&lt;=I49, "قارب على النفاد", "متوفر بالمخزن"))</f>
      </c>
      <c r="P49">
        <v>0</v>
      </c>
      <c r="Q49" t="str">
        <v>MED-0062</v>
      </c>
      <c r="R49" t="str">
        <v/>
      </c>
      <c r="S49" t="str">
        <v>625mg</v>
      </c>
      <c r="T49" t="str">
        <v/>
      </c>
    </row>
    <row r="50">
      <c r="A50">
        <v>47</v>
      </c>
      <c r="B50" t="str">
        <v>كيوام 1 جم أقراص (Curam) 1000mg (علبة 2 شريط - 14 قرص)</v>
      </c>
      <c r="C50" t="str">
        <v>6223003003125</v>
      </c>
      <c r="D50" t="str">
        <v/>
      </c>
      <c r="E50" t="str">
        <v>قطعة</v>
      </c>
      <c r="F50">
        <v>125</v>
      </c>
      <c r="G50">
        <v>97.5</v>
      </c>
      <c r="H50">
        <v>25</v>
      </c>
      <c r="I50">
        <v>5</v>
      </c>
      <c r="J50" s="1">
        <f>F50-G50</f>
      </c>
      <c r="K50" s="2">
        <f>IF(G50&gt;0, (F50-G50)/G50, 0)</f>
      </c>
      <c r="L50" s="1">
        <f>H50*G50</f>
      </c>
      <c r="M50" s="1">
        <f>H50*F50</f>
      </c>
      <c r="N50" s="1">
        <f>M50-L50</f>
      </c>
      <c r="O50">
        <f>IF(H50&lt;=0, "نفد من المخزن", IF(H50&lt;=I50, "قارب على النفاد", "متوفر بالمخزن"))</f>
      </c>
      <c r="P50">
        <v>0</v>
      </c>
      <c r="Q50" t="str">
        <v>MED-0066</v>
      </c>
      <c r="R50" t="str">
        <v/>
      </c>
      <c r="S50" t="str">
        <v>1000mg</v>
      </c>
      <c r="T50" t="str">
        <v/>
      </c>
    </row>
    <row r="51">
      <c r="A51">
        <v>48</v>
      </c>
      <c r="B51" t="str">
        <v>زيروديل 500 مجم أقراص 500mg (علبة 1 شريط - 3 أقراص)</v>
      </c>
      <c r="C51" t="str">
        <v>6223003003156</v>
      </c>
      <c r="D51" t="str">
        <v/>
      </c>
      <c r="E51" t="str">
        <v>قطعة</v>
      </c>
      <c r="F51">
        <v>52</v>
      </c>
      <c r="G51">
        <v>40.56</v>
      </c>
      <c r="H51">
        <v>25</v>
      </c>
      <c r="I51">
        <v>5</v>
      </c>
      <c r="J51" s="1">
        <f>F51-G51</f>
      </c>
      <c r="K51" s="2">
        <f>IF(G51&gt;0, (F51-G51)/G51, 0)</f>
      </c>
      <c r="L51" s="1">
        <f>H51*G51</f>
      </c>
      <c r="M51" s="1">
        <f>H51*F51</f>
      </c>
      <c r="N51" s="1">
        <f>M51-L51</f>
      </c>
      <c r="O51">
        <f>IF(H51&lt;=0, "نفد من المخزن", IF(H51&lt;=I51, "قارب على النفاد", "متوفر بالمخزن"))</f>
      </c>
      <c r="P51">
        <v>0</v>
      </c>
      <c r="Q51" t="str">
        <v>MED-0069</v>
      </c>
      <c r="R51" t="str">
        <v/>
      </c>
      <c r="S51" t="str">
        <v>500mg</v>
      </c>
      <c r="T51" t="str">
        <v/>
      </c>
    </row>
    <row r="52">
      <c r="A52">
        <v>49</v>
      </c>
      <c r="B52" t="str">
        <v>زيثين 500 مجم أقراص 500mg (علبة 1 شريط - 3 أقراص)</v>
      </c>
      <c r="C52" t="str">
        <v>6223003003163</v>
      </c>
      <c r="D52" t="str">
        <v/>
      </c>
      <c r="E52" t="str">
        <v>قطعة</v>
      </c>
      <c r="F52">
        <v>48</v>
      </c>
      <c r="G52">
        <v>37.44</v>
      </c>
      <c r="H52">
        <v>25</v>
      </c>
      <c r="I52">
        <v>5</v>
      </c>
      <c r="J52" s="1">
        <f>F52-G52</f>
      </c>
      <c r="K52" s="2">
        <f>IF(G52&gt;0, (F52-G52)/G52, 0)</f>
      </c>
      <c r="L52" s="1">
        <f>H52*G52</f>
      </c>
      <c r="M52" s="1">
        <f>H52*F52</f>
      </c>
      <c r="N52" s="1">
        <f>M52-L52</f>
      </c>
      <c r="O52">
        <f>IF(H52&lt;=0, "نفد من المخزن", IF(H52&lt;=I52, "قارب على النفاد", "متوفر بالمخزن"))</f>
      </c>
      <c r="P52">
        <v>0</v>
      </c>
      <c r="Q52" t="str">
        <v>MED-0070</v>
      </c>
      <c r="R52" t="str">
        <v/>
      </c>
      <c r="S52" t="str">
        <v>500mg</v>
      </c>
      <c r="T52" t="str">
        <v/>
      </c>
    </row>
    <row r="53">
      <c r="A53">
        <v>50</v>
      </c>
      <c r="B53" t="str">
        <v>تافانيك 500 مجم أقراص 500mg (علبة 1 شريط - 7 أقراص)</v>
      </c>
      <c r="C53" t="str">
        <v>6223003003170</v>
      </c>
      <c r="D53" t="str">
        <v/>
      </c>
      <c r="E53" t="str">
        <v>قطعة</v>
      </c>
      <c r="F53">
        <v>145</v>
      </c>
      <c r="G53">
        <v>113.1</v>
      </c>
      <c r="H53">
        <v>25</v>
      </c>
      <c r="I53">
        <v>5</v>
      </c>
      <c r="J53" s="1">
        <f>F53-G53</f>
      </c>
      <c r="K53" s="2">
        <f>IF(G53&gt;0, (F53-G53)/G53, 0)</f>
      </c>
      <c r="L53" s="1">
        <f>H53*G53</f>
      </c>
      <c r="M53" s="1">
        <f>H53*F53</f>
      </c>
      <c r="N53" s="1">
        <f>M53-L53</f>
      </c>
      <c r="O53">
        <f>IF(H53&lt;=0, "نفد من المخزن", IF(H53&lt;=I53, "قارب على النفاد", "متوفر بالمخزن"))</f>
      </c>
      <c r="P53">
        <v>0</v>
      </c>
      <c r="Q53" t="str">
        <v>MED-0071</v>
      </c>
      <c r="R53" t="str">
        <v/>
      </c>
      <c r="S53" t="str">
        <v>500mg</v>
      </c>
      <c r="T53" t="str">
        <v/>
      </c>
    </row>
    <row r="54">
      <c r="A54">
        <v>51</v>
      </c>
      <c r="B54" t="str">
        <v>تاريفيد 200 مجم أقراص 200mg (علبة 1 شريط - 10 أقراص)</v>
      </c>
      <c r="C54" t="str">
        <v>6223003003187</v>
      </c>
      <c r="D54" t="str">
        <v/>
      </c>
      <c r="E54" t="str">
        <v>قطعة</v>
      </c>
      <c r="F54">
        <v>68</v>
      </c>
      <c r="G54">
        <v>53.04</v>
      </c>
      <c r="H54">
        <v>25</v>
      </c>
      <c r="I54">
        <v>5</v>
      </c>
      <c r="J54" s="1">
        <f>F54-G54</f>
      </c>
      <c r="K54" s="2">
        <f>IF(G54&gt;0, (F54-G54)/G54, 0)</f>
      </c>
      <c r="L54" s="1">
        <f>H54*G54</f>
      </c>
      <c r="M54" s="1">
        <f>H54*F54</f>
      </c>
      <c r="N54" s="1">
        <f>M54-L54</f>
      </c>
      <c r="O54">
        <f>IF(H54&lt;=0, "نفد من المخزن", IF(H54&lt;=I54, "قارب على النفاد", "متوفر بالمخزن"))</f>
      </c>
      <c r="P54">
        <v>0</v>
      </c>
      <c r="Q54" t="str">
        <v>MED-0072</v>
      </c>
      <c r="R54" t="str">
        <v/>
      </c>
      <c r="S54" t="str">
        <v>200mg</v>
      </c>
      <c r="T54" t="str">
        <v/>
      </c>
    </row>
    <row r="55">
      <c r="A55">
        <v>52</v>
      </c>
      <c r="B55" t="str">
        <v>سيبروفلوكساسين 500 مجم أقراص 500mg (علبة 1 شريط - 10 أقراص)</v>
      </c>
      <c r="C55" t="str">
        <v>6223003003194</v>
      </c>
      <c r="D55" t="str">
        <v/>
      </c>
      <c r="E55" t="str">
        <v>قطعة</v>
      </c>
      <c r="F55">
        <v>45</v>
      </c>
      <c r="G55">
        <v>35.1</v>
      </c>
      <c r="H55">
        <v>25</v>
      </c>
      <c r="I55">
        <v>5</v>
      </c>
      <c r="J55" s="1">
        <f>F55-G55</f>
      </c>
      <c r="K55" s="2">
        <f>IF(G55&gt;0, (F55-G55)/G55, 0)</f>
      </c>
      <c r="L55" s="1">
        <f>H55*G55</f>
      </c>
      <c r="M55" s="1">
        <f>H55*F55</f>
      </c>
      <c r="N55" s="1">
        <f>M55-L55</f>
      </c>
      <c r="O55">
        <f>IF(H55&lt;=0, "نفد من المخزن", IF(H55&lt;=I55, "قارب على النفاد", "متوفر بالمخزن"))</f>
      </c>
      <c r="P55">
        <v>0</v>
      </c>
      <c r="Q55" t="str">
        <v>MED-0073</v>
      </c>
      <c r="R55" t="str">
        <v/>
      </c>
      <c r="S55" t="str">
        <v>500mg</v>
      </c>
      <c r="T55" t="str">
        <v/>
      </c>
    </row>
    <row r="56">
      <c r="A56">
        <v>53</v>
      </c>
      <c r="B56" t="str">
        <v>سيبروباي 500 مجم أقراص (Ciprobay) 500mg (علبة 1 شريط - 10 أقراص)</v>
      </c>
      <c r="C56" t="str">
        <v>6223003003200</v>
      </c>
      <c r="D56" t="str">
        <v/>
      </c>
      <c r="E56" t="str">
        <v>قطعة</v>
      </c>
      <c r="F56">
        <v>85</v>
      </c>
      <c r="G56">
        <v>66.3</v>
      </c>
      <c r="H56">
        <v>25</v>
      </c>
      <c r="I56">
        <v>5</v>
      </c>
      <c r="J56" s="1">
        <f>F56-G56</f>
      </c>
      <c r="K56" s="2">
        <f>IF(G56&gt;0, (F56-G56)/G56, 0)</f>
      </c>
      <c r="L56" s="1">
        <f>H56*G56</f>
      </c>
      <c r="M56" s="1">
        <f>H56*F56</f>
      </c>
      <c r="N56" s="1">
        <f>M56-L56</f>
      </c>
      <c r="O56">
        <f>IF(H56&lt;=0, "نفد من المخزن", IF(H56&lt;=I56, "قارب على النفاد", "متوفر بالمخزن"))</f>
      </c>
      <c r="P56">
        <v>0</v>
      </c>
      <c r="Q56" t="str">
        <v>MED-0074</v>
      </c>
      <c r="R56" t="str">
        <v/>
      </c>
      <c r="S56" t="str">
        <v>500mg</v>
      </c>
      <c r="T56" t="str">
        <v/>
      </c>
    </row>
    <row r="57">
      <c r="A57">
        <v>54</v>
      </c>
      <c r="B57" t="str">
        <v>سيبروفار 500 مجم أقراص 500mg (علبة 1 شريط - 10 أقراص)</v>
      </c>
      <c r="C57" t="str">
        <v>6223003003217</v>
      </c>
      <c r="D57" t="str">
        <v/>
      </c>
      <c r="E57" t="str">
        <v>قطعة</v>
      </c>
      <c r="F57">
        <v>42</v>
      </c>
      <c r="G57">
        <v>32.76</v>
      </c>
      <c r="H57">
        <v>25</v>
      </c>
      <c r="I57">
        <v>5</v>
      </c>
      <c r="J57" s="1">
        <f>F57-G57</f>
      </c>
      <c r="K57" s="2">
        <f>IF(G57&gt;0, (F57-G57)/G57, 0)</f>
      </c>
      <c r="L57" s="1">
        <f>H57*G57</f>
      </c>
      <c r="M57" s="1">
        <f>H57*F57</f>
      </c>
      <c r="N57" s="1">
        <f>M57-L57</f>
      </c>
      <c r="O57">
        <f>IF(H57&lt;=0, "نفد من المخزن", IF(H57&lt;=I57, "قارب على النفاد", "متوفر بالمخزن"))</f>
      </c>
      <c r="P57">
        <v>0</v>
      </c>
      <c r="Q57" t="str">
        <v>MED-0075</v>
      </c>
      <c r="R57" t="str">
        <v/>
      </c>
      <c r="S57" t="str">
        <v>500mg</v>
      </c>
      <c r="T57" t="str">
        <v/>
      </c>
    </row>
    <row r="58">
      <c r="A58">
        <v>55</v>
      </c>
      <c r="B58" t="str">
        <v>سبترين أقراص 400mg/80mg (علبة 2 شريط - 20 قرص)</v>
      </c>
      <c r="C58" t="str">
        <v>6223003003224</v>
      </c>
      <c r="D58" t="str">
        <v/>
      </c>
      <c r="E58" t="str">
        <v>قطعة</v>
      </c>
      <c r="F58">
        <v>32</v>
      </c>
      <c r="G58">
        <v>24.96</v>
      </c>
      <c r="H58">
        <v>25</v>
      </c>
      <c r="I58">
        <v>5</v>
      </c>
      <c r="J58" s="1">
        <f>F58-G58</f>
      </c>
      <c r="K58" s="2">
        <f>IF(G58&gt;0, (F58-G58)/G58, 0)</f>
      </c>
      <c r="L58" s="1">
        <f>H58*G58</f>
      </c>
      <c r="M58" s="1">
        <f>H58*F58</f>
      </c>
      <c r="N58" s="1">
        <f>M58-L58</f>
      </c>
      <c r="O58">
        <f>IF(H58&lt;=0, "نفد من المخزن", IF(H58&lt;=I58, "قارب على النفاد", "متوفر بالمخزن"))</f>
      </c>
      <c r="P58">
        <v>0</v>
      </c>
      <c r="Q58" t="str">
        <v>MED-0076</v>
      </c>
      <c r="R58" t="str">
        <v/>
      </c>
      <c r="S58" t="str">
        <v>400mg/80mg</v>
      </c>
      <c r="T58" t="str">
        <v/>
      </c>
    </row>
    <row r="59">
      <c r="A59">
        <v>56</v>
      </c>
      <c r="B59" t="str">
        <v>فلوكسامو 1 جم كبسولات 500mg/500mg (علبة 2 شريط - 16 كبسولة)</v>
      </c>
      <c r="C59" t="str">
        <v>6223003003248</v>
      </c>
      <c r="D59" t="str">
        <v/>
      </c>
      <c r="E59" t="str">
        <v>قطعة</v>
      </c>
      <c r="F59">
        <v>65</v>
      </c>
      <c r="G59">
        <v>50.7</v>
      </c>
      <c r="H59">
        <v>25</v>
      </c>
      <c r="I59">
        <v>5</v>
      </c>
      <c r="J59" s="1">
        <f>F59-G59</f>
      </c>
      <c r="K59" s="2">
        <f>IF(G59&gt;0, (F59-G59)/G59, 0)</f>
      </c>
      <c r="L59" s="1">
        <f>H59*G59</f>
      </c>
      <c r="M59" s="1">
        <f>H59*F59</f>
      </c>
      <c r="N59" s="1">
        <f>M59-L59</f>
      </c>
      <c r="O59">
        <f>IF(H59&lt;=0, "نفد من المخزن", IF(H59&lt;=I59, "قارب على النفاد", "متوفر بالمخزن"))</f>
      </c>
      <c r="P59">
        <v>0</v>
      </c>
      <c r="Q59" t="str">
        <v>MED-0078</v>
      </c>
      <c r="R59" t="str">
        <v/>
      </c>
      <c r="S59" t="str">
        <v>500mg/500mg</v>
      </c>
      <c r="T59" t="str">
        <v/>
      </c>
    </row>
    <row r="60">
      <c r="A60">
        <v>57</v>
      </c>
      <c r="B60" t="str">
        <v>أموكسيل 500 مجم كبسولات 500mg (علبة 2 شريط - 16 كبسولة)</v>
      </c>
      <c r="C60" t="str">
        <v>6223003003255</v>
      </c>
      <c r="D60" t="str">
        <v/>
      </c>
      <c r="E60" t="str">
        <v>قطعة</v>
      </c>
      <c r="F60">
        <v>38</v>
      </c>
      <c r="G60">
        <v>29.64</v>
      </c>
      <c r="H60">
        <v>25</v>
      </c>
      <c r="I60">
        <v>5</v>
      </c>
      <c r="J60" s="1">
        <f>F60-G60</f>
      </c>
      <c r="K60" s="2">
        <f>IF(G60&gt;0, (F60-G60)/G60, 0)</f>
      </c>
      <c r="L60" s="1">
        <f>H60*G60</f>
      </c>
      <c r="M60" s="1">
        <f>H60*F60</f>
      </c>
      <c r="N60" s="1">
        <f>M60-L60</f>
      </c>
      <c r="O60">
        <f>IF(H60&lt;=0, "نفد من المخزن", IF(H60&lt;=I60, "قارب على النفاد", "متوفر بالمخزن"))</f>
      </c>
      <c r="P60">
        <v>0</v>
      </c>
      <c r="Q60" t="str">
        <v>MED-0079</v>
      </c>
      <c r="R60" t="str">
        <v/>
      </c>
      <c r="S60" t="str">
        <v>500mg</v>
      </c>
      <c r="T60" t="str">
        <v/>
      </c>
    </row>
    <row r="61">
      <c r="A61">
        <v>58</v>
      </c>
      <c r="B61" t="str">
        <v>إبيسيلين 500 مجم فيال حقن 500mg (فيال + أمبول ماء مذيب)</v>
      </c>
      <c r="C61" t="str">
        <v>6223003003262</v>
      </c>
      <c r="D61" t="str">
        <v/>
      </c>
      <c r="E61" t="str">
        <v>قطعة</v>
      </c>
      <c r="F61">
        <v>16</v>
      </c>
      <c r="G61">
        <v>12.48</v>
      </c>
      <c r="H61">
        <v>25</v>
      </c>
      <c r="I61">
        <v>5</v>
      </c>
      <c r="J61" s="1">
        <f>F61-G61</f>
      </c>
      <c r="K61" s="2">
        <f>IF(G61&gt;0, (F61-G61)/G61, 0)</f>
      </c>
      <c r="L61" s="1">
        <f>H61*G61</f>
      </c>
      <c r="M61" s="1">
        <f>H61*F61</f>
      </c>
      <c r="N61" s="1">
        <f>M61-L61</f>
      </c>
      <c r="O61">
        <f>IF(H61&lt;=0, "نفد من المخزن", IF(H61&lt;=I61, "قارب على النفاد", "متوفر بالمخزن"))</f>
      </c>
      <c r="P61">
        <v>0</v>
      </c>
      <c r="Q61" t="str">
        <v>MED-0080</v>
      </c>
      <c r="R61" t="str">
        <v/>
      </c>
      <c r="S61" t="str">
        <v>500mg</v>
      </c>
      <c r="T61" t="str">
        <v/>
      </c>
    </row>
    <row r="62">
      <c r="A62">
        <v>59</v>
      </c>
      <c r="B62" t="str">
        <v>أمريزول 500 مجم أقراص 500mg (علبة 2 شريط - 20 قرص)</v>
      </c>
      <c r="C62" t="str">
        <v>6223003003293</v>
      </c>
      <c r="D62" t="str">
        <v/>
      </c>
      <c r="E62" t="str">
        <v>قطعة</v>
      </c>
      <c r="F62">
        <v>26</v>
      </c>
      <c r="G62">
        <v>20.28</v>
      </c>
      <c r="H62">
        <v>25</v>
      </c>
      <c r="I62">
        <v>5</v>
      </c>
      <c r="J62" s="1">
        <f>F62-G62</f>
      </c>
      <c r="K62" s="2">
        <f>IF(G62&gt;0, (F62-G62)/G62, 0)</f>
      </c>
      <c r="L62" s="1">
        <f>H62*G62</f>
      </c>
      <c r="M62" s="1">
        <f>H62*F62</f>
      </c>
      <c r="N62" s="1">
        <f>M62-L62</f>
      </c>
      <c r="O62">
        <f>IF(H62&lt;=0, "نفد من المخزن", IF(H62&lt;=I62, "قارب على النفاد", "متوفر بالمخزن"))</f>
      </c>
      <c r="P62">
        <v>0</v>
      </c>
      <c r="Q62" t="str">
        <v>MED-0083</v>
      </c>
      <c r="R62" t="str">
        <v/>
      </c>
      <c r="S62" t="str">
        <v>500mg</v>
      </c>
      <c r="T62" t="str">
        <v/>
      </c>
    </row>
    <row r="63">
      <c r="A63">
        <v>60</v>
      </c>
      <c r="B63" t="str">
        <v>ديفلوكان 150 مجم كبسولة واحدة 150mg (علبة كبسولة واحدة)</v>
      </c>
      <c r="C63" t="str">
        <v>6223003003309</v>
      </c>
      <c r="D63" t="str">
        <v/>
      </c>
      <c r="E63" t="str">
        <v>قطعة</v>
      </c>
      <c r="F63">
        <v>62</v>
      </c>
      <c r="G63">
        <v>48.36</v>
      </c>
      <c r="H63">
        <v>25</v>
      </c>
      <c r="I63">
        <v>5</v>
      </c>
      <c r="J63" s="1">
        <f>F63-G63</f>
      </c>
      <c r="K63" s="2">
        <f>IF(G63&gt;0, (F63-G63)/G63, 0)</f>
      </c>
      <c r="L63" s="1">
        <f>H63*G63</f>
      </c>
      <c r="M63" s="1">
        <f>H63*F63</f>
      </c>
      <c r="N63" s="1">
        <f>M63-L63</f>
      </c>
      <c r="O63">
        <f>IF(H63&lt;=0, "نفد من المخزن", IF(H63&lt;=I63, "قارب على النفاد", "متوفر بالمخزن"))</f>
      </c>
      <c r="P63">
        <v>0</v>
      </c>
      <c r="Q63" t="str">
        <v>MED-0084</v>
      </c>
      <c r="R63" t="str">
        <v/>
      </c>
      <c r="S63" t="str">
        <v>150mg</v>
      </c>
      <c r="T63" t="str">
        <v/>
      </c>
    </row>
    <row r="64">
      <c r="A64">
        <v>61</v>
      </c>
      <c r="B64" t="str">
        <v>فلوكورال 150 مجم كبسولات فطريات 150mg (علبة كبسولتين)</v>
      </c>
      <c r="C64" t="str">
        <v>6223003003316</v>
      </c>
      <c r="D64" t="str">
        <v/>
      </c>
      <c r="E64" t="str">
        <v>قطعة</v>
      </c>
      <c r="F64">
        <v>45</v>
      </c>
      <c r="G64">
        <v>35.1</v>
      </c>
      <c r="H64">
        <v>25</v>
      </c>
      <c r="I64">
        <v>5</v>
      </c>
      <c r="J64" s="1">
        <f>F64-G64</f>
      </c>
      <c r="K64" s="2">
        <f>IF(G64&gt;0, (F64-G64)/G64, 0)</f>
      </c>
      <c r="L64" s="1">
        <f>H64*G64</f>
      </c>
      <c r="M64" s="1">
        <f>H64*F64</f>
      </c>
      <c r="N64" s="1">
        <f>M64-L64</f>
      </c>
      <c r="O64">
        <f>IF(H64&lt;=0, "نفد من المخزن", IF(H64&lt;=I64, "قارب على النفاد", "متوفر بالمخزن"))</f>
      </c>
      <c r="P64">
        <v>0</v>
      </c>
      <c r="Q64" t="str">
        <v>MED-0085</v>
      </c>
      <c r="R64" t="str">
        <v/>
      </c>
      <c r="S64" t="str">
        <v>150mg</v>
      </c>
      <c r="T64" t="str">
        <v/>
      </c>
    </row>
    <row r="65">
      <c r="A65">
        <v>62</v>
      </c>
      <c r="B65" t="str">
        <v>تريفلوكان 150 مجم كبسولات 150mg (علبة كبسولة واحدة)</v>
      </c>
      <c r="C65" t="str">
        <v>6223003003323</v>
      </c>
      <c r="D65" t="str">
        <v/>
      </c>
      <c r="E65" t="str">
        <v>قطعة</v>
      </c>
      <c r="F65">
        <v>32</v>
      </c>
      <c r="G65">
        <v>24.96</v>
      </c>
      <c r="H65">
        <v>25</v>
      </c>
      <c r="I65">
        <v>5</v>
      </c>
      <c r="J65" s="1">
        <f>F65-G65</f>
      </c>
      <c r="K65" s="2">
        <f>IF(G65&gt;0, (F65-G65)/G65, 0)</f>
      </c>
      <c r="L65" s="1">
        <f>H65*G65</f>
      </c>
      <c r="M65" s="1">
        <f>H65*F65</f>
      </c>
      <c r="N65" s="1">
        <f>M65-L65</f>
      </c>
      <c r="O65">
        <f>IF(H65&lt;=0, "نفد من المخزن", IF(H65&lt;=I65, "قارب على النفاد", "متوفر بالمخزن"))</f>
      </c>
      <c r="P65">
        <v>0</v>
      </c>
      <c r="Q65" t="str">
        <v>MED-0086</v>
      </c>
      <c r="R65" t="str">
        <v/>
      </c>
      <c r="S65" t="str">
        <v>150mg</v>
      </c>
      <c r="T65" t="str">
        <v/>
      </c>
    </row>
    <row r="66">
      <c r="A66">
        <v>63</v>
      </c>
      <c r="B66" t="str">
        <v>دالاسين سي 300 مجم كبسولات 300mg (علبة 2 شريط - 16 كبسولة)</v>
      </c>
      <c r="C66" t="str">
        <v>6223003003347</v>
      </c>
      <c r="D66" t="str">
        <v/>
      </c>
      <c r="E66" t="str">
        <v>قطعة</v>
      </c>
      <c r="F66">
        <v>90</v>
      </c>
      <c r="G66">
        <v>70.2</v>
      </c>
      <c r="H66">
        <v>25</v>
      </c>
      <c r="I66">
        <v>5</v>
      </c>
      <c r="J66" s="1">
        <f>F66-G66</f>
      </c>
      <c r="K66" s="2">
        <f>IF(G66&gt;0, (F66-G66)/G66, 0)</f>
      </c>
      <c r="L66" s="1">
        <f>H66*G66</f>
      </c>
      <c r="M66" s="1">
        <f>H66*F66</f>
      </c>
      <c r="N66" s="1">
        <f>M66-L66</f>
      </c>
      <c r="O66">
        <f>IF(H66&lt;=0, "نفد من المخزن", IF(H66&lt;=I66, "قارب على النفاد", "متوفر بالمخزن"))</f>
      </c>
      <c r="P66">
        <v>0</v>
      </c>
      <c r="Q66" t="str">
        <v>MED-0088</v>
      </c>
      <c r="R66" t="str">
        <v/>
      </c>
      <c r="S66" t="str">
        <v>300mg</v>
      </c>
      <c r="T66" t="str">
        <v/>
      </c>
    </row>
    <row r="67">
      <c r="A67">
        <v>64</v>
      </c>
      <c r="B67" t="str">
        <v>أوميز 20 مجم كبسولات 20mg (علبة 2 شريط - 14 كبسولة)</v>
      </c>
      <c r="C67" t="str">
        <v>6225005005110</v>
      </c>
      <c r="D67" t="str">
        <v/>
      </c>
      <c r="E67" t="str">
        <v>قطعة</v>
      </c>
      <c r="F67">
        <v>42</v>
      </c>
      <c r="G67">
        <v>32.76</v>
      </c>
      <c r="H67">
        <v>25</v>
      </c>
      <c r="I67">
        <v>5</v>
      </c>
      <c r="J67" s="1">
        <f>F67-G67</f>
      </c>
      <c r="K67" s="2">
        <f>IF(G67&gt;0, (F67-G67)/G67, 0)</f>
      </c>
      <c r="L67" s="1">
        <f>H67*G67</f>
      </c>
      <c r="M67" s="1">
        <f>H67*F67</f>
      </c>
      <c r="N67" s="1">
        <f>M67-L67</f>
      </c>
      <c r="O67">
        <f>IF(H67&lt;=0, "نفد من المخزن", IF(H67&lt;=I67, "قارب على النفاد", "متوفر بالمخزن"))</f>
      </c>
      <c r="P67">
        <v>0</v>
      </c>
      <c r="Q67" t="str">
        <v>MED-0099</v>
      </c>
      <c r="R67" t="str">
        <v/>
      </c>
      <c r="S67" t="str">
        <v>20mg</v>
      </c>
      <c r="T67" t="str">
        <v/>
      </c>
    </row>
    <row r="68">
      <c r="A68">
        <v>65</v>
      </c>
      <c r="B68" t="str">
        <v>أنتودين 40 مجم أقراص 40mg (علبة 2 شريط - 20 قرص)</v>
      </c>
      <c r="C68" t="str">
        <v>6225005005134</v>
      </c>
      <c r="D68" t="str">
        <v/>
      </c>
      <c r="E68" t="str">
        <v>قطعة</v>
      </c>
      <c r="F68">
        <v>45</v>
      </c>
      <c r="G68">
        <v>35.1</v>
      </c>
      <c r="H68">
        <v>25</v>
      </c>
      <c r="I68">
        <v>5</v>
      </c>
      <c r="J68" s="1">
        <f>F68-G68</f>
      </c>
      <c r="K68" s="2">
        <f>IF(G68&gt;0, (F68-G68)/G68, 0)</f>
      </c>
      <c r="L68" s="1">
        <f>H68*G68</f>
      </c>
      <c r="M68" s="1">
        <f>H68*F68</f>
      </c>
      <c r="N68" s="1">
        <f>M68-L68</f>
      </c>
      <c r="O68">
        <f>IF(H68&lt;=0, "نفد من المخزن", IF(H68&lt;=I68, "قارب على النفاد", "متوفر بالمخزن"))</f>
      </c>
      <c r="P68">
        <v>0</v>
      </c>
      <c r="Q68" t="str">
        <v>MED-0101</v>
      </c>
      <c r="R68" t="str">
        <v/>
      </c>
      <c r="S68" t="str">
        <v>40mg</v>
      </c>
      <c r="T68" t="str">
        <v/>
      </c>
    </row>
    <row r="69">
      <c r="A69">
        <v>66</v>
      </c>
      <c r="B69" t="str">
        <v>بسكوبان 10 مجم أقراص للتقلصات 10mg (علبة 2 شريط - 20 قرص)</v>
      </c>
      <c r="C69" t="str">
        <v>6225005005233</v>
      </c>
      <c r="D69" t="str">
        <v/>
      </c>
      <c r="E69" t="str">
        <v>قطعة</v>
      </c>
      <c r="F69">
        <v>36</v>
      </c>
      <c r="G69">
        <v>28.08</v>
      </c>
      <c r="H69">
        <v>25</v>
      </c>
      <c r="I69">
        <v>5</v>
      </c>
      <c r="J69" s="1">
        <f>F69-G69</f>
      </c>
      <c r="K69" s="2">
        <f>IF(G69&gt;0, (F69-G69)/G69, 0)</f>
      </c>
      <c r="L69" s="1">
        <f>H69*G69</f>
      </c>
      <c r="M69" s="1">
        <f>H69*F69</f>
      </c>
      <c r="N69" s="1">
        <f>M69-L69</f>
      </c>
      <c r="O69">
        <f>IF(H69&lt;=0, "نفد من المخزن", IF(H69&lt;=I69, "قارب على النفاد", "متوفر بالمخزن"))</f>
      </c>
      <c r="P69">
        <v>0</v>
      </c>
      <c r="Q69" t="str">
        <v>MED-0111</v>
      </c>
      <c r="R69" t="str">
        <v/>
      </c>
      <c r="S69" t="str">
        <v>10mg</v>
      </c>
      <c r="T69" t="str">
        <v/>
      </c>
    </row>
    <row r="70">
      <c r="A70">
        <v>67</v>
      </c>
      <c r="B70" t="str">
        <v>بسكوبان كومبوزيتم أقراص مسكن للمغص 10mg/500mg (علبة 2 شريط - 20 قرص)</v>
      </c>
      <c r="C70" t="str">
        <v>6225005005240</v>
      </c>
      <c r="D70" t="str">
        <v/>
      </c>
      <c r="E70" t="str">
        <v>قطعة</v>
      </c>
      <c r="F70">
        <v>45</v>
      </c>
      <c r="G70">
        <v>35.1</v>
      </c>
      <c r="H70">
        <v>25</v>
      </c>
      <c r="I70">
        <v>5</v>
      </c>
      <c r="J70" s="1">
        <f>F70-G70</f>
      </c>
      <c r="K70" s="2">
        <f>IF(G70&gt;0, (F70-G70)/G70, 0)</f>
      </c>
      <c r="L70" s="1">
        <f>H70*G70</f>
      </c>
      <c r="M70" s="1">
        <f>H70*F70</f>
      </c>
      <c r="N70" s="1">
        <f>M70-L70</f>
      </c>
      <c r="O70">
        <f>IF(H70&lt;=0, "نفد من المخزن", IF(H70&lt;=I70, "قارب على النفاد", "متوفر بالمخزن"))</f>
      </c>
      <c r="P70">
        <v>0</v>
      </c>
      <c r="Q70" t="str">
        <v>MED-0112</v>
      </c>
      <c r="R70" t="str">
        <v/>
      </c>
      <c r="S70" t="str">
        <v>10mg/500mg</v>
      </c>
      <c r="T70" t="str">
        <v/>
      </c>
    </row>
    <row r="71">
      <c r="A71">
        <v>68</v>
      </c>
      <c r="B71" t="str">
        <v>لاكتولوز شراب ملين 67% (زجاجة 120 مل)</v>
      </c>
      <c r="C71" t="str">
        <v>6225005005295</v>
      </c>
      <c r="D71" t="str">
        <v/>
      </c>
      <c r="E71" t="str">
        <v>قطعة</v>
      </c>
      <c r="F71">
        <v>38</v>
      </c>
      <c r="G71">
        <v>29.64</v>
      </c>
      <c r="H71">
        <v>25</v>
      </c>
      <c r="I71">
        <v>5</v>
      </c>
      <c r="J71" s="1">
        <f>F71-G71</f>
      </c>
      <c r="K71" s="2">
        <f>IF(G71&gt;0, (F71-G71)/G71, 0)</f>
      </c>
      <c r="L71" s="1">
        <f>H71*G71</f>
      </c>
      <c r="M71" s="1">
        <f>H71*F71</f>
      </c>
      <c r="N71" s="1">
        <f>M71-L71</f>
      </c>
      <c r="O71">
        <f>IF(H71&lt;=0, "نفد من المخزن", IF(H71&lt;=I71, "قارب على النفاد", "متوفر بالمخزن"))</f>
      </c>
      <c r="P71">
        <v>0</v>
      </c>
      <c r="Q71" t="str">
        <v>MED-0117</v>
      </c>
      <c r="R71" t="str">
        <v/>
      </c>
      <c r="S71" t="str">
        <v>67%</v>
      </c>
      <c r="T71" t="str">
        <v/>
      </c>
    </row>
    <row r="72">
      <c r="A72">
        <v>69</v>
      </c>
      <c r="B72" t="str">
        <v>بيكولاكس نقط ملينة للبطن 7.5mg/ml (قطارة 15 مل)</v>
      </c>
      <c r="C72" t="str">
        <v>6225005005301</v>
      </c>
      <c r="D72" t="str">
        <v/>
      </c>
      <c r="E72" t="str">
        <v>قطعة</v>
      </c>
      <c r="F72">
        <v>22</v>
      </c>
      <c r="G72">
        <v>17.16</v>
      </c>
      <c r="H72">
        <v>25</v>
      </c>
      <c r="I72">
        <v>5</v>
      </c>
      <c r="J72" s="1">
        <f>F72-G72</f>
      </c>
      <c r="K72" s="2">
        <f>IF(G72&gt;0, (F72-G72)/G72, 0)</f>
      </c>
      <c r="L72" s="1">
        <f>H72*G72</f>
      </c>
      <c r="M72" s="1">
        <f>H72*F72</f>
      </c>
      <c r="N72" s="1">
        <f>M72-L72</f>
      </c>
      <c r="O72">
        <f>IF(H72&lt;=0, "نفد من المخزن", IF(H72&lt;=I72, "قارب على النفاد", "متوفر بالمخزن"))</f>
      </c>
      <c r="P72">
        <v>0</v>
      </c>
      <c r="Q72" t="str">
        <v>MED-0118</v>
      </c>
      <c r="R72" t="str">
        <v/>
      </c>
      <c r="S72" t="str">
        <v>7.5mg/ml</v>
      </c>
      <c r="T72" t="str">
        <v/>
      </c>
    </row>
    <row r="73">
      <c r="A73">
        <v>70</v>
      </c>
      <c r="B73" t="str">
        <v>دايجستين أقراص هاضمة للدهون والبروتين Enzymatic Complex (علبة 2 شريط - 20 قرص)</v>
      </c>
      <c r="C73" t="str">
        <v>6225005005325</v>
      </c>
      <c r="D73" t="str">
        <v/>
      </c>
      <c r="E73" t="str">
        <v>قطعة</v>
      </c>
      <c r="F73">
        <v>25</v>
      </c>
      <c r="G73">
        <v>19.5</v>
      </c>
      <c r="H73">
        <v>25</v>
      </c>
      <c r="I73">
        <v>5</v>
      </c>
      <c r="J73" s="1">
        <f>F73-G73</f>
      </c>
      <c r="K73" s="2">
        <f>IF(G73&gt;0, (F73-G73)/G73, 0)</f>
      </c>
      <c r="L73" s="1">
        <f>H73*G73</f>
      </c>
      <c r="M73" s="1">
        <f>H73*F73</f>
      </c>
      <c r="N73" s="1">
        <f>M73-L73</f>
      </c>
      <c r="O73">
        <f>IF(H73&lt;=0, "نفد من المخزن", IF(H73&lt;=I73, "قارب على النفاد", "متوفر بالمخزن"))</f>
      </c>
      <c r="P73">
        <v>0</v>
      </c>
      <c r="Q73" t="str">
        <v>MED-0120</v>
      </c>
      <c r="R73" t="str">
        <v/>
      </c>
      <c r="S73" t="str">
        <v>Enzymatic Complex</v>
      </c>
      <c r="T73" t="str">
        <v/>
      </c>
    </row>
    <row r="74">
      <c r="A74">
        <v>71</v>
      </c>
      <c r="B74" t="str">
        <v>أوكاربون أقراص فحم نباتي للانتفاخ والغازات Natural Complex (علبة 3 شريط - 30 قرص)</v>
      </c>
      <c r="C74" t="str">
        <v>6225005005332</v>
      </c>
      <c r="D74" t="str">
        <v/>
      </c>
      <c r="E74" t="str">
        <v>قطعة</v>
      </c>
      <c r="F74">
        <v>45</v>
      </c>
      <c r="G74">
        <v>35.1</v>
      </c>
      <c r="H74">
        <v>25</v>
      </c>
      <c r="I74">
        <v>5</v>
      </c>
      <c r="J74" s="1">
        <f>F74-G74</f>
      </c>
      <c r="K74" s="2">
        <f>IF(G74&gt;0, (F74-G74)/G74, 0)</f>
      </c>
      <c r="L74" s="1">
        <f>H74*G74</f>
      </c>
      <c r="M74" s="1">
        <f>H74*F74</f>
      </c>
      <c r="N74" s="1">
        <f>M74-L74</f>
      </c>
      <c r="O74">
        <f>IF(H74&lt;=0, "نفد من المخزن", IF(H74&lt;=I74, "قارب على النفاد", "متوفر بالمخزن"))</f>
      </c>
      <c r="P74">
        <v>0</v>
      </c>
      <c r="Q74" t="str">
        <v>MED-0121</v>
      </c>
      <c r="R74" t="str">
        <v/>
      </c>
      <c r="S74" t="str">
        <v>Natural Complex</v>
      </c>
      <c r="T74" t="str">
        <v/>
      </c>
    </row>
    <row r="75">
      <c r="A75">
        <v>72</v>
      </c>
      <c r="B75" t="str">
        <v>ديسفلاتيل أقراص مضغ لطرد الغازات 40mg (علبة 3 شريط - 30 قرص)</v>
      </c>
      <c r="C75" t="str">
        <v>6225005005349</v>
      </c>
      <c r="D75" t="str">
        <v/>
      </c>
      <c r="E75" t="str">
        <v>قطعة</v>
      </c>
      <c r="F75">
        <v>28</v>
      </c>
      <c r="G75">
        <v>21.84</v>
      </c>
      <c r="H75">
        <v>25</v>
      </c>
      <c r="I75">
        <v>5</v>
      </c>
      <c r="J75" s="1">
        <f>F75-G75</f>
      </c>
      <c r="K75" s="2">
        <f>IF(G75&gt;0, (F75-G75)/G75, 0)</f>
      </c>
      <c r="L75" s="1">
        <f>H75*G75</f>
      </c>
      <c r="M75" s="1">
        <f>H75*F75</f>
      </c>
      <c r="N75" s="1">
        <f>M75-L75</f>
      </c>
      <c r="O75">
        <f>IF(H75&lt;=0, "نفد من المخزن", IF(H75&lt;=I75, "قارب على النفاد", "متوفر بالمخزن"))</f>
      </c>
      <c r="P75">
        <v>0</v>
      </c>
      <c r="Q75" t="str">
        <v>MED-0122</v>
      </c>
      <c r="R75" t="str">
        <v/>
      </c>
      <c r="S75" t="str">
        <v>40mg</v>
      </c>
      <c r="T75" t="str">
        <v/>
      </c>
    </row>
    <row r="76">
      <c r="A76">
        <v>73</v>
      </c>
      <c r="B76" t="str">
        <v>بيستول 5 مجم أقراص 5mg (علبة 3 شريط - 30 قرص)</v>
      </c>
      <c r="C76" t="str">
        <v>6226006006056</v>
      </c>
      <c r="D76" t="str">
        <v/>
      </c>
      <c r="E76" t="str">
        <v>قطعة</v>
      </c>
      <c r="F76">
        <v>48</v>
      </c>
      <c r="G76">
        <v>37.44</v>
      </c>
      <c r="H76">
        <v>25</v>
      </c>
      <c r="I76">
        <v>5</v>
      </c>
      <c r="J76" s="1">
        <f>F76-G76</f>
      </c>
      <c r="K76" s="2">
        <f>IF(G76&gt;0, (F76-G76)/G76, 0)</f>
      </c>
      <c r="L76" s="1">
        <f>H76*G76</f>
      </c>
      <c r="M76" s="1">
        <f>H76*F76</f>
      </c>
      <c r="N76" s="1">
        <f>M76-L76</f>
      </c>
      <c r="O76">
        <f>IF(H76&lt;=0, "نفد من المخزن", IF(H76&lt;=I76, "قارب على النفاد", "متوفر بالمخزن"))</f>
      </c>
      <c r="P76">
        <v>0</v>
      </c>
      <c r="Q76" t="str">
        <v>MED-0127</v>
      </c>
      <c r="R76" t="str">
        <v/>
      </c>
      <c r="S76" t="str">
        <v>5mg</v>
      </c>
      <c r="T76" t="str">
        <v/>
      </c>
    </row>
    <row r="77">
      <c r="A77">
        <v>74</v>
      </c>
      <c r="B77" t="str">
        <v>كابوتن 50 مجم أقراص 50mg (علبة 2 شريط - 20 قرص)</v>
      </c>
      <c r="C77" t="str">
        <v>6226006006070</v>
      </c>
      <c r="D77" t="str">
        <v/>
      </c>
      <c r="E77" t="str">
        <v>قطعة</v>
      </c>
      <c r="F77">
        <v>48</v>
      </c>
      <c r="G77">
        <v>37.44</v>
      </c>
      <c r="H77">
        <v>25</v>
      </c>
      <c r="I77">
        <v>5</v>
      </c>
      <c r="J77" s="1">
        <f>F77-G77</f>
      </c>
      <c r="K77" s="2">
        <f>IF(G77&gt;0, (F77-G77)/G77, 0)</f>
      </c>
      <c r="L77" s="1">
        <f>H77*G77</f>
      </c>
      <c r="M77" s="1">
        <f>H77*F77</f>
      </c>
      <c r="N77" s="1">
        <f>M77-L77</f>
      </c>
      <c r="O77">
        <f>IF(H77&lt;=0, "نفد من المخزن", IF(H77&lt;=I77, "قارب على النفاد", "متوفر بالمخزن"))</f>
      </c>
      <c r="P77">
        <v>0</v>
      </c>
      <c r="Q77" t="str">
        <v>MED-0129</v>
      </c>
      <c r="R77" t="str">
        <v/>
      </c>
      <c r="S77" t="str">
        <v>50mg</v>
      </c>
      <c r="T77" t="str">
        <v/>
      </c>
    </row>
    <row r="78">
      <c r="A78">
        <v>75</v>
      </c>
      <c r="B78" t="str">
        <v>نورفاسك 10 مجم أقراص 10mg (علبة 3 شريط - 30 قرص)</v>
      </c>
      <c r="C78" t="str">
        <v>6226006006094</v>
      </c>
      <c r="D78" t="str">
        <v/>
      </c>
      <c r="E78" t="str">
        <v>قطعة</v>
      </c>
      <c r="F78">
        <v>120</v>
      </c>
      <c r="G78">
        <v>93.6</v>
      </c>
      <c r="H78">
        <v>25</v>
      </c>
      <c r="I78">
        <v>5</v>
      </c>
      <c r="J78" s="1">
        <f>F78-G78</f>
      </c>
      <c r="K78" s="2">
        <f>IF(G78&gt;0, (F78-G78)/G78, 0)</f>
      </c>
      <c r="L78" s="1">
        <f>H78*G78</f>
      </c>
      <c r="M78" s="1">
        <f>H78*F78</f>
      </c>
      <c r="N78" s="1">
        <f>M78-L78</f>
      </c>
      <c r="O78">
        <f>IF(H78&lt;=0, "نفد من المخزن", IF(H78&lt;=I78, "قارب على النفاد", "متوفر بالمخزن"))</f>
      </c>
      <c r="P78">
        <v>0</v>
      </c>
      <c r="Q78" t="str">
        <v>MED-0131</v>
      </c>
      <c r="R78" t="str">
        <v/>
      </c>
      <c r="S78" t="str">
        <v>10mg</v>
      </c>
      <c r="T78" t="str">
        <v/>
      </c>
    </row>
    <row r="79">
      <c r="A79">
        <v>76</v>
      </c>
      <c r="B79" t="str">
        <v>أميلو 5 مجم أقراص 5mg (علبة 3 شريط - 30 قرص)</v>
      </c>
      <c r="C79" t="str">
        <v>6226006006100</v>
      </c>
      <c r="D79" t="str">
        <v/>
      </c>
      <c r="E79" t="str">
        <v>قطعة</v>
      </c>
      <c r="F79">
        <v>45</v>
      </c>
      <c r="G79">
        <v>35.1</v>
      </c>
      <c r="H79">
        <v>25</v>
      </c>
      <c r="I79">
        <v>5</v>
      </c>
      <c r="J79" s="1">
        <f>F79-G79</f>
      </c>
      <c r="K79" s="2">
        <f>IF(G79&gt;0, (F79-G79)/G79, 0)</f>
      </c>
      <c r="L79" s="1">
        <f>H79*G79</f>
      </c>
      <c r="M79" s="1">
        <f>H79*F79</f>
      </c>
      <c r="N79" s="1">
        <f>M79-L79</f>
      </c>
      <c r="O79">
        <f>IF(H79&lt;=0, "نفد من المخزن", IF(H79&lt;=I79, "قارب على النفاد", "متوفر بالمخزن"))</f>
      </c>
      <c r="P79">
        <v>0</v>
      </c>
      <c r="Q79" t="str">
        <v>MED-0132</v>
      </c>
      <c r="R79" t="str">
        <v/>
      </c>
      <c r="S79" t="str">
        <v>5mg</v>
      </c>
      <c r="T79" t="str">
        <v/>
      </c>
    </row>
    <row r="80">
      <c r="A80">
        <v>77</v>
      </c>
      <c r="B80" t="str">
        <v>أتاكاند 16 مجم أقراص 16mg (علبة 2 شريط - 28 قرص)</v>
      </c>
      <c r="C80" t="str">
        <v>6226006006155</v>
      </c>
      <c r="D80" t="str">
        <v/>
      </c>
      <c r="E80" t="str">
        <v>قطعة</v>
      </c>
      <c r="F80">
        <v>165</v>
      </c>
      <c r="G80">
        <v>128.7</v>
      </c>
      <c r="H80">
        <v>25</v>
      </c>
      <c r="I80">
        <v>5</v>
      </c>
      <c r="J80" s="1">
        <f>F80-G80</f>
      </c>
      <c r="K80" s="2">
        <f>IF(G80&gt;0, (F80-G80)/G80, 0)</f>
      </c>
      <c r="L80" s="1">
        <f>H80*G80</f>
      </c>
      <c r="M80" s="1">
        <f>H80*F80</f>
      </c>
      <c r="N80" s="1">
        <f>M80-L80</f>
      </c>
      <c r="O80">
        <f>IF(H80&lt;=0, "نفد من المخزن", IF(H80&lt;=I80, "قارب على النفاد", "متوفر بالمخزن"))</f>
      </c>
      <c r="P80">
        <v>0</v>
      </c>
      <c r="Q80" t="str">
        <v>MED-0137</v>
      </c>
      <c r="R80" t="str">
        <v/>
      </c>
      <c r="S80" t="str">
        <v>16mg</v>
      </c>
      <c r="T80" t="str">
        <v/>
      </c>
    </row>
    <row r="81">
      <c r="A81">
        <v>78</v>
      </c>
      <c r="B81" t="str">
        <v>هايزار 50/12.5 مجم أقراص 50mg/12.5mg (علبة 2 شريط - 28 قرص)</v>
      </c>
      <c r="C81" t="str">
        <v>6226006006179</v>
      </c>
      <c r="D81" t="str">
        <v/>
      </c>
      <c r="E81" t="str">
        <v>قطعة</v>
      </c>
      <c r="F81">
        <v>130</v>
      </c>
      <c r="G81">
        <v>101.4</v>
      </c>
      <c r="H81">
        <v>25</v>
      </c>
      <c r="I81">
        <v>5</v>
      </c>
      <c r="J81" s="1">
        <f>F81-G81</f>
      </c>
      <c r="K81" s="2">
        <f>IF(G81&gt;0, (F81-G81)/G81, 0)</f>
      </c>
      <c r="L81" s="1">
        <f>H81*G81</f>
      </c>
      <c r="M81" s="1">
        <f>H81*F81</f>
      </c>
      <c r="N81" s="1">
        <f>M81-L81</f>
      </c>
      <c r="O81">
        <f>IF(H81&lt;=0, "نفد من المخزن", IF(H81&lt;=I81, "قارب على النفاد", "متوفر بالمخزن"))</f>
      </c>
      <c r="P81">
        <v>0</v>
      </c>
      <c r="Q81" t="str">
        <v>MED-0139</v>
      </c>
      <c r="R81" t="str">
        <v/>
      </c>
      <c r="S81" t="str">
        <v>50mg/12.5mg</v>
      </c>
      <c r="T81" t="str">
        <v/>
      </c>
    </row>
    <row r="82">
      <c r="A82">
        <v>79</v>
      </c>
      <c r="B82" t="str">
        <v>ناتريلكس إس آر 1.5 مجم أقراص 1.5mg (علبة 3 شريط - 30 قرص)</v>
      </c>
      <c r="C82" t="str">
        <v>6226006006186</v>
      </c>
      <c r="D82" t="str">
        <v/>
      </c>
      <c r="E82" t="str">
        <v>قطعة</v>
      </c>
      <c r="F82">
        <v>68</v>
      </c>
      <c r="G82">
        <v>53.04</v>
      </c>
      <c r="H82">
        <v>25</v>
      </c>
      <c r="I82">
        <v>5</v>
      </c>
      <c r="J82" s="1">
        <f>F82-G82</f>
      </c>
      <c r="K82" s="2">
        <f>IF(G82&gt;0, (F82-G82)/G82, 0)</f>
      </c>
      <c r="L82" s="1">
        <f>H82*G82</f>
      </c>
      <c r="M82" s="1">
        <f>H82*F82</f>
      </c>
      <c r="N82" s="1">
        <f>M82-L82</f>
      </c>
      <c r="O82">
        <f>IF(H82&lt;=0, "نفد من المخزن", IF(H82&lt;=I82, "قارب على النفاد", "متوفر بالمخزن"))</f>
      </c>
      <c r="P82">
        <v>0</v>
      </c>
      <c r="Q82" t="str">
        <v>MED-0140</v>
      </c>
      <c r="R82" t="str">
        <v/>
      </c>
      <c r="S82" t="str">
        <v>1.5mg</v>
      </c>
      <c r="T82" t="str">
        <v/>
      </c>
    </row>
    <row r="83">
      <c r="A83">
        <v>80</v>
      </c>
      <c r="B83" t="str">
        <v>لازيكس 40 مجم أقراص مدر للبول 40mg (علبة 2 شريط - 24 قرص)</v>
      </c>
      <c r="C83" t="str">
        <v>6226006006193</v>
      </c>
      <c r="D83" t="str">
        <v/>
      </c>
      <c r="E83" t="str">
        <v>قطعة</v>
      </c>
      <c r="F83">
        <v>28</v>
      </c>
      <c r="G83">
        <v>21.84</v>
      </c>
      <c r="H83">
        <v>25</v>
      </c>
      <c r="I83">
        <v>5</v>
      </c>
      <c r="J83" s="1">
        <f>F83-G83</f>
      </c>
      <c r="K83" s="2">
        <f>IF(G83&gt;0, (F83-G83)/G83, 0)</f>
      </c>
      <c r="L83" s="1">
        <f>H83*G83</f>
      </c>
      <c r="M83" s="1">
        <f>H83*F83</f>
      </c>
      <c r="N83" s="1">
        <f>M83-L83</f>
      </c>
      <c r="O83">
        <f>IF(H83&lt;=0, "نفد من المخزن", IF(H83&lt;=I83, "قارب على النفاد", "متوفر بالمخزن"))</f>
      </c>
      <c r="P83">
        <v>0</v>
      </c>
      <c r="Q83" t="str">
        <v>MED-0141</v>
      </c>
      <c r="R83" t="str">
        <v/>
      </c>
      <c r="S83" t="str">
        <v>40mg</v>
      </c>
      <c r="T83" t="str">
        <v/>
      </c>
    </row>
    <row r="84">
      <c r="A84">
        <v>81</v>
      </c>
      <c r="B84" t="str">
        <v>لازيكس 20 مجم/2 مل حقن أمبولات 20mg/2ml (علبة 5 أمبولات)</v>
      </c>
      <c r="C84" t="str">
        <v>6226006006209</v>
      </c>
      <c r="D84" t="str">
        <v/>
      </c>
      <c r="E84" t="str">
        <v>قطعة</v>
      </c>
      <c r="F84">
        <v>32</v>
      </c>
      <c r="G84">
        <v>24.96</v>
      </c>
      <c r="H84">
        <v>25</v>
      </c>
      <c r="I84">
        <v>5</v>
      </c>
      <c r="J84" s="1">
        <f>F84-G84</f>
      </c>
      <c r="K84" s="2">
        <f>IF(G84&gt;0, (F84-G84)/G84, 0)</f>
      </c>
      <c r="L84" s="1">
        <f>H84*G84</f>
      </c>
      <c r="M84" s="1">
        <f>H84*F84</f>
      </c>
      <c r="N84" s="1">
        <f>M84-L84</f>
      </c>
      <c r="O84">
        <f>IF(H84&lt;=0, "نفد من المخزن", IF(H84&lt;=I84, "قارب على النفاد", "متوفر بالمخزن"))</f>
      </c>
      <c r="P84">
        <v>0</v>
      </c>
      <c r="Q84" t="str">
        <v>MED-0142</v>
      </c>
      <c r="R84" t="str">
        <v/>
      </c>
      <c r="S84" t="str">
        <v>20mg/2ml</v>
      </c>
      <c r="T84" t="str">
        <v/>
      </c>
    </row>
    <row r="85">
      <c r="A85">
        <v>82</v>
      </c>
      <c r="B85" t="str">
        <v>ألدكتون 25 مجم أقراص 25mg (علبة 2 شريط - 20 قرص)</v>
      </c>
      <c r="C85" t="str">
        <v>6226006006216</v>
      </c>
      <c r="D85" t="str">
        <v/>
      </c>
      <c r="E85" t="str">
        <v>قطعة</v>
      </c>
      <c r="F85">
        <v>35</v>
      </c>
      <c r="G85">
        <v>27.3</v>
      </c>
      <c r="H85">
        <v>25</v>
      </c>
      <c r="I85">
        <v>5</v>
      </c>
      <c r="J85" s="1">
        <f>F85-G85</f>
      </c>
      <c r="K85" s="2">
        <f>IF(G85&gt;0, (F85-G85)/G85, 0)</f>
      </c>
      <c r="L85" s="1">
        <f>H85*G85</f>
      </c>
      <c r="M85" s="1">
        <f>H85*F85</f>
      </c>
      <c r="N85" s="1">
        <f>M85-L85</f>
      </c>
      <c r="O85">
        <f>IF(H85&lt;=0, "نفد من المخزن", IF(H85&lt;=I85, "قارب على النفاد", "متوفر بالمخزن"))</f>
      </c>
      <c r="P85">
        <v>0</v>
      </c>
      <c r="Q85" t="str">
        <v>MED-0143</v>
      </c>
      <c r="R85" t="str">
        <v/>
      </c>
      <c r="S85" t="str">
        <v>25mg</v>
      </c>
      <c r="T85" t="str">
        <v/>
      </c>
    </row>
    <row r="86">
      <c r="A86">
        <v>83</v>
      </c>
      <c r="B86" t="str">
        <v>إكساريلتو 10 مجم أقراص 10mg (علبة 1 شريط - 10 أقراص)</v>
      </c>
      <c r="C86" t="str">
        <v>6226006006254</v>
      </c>
      <c r="D86" t="str">
        <v/>
      </c>
      <c r="E86" t="str">
        <v>قطعة</v>
      </c>
      <c r="F86">
        <v>180</v>
      </c>
      <c r="G86">
        <v>140.4</v>
      </c>
      <c r="H86">
        <v>25</v>
      </c>
      <c r="I86">
        <v>5</v>
      </c>
      <c r="J86" s="1">
        <f>F86-G86</f>
      </c>
      <c r="K86" s="2">
        <f>IF(G86&gt;0, (F86-G86)/G86, 0)</f>
      </c>
      <c r="L86" s="1">
        <f>H86*G86</f>
      </c>
      <c r="M86" s="1">
        <f>H86*F86</f>
      </c>
      <c r="N86" s="1">
        <f>M86-L86</f>
      </c>
      <c r="O86">
        <f>IF(H86&lt;=0, "نفد من المخزن", IF(H86&lt;=I86, "قارب على النفاد", "متوفر بالمخزن"))</f>
      </c>
      <c r="P86">
        <v>0</v>
      </c>
      <c r="Q86" t="str">
        <v>MED-0147</v>
      </c>
      <c r="R86" t="str">
        <v/>
      </c>
      <c r="S86" t="str">
        <v>10mg</v>
      </c>
      <c r="T86" t="str">
        <v/>
      </c>
    </row>
    <row r="87">
      <c r="A87">
        <v>84</v>
      </c>
      <c r="B87" t="str">
        <v>روسوفاست 10 مجم أقراص 10mg (علبة 2 شريط - 20 قرص)</v>
      </c>
      <c r="C87" t="str">
        <v>6226006006292</v>
      </c>
      <c r="D87" t="str">
        <v/>
      </c>
      <c r="E87" t="str">
        <v>قطعة</v>
      </c>
      <c r="F87">
        <v>78</v>
      </c>
      <c r="G87">
        <v>60.84</v>
      </c>
      <c r="H87">
        <v>25</v>
      </c>
      <c r="I87">
        <v>5</v>
      </c>
      <c r="J87" s="1">
        <f>F87-G87</f>
      </c>
      <c r="K87" s="2">
        <f>IF(G87&gt;0, (F87-G87)/G87, 0)</f>
      </c>
      <c r="L87" s="1">
        <f>H87*G87</f>
      </c>
      <c r="M87" s="1">
        <f>H87*F87</f>
      </c>
      <c r="N87" s="1">
        <f>M87-L87</f>
      </c>
      <c r="O87">
        <f>IF(H87&lt;=0, "نفد من المخزن", IF(H87&lt;=I87, "قارب على النفاد", "متوفر بالمخزن"))</f>
      </c>
      <c r="P87">
        <v>0</v>
      </c>
      <c r="Q87" t="str">
        <v>MED-0151</v>
      </c>
      <c r="R87" t="str">
        <v/>
      </c>
      <c r="S87" t="str">
        <v>10mg</v>
      </c>
      <c r="T87" t="str">
        <v/>
      </c>
    </row>
    <row r="88">
      <c r="A88">
        <v>85</v>
      </c>
      <c r="B88" t="str">
        <v>ليبيتور 40 مجم أقراص 40mg (علبة 2 شريط - 28 قرص)</v>
      </c>
      <c r="C88" t="str">
        <v>6226006006315</v>
      </c>
      <c r="D88" t="str">
        <v/>
      </c>
      <c r="E88" t="str">
        <v>قطعة</v>
      </c>
      <c r="F88">
        <v>240</v>
      </c>
      <c r="G88">
        <v>187.2</v>
      </c>
      <c r="H88">
        <v>25</v>
      </c>
      <c r="I88">
        <v>5</v>
      </c>
      <c r="J88" s="1">
        <f>F88-G88</f>
      </c>
      <c r="K88" s="2">
        <f>IF(G88&gt;0, (F88-G88)/G88, 0)</f>
      </c>
      <c r="L88" s="1">
        <f>H88*G88</f>
      </c>
      <c r="M88" s="1">
        <f>H88*F88</f>
      </c>
      <c r="N88" s="1">
        <f>M88-L88</f>
      </c>
      <c r="O88">
        <f>IF(H88&lt;=0, "نفد من المخزن", IF(H88&lt;=I88, "قارب على النفاد", "متوفر بالمخزن"))</f>
      </c>
      <c r="P88">
        <v>0</v>
      </c>
      <c r="Q88" t="str">
        <v>MED-0153</v>
      </c>
      <c r="R88" t="str">
        <v/>
      </c>
      <c r="S88" t="str">
        <v>40mg</v>
      </c>
      <c r="T88" t="str">
        <v/>
      </c>
    </row>
    <row r="89">
      <c r="A89">
        <v>86</v>
      </c>
      <c r="B89" t="str">
        <v>سيدوفاج 500 مجم أقراص 500mg (علبة 3 شريط - 30 قرص)</v>
      </c>
      <c r="C89" t="str">
        <v>6227007007053</v>
      </c>
      <c r="D89" t="str">
        <v/>
      </c>
      <c r="E89" t="str">
        <v>قطعة</v>
      </c>
      <c r="F89">
        <v>24</v>
      </c>
      <c r="G89">
        <v>18.72</v>
      </c>
      <c r="H89">
        <v>25</v>
      </c>
      <c r="I89">
        <v>5</v>
      </c>
      <c r="J89" s="1">
        <f>F89-G89</f>
      </c>
      <c r="K89" s="2">
        <f>IF(G89&gt;0, (F89-G89)/G89, 0)</f>
      </c>
      <c r="L89" s="1">
        <f>H89*G89</f>
      </c>
      <c r="M89" s="1">
        <f>H89*F89</f>
      </c>
      <c r="N89" s="1">
        <f>M89-L89</f>
      </c>
      <c r="O89">
        <f>IF(H89&lt;=0, "نفد من المخزن", IF(H89&lt;=I89, "قارب على النفاد", "متوفر بالمخزن"))</f>
      </c>
      <c r="P89">
        <v>0</v>
      </c>
      <c r="Q89" t="str">
        <v>MED-0160</v>
      </c>
      <c r="R89" t="str">
        <v/>
      </c>
      <c r="S89" t="str">
        <v>500mg</v>
      </c>
      <c r="T89" t="str">
        <v/>
      </c>
    </row>
    <row r="90">
      <c r="A90">
        <v>87</v>
      </c>
      <c r="B90" t="str">
        <v>سيدوفاج 850 مجم أقراص 850mg (علبة 3 شريط - 30 قرص)</v>
      </c>
      <c r="C90" t="str">
        <v>6227007007060</v>
      </c>
      <c r="D90" t="str">
        <v/>
      </c>
      <c r="E90" t="str">
        <v>قطعة</v>
      </c>
      <c r="F90">
        <v>33</v>
      </c>
      <c r="G90">
        <v>25.74</v>
      </c>
      <c r="H90">
        <v>25</v>
      </c>
      <c r="I90">
        <v>5</v>
      </c>
      <c r="J90" s="1">
        <f>F90-G90</f>
      </c>
      <c r="K90" s="2">
        <f>IF(G90&gt;0, (F90-G90)/G90, 0)</f>
      </c>
      <c r="L90" s="1">
        <f>H90*G90</f>
      </c>
      <c r="M90" s="1">
        <f>H90*F90</f>
      </c>
      <c r="N90" s="1">
        <f>M90-L90</f>
      </c>
      <c r="O90">
        <f>IF(H90&lt;=0, "نفد من المخزن", IF(H90&lt;=I90, "قارب على النفاد", "متوفر بالمخزن"))</f>
      </c>
      <c r="P90">
        <v>0</v>
      </c>
      <c r="Q90" t="str">
        <v>MED-0161</v>
      </c>
      <c r="R90" t="str">
        <v/>
      </c>
      <c r="S90" t="str">
        <v>850mg</v>
      </c>
      <c r="T90" t="str">
        <v/>
      </c>
    </row>
    <row r="91">
      <c r="A91">
        <v>88</v>
      </c>
      <c r="B91" t="str">
        <v>جانوميت 50/1000 مجم أقراص 50mg/1000mg (علبة 4 شريط - 56 قرص)</v>
      </c>
      <c r="C91" t="str">
        <v>6227007007121</v>
      </c>
      <c r="D91" t="str">
        <v/>
      </c>
      <c r="E91" t="str">
        <v>قطعة</v>
      </c>
      <c r="F91">
        <v>360</v>
      </c>
      <c r="G91">
        <v>280.8</v>
      </c>
      <c r="H91">
        <v>25</v>
      </c>
      <c r="I91">
        <v>5</v>
      </c>
      <c r="J91" s="1">
        <f>F91-G91</f>
      </c>
      <c r="K91" s="2">
        <f>IF(G91&gt;0, (F91-G91)/G91, 0)</f>
      </c>
      <c r="L91" s="1">
        <f>H91*G91</f>
      </c>
      <c r="M91" s="1">
        <f>H91*F91</f>
      </c>
      <c r="N91" s="1">
        <f>M91-L91</f>
      </c>
      <c r="O91">
        <f>IF(H91&lt;=0, "نفد من المخزن", IF(H91&lt;=I91, "قارب على النفاد", "متوفر بالمخزن"))</f>
      </c>
      <c r="P91">
        <v>0</v>
      </c>
      <c r="Q91" t="str">
        <v>MED-0167</v>
      </c>
      <c r="R91" t="str">
        <v/>
      </c>
      <c r="S91" t="str">
        <v>50mg/1000mg</v>
      </c>
      <c r="T91" t="str">
        <v/>
      </c>
    </row>
    <row r="92">
      <c r="A92">
        <v>89</v>
      </c>
      <c r="B92" t="str">
        <v>جارديانس 25 مجم أقراص 25mg (علبة 3 شريط - 30 قرص)</v>
      </c>
      <c r="C92" t="str">
        <v>6227007007176</v>
      </c>
      <c r="D92" t="str">
        <v/>
      </c>
      <c r="E92" t="str">
        <v>قطعة</v>
      </c>
      <c r="F92">
        <v>580</v>
      </c>
      <c r="G92">
        <v>452.4</v>
      </c>
      <c r="H92">
        <v>25</v>
      </c>
      <c r="I92">
        <v>5</v>
      </c>
      <c r="J92" s="1">
        <f>F92-G92</f>
      </c>
      <c r="K92" s="2">
        <f>IF(G92&gt;0, (F92-G92)/G92, 0)</f>
      </c>
      <c r="L92" s="1">
        <f>H92*G92</f>
      </c>
      <c r="M92" s="1">
        <f>H92*F92</f>
      </c>
      <c r="N92" s="1">
        <f>M92-L92</f>
      </c>
      <c r="O92">
        <f>IF(H92&lt;=0, "نفد من المخزن", IF(H92&lt;=I92, "قارب على النفاد", "متوفر بالمخزن"))</f>
      </c>
      <c r="P92">
        <v>0</v>
      </c>
      <c r="Q92" t="str">
        <v>MED-0172</v>
      </c>
      <c r="R92" t="str">
        <v/>
      </c>
      <c r="S92" t="str">
        <v>25mg</v>
      </c>
      <c r="T92" t="str">
        <v/>
      </c>
    </row>
    <row r="93">
      <c r="A93">
        <v>90</v>
      </c>
      <c r="B93" t="str">
        <v>ميكستارد 30 إنسولين بشري 100 وحدة/مل فيال 100 IU/ml - 10ml (فيال زجاجي 10 مل)</v>
      </c>
      <c r="C93" t="str">
        <v>6227007007183</v>
      </c>
      <c r="D93" t="str">
        <v/>
      </c>
      <c r="E93" t="str">
        <v>قطعة</v>
      </c>
      <c r="F93">
        <v>75</v>
      </c>
      <c r="G93">
        <v>58.5</v>
      </c>
      <c r="H93">
        <v>25</v>
      </c>
      <c r="I93">
        <v>5</v>
      </c>
      <c r="J93" s="1">
        <f>F93-G93</f>
      </c>
      <c r="K93" s="2">
        <f>IF(G93&gt;0, (F93-G93)/G93, 0)</f>
      </c>
      <c r="L93" s="1">
        <f>H93*G93</f>
      </c>
      <c r="M93" s="1">
        <f>H93*F93</f>
      </c>
      <c r="N93" s="1">
        <f>M93-L93</f>
      </c>
      <c r="O93">
        <f>IF(H93&lt;=0, "نفد من المخزن", IF(H93&lt;=I93, "قارب على النفاد", "متوفر بالمخزن"))</f>
      </c>
      <c r="P93">
        <v>0</v>
      </c>
      <c r="Q93" t="str">
        <v>MED-0173</v>
      </c>
      <c r="R93" t="str">
        <v/>
      </c>
      <c r="S93" t="str">
        <v>100 IU/ml - 10ml</v>
      </c>
      <c r="T93" t="str">
        <v/>
      </c>
    </row>
    <row r="94">
      <c r="A94">
        <v>91</v>
      </c>
      <c r="B94" t="str">
        <v>يوثيروكس 50 ميكروجرام أقراص 50mcg (علبة 2 شريط - 50 قرص)</v>
      </c>
      <c r="C94" t="str">
        <v>6227007007237</v>
      </c>
      <c r="D94" t="str">
        <v/>
      </c>
      <c r="E94" t="str">
        <v>قطعة</v>
      </c>
      <c r="F94">
        <v>45</v>
      </c>
      <c r="G94">
        <v>35.1</v>
      </c>
      <c r="H94">
        <v>25</v>
      </c>
      <c r="I94">
        <v>5</v>
      </c>
      <c r="J94" s="1">
        <f>F94-G94</f>
      </c>
      <c r="K94" s="2">
        <f>IF(G94&gt;0, (F94-G94)/G94, 0)</f>
      </c>
      <c r="L94" s="1">
        <f>H94*G94</f>
      </c>
      <c r="M94" s="1">
        <f>H94*F94</f>
      </c>
      <c r="N94" s="1">
        <f>M94-L94</f>
      </c>
      <c r="O94">
        <f>IF(H94&lt;=0, "نفد من المخزن", IF(H94&lt;=I94, "قارب على النفاد", "متوفر بالمخزن"))</f>
      </c>
      <c r="P94">
        <v>0</v>
      </c>
      <c r="Q94" t="str">
        <v>MED-0178</v>
      </c>
      <c r="R94" t="str">
        <v/>
      </c>
      <c r="S94" t="str">
        <v>50mcg</v>
      </c>
      <c r="T94" t="str">
        <v/>
      </c>
    </row>
    <row r="95">
      <c r="A95">
        <v>92</v>
      </c>
      <c r="B95" t="str">
        <v>يوثيروكس 100 ميكروجرام أقراص 100mcg (علبة 2 شريط - 50 قرص)</v>
      </c>
      <c r="C95" t="str">
        <v>6227007007244</v>
      </c>
      <c r="D95" t="str">
        <v/>
      </c>
      <c r="E95" t="str">
        <v>قطعة</v>
      </c>
      <c r="F95">
        <v>60</v>
      </c>
      <c r="G95">
        <v>46.8</v>
      </c>
      <c r="H95">
        <v>25</v>
      </c>
      <c r="I95">
        <v>5</v>
      </c>
      <c r="J95" s="1">
        <f>F95-G95</f>
      </c>
      <c r="K95" s="2">
        <f>IF(G95&gt;0, (F95-G95)/G95, 0)</f>
      </c>
      <c r="L95" s="1">
        <f>H95*G95</f>
      </c>
      <c r="M95" s="1">
        <f>H95*F95</f>
      </c>
      <c r="N95" s="1">
        <f>M95-L95</f>
      </c>
      <c r="O95">
        <f>IF(H95&lt;=0, "نفد من المخزن", IF(H95&lt;=I95, "قارب على النفاد", "متوفر بالمخزن"))</f>
      </c>
      <c r="P95">
        <v>0</v>
      </c>
      <c r="Q95" t="str">
        <v>MED-0179</v>
      </c>
      <c r="R95" t="str">
        <v/>
      </c>
      <c r="S95" t="str">
        <v>100mcg</v>
      </c>
      <c r="T95" t="str">
        <v/>
      </c>
    </row>
    <row r="96">
      <c r="A96">
        <v>93</v>
      </c>
      <c r="B96" t="str">
        <v>نيوروتون أقراص فيتامين ب مركب Combination B-Complex (علبة 3 شريط - 30 قرص)</v>
      </c>
      <c r="C96" t="str">
        <v>6228008008012</v>
      </c>
      <c r="D96" t="str">
        <v/>
      </c>
      <c r="E96" t="str">
        <v>قطعة</v>
      </c>
      <c r="F96">
        <v>54</v>
      </c>
      <c r="G96">
        <v>42.12</v>
      </c>
      <c r="H96">
        <v>25</v>
      </c>
      <c r="I96">
        <v>5</v>
      </c>
      <c r="J96" s="1">
        <f>F96-G96</f>
      </c>
      <c r="K96" s="2">
        <f>IF(G96&gt;0, (F96-G96)/G96, 0)</f>
      </c>
      <c r="L96" s="1">
        <f>H96*G96</f>
      </c>
      <c r="M96" s="1">
        <f>H96*F96</f>
      </c>
      <c r="N96" s="1">
        <f>M96-L96</f>
      </c>
      <c r="O96">
        <f>IF(H96&lt;=0, "نفد من المخزن", IF(H96&lt;=I96, "قارب على النفاد", "متوفر بالمخزن"))</f>
      </c>
      <c r="P96">
        <v>0</v>
      </c>
      <c r="Q96" t="str">
        <v>MED-0180</v>
      </c>
      <c r="R96" t="str">
        <v/>
      </c>
      <c r="S96" t="str">
        <v>Combination B-Complex</v>
      </c>
      <c r="T96" t="str">
        <v/>
      </c>
    </row>
    <row r="97">
      <c r="A97">
        <v>94</v>
      </c>
      <c r="B97" t="str">
        <v>نيوروتون حقن عضل فيتامين ب High Potency B-Complex (علبة 6 أمبولات)</v>
      </c>
      <c r="C97" t="str">
        <v>6228008008029</v>
      </c>
      <c r="D97" t="str">
        <v/>
      </c>
      <c r="E97" t="str">
        <v>قطعة</v>
      </c>
      <c r="F97">
        <v>48</v>
      </c>
      <c r="G97">
        <v>37.44</v>
      </c>
      <c r="H97">
        <v>25</v>
      </c>
      <c r="I97">
        <v>5</v>
      </c>
      <c r="J97" s="1">
        <f>F97-G97</f>
      </c>
      <c r="K97" s="2">
        <f>IF(G97&gt;0, (F97-G97)/G97, 0)</f>
      </c>
      <c r="L97" s="1">
        <f>H97*G97</f>
      </c>
      <c r="M97" s="1">
        <f>H97*F97</f>
      </c>
      <c r="N97" s="1">
        <f>M97-L97</f>
      </c>
      <c r="O97">
        <f>IF(H97&lt;=0, "نفد من المخزن", IF(H97&lt;=I97, "قارب على النفاد", "متوفر بالمخزن"))</f>
      </c>
      <c r="P97">
        <v>0</v>
      </c>
      <c r="Q97" t="str">
        <v>MED-0181</v>
      </c>
      <c r="R97" t="str">
        <v/>
      </c>
      <c r="S97" t="str">
        <v>High Potency B-Complex</v>
      </c>
      <c r="T97" t="str">
        <v/>
      </c>
    </row>
    <row r="98">
      <c r="A98">
        <v>95</v>
      </c>
      <c r="B98" t="str">
        <v>نيوروبيون أقراص B-Complex (علبة 2 شريط - 20 قرص)</v>
      </c>
      <c r="C98" t="str">
        <v>6228008008036</v>
      </c>
      <c r="D98" t="str">
        <v/>
      </c>
      <c r="E98" t="str">
        <v>قطعة</v>
      </c>
      <c r="F98">
        <v>42</v>
      </c>
      <c r="G98">
        <v>32.76</v>
      </c>
      <c r="H98">
        <v>25</v>
      </c>
      <c r="I98">
        <v>5</v>
      </c>
      <c r="J98" s="1">
        <f>F98-G98</f>
      </c>
      <c r="K98" s="2">
        <f>IF(G98&gt;0, (F98-G98)/G98, 0)</f>
      </c>
      <c r="L98" s="1">
        <f>H98*G98</f>
      </c>
      <c r="M98" s="1">
        <f>H98*F98</f>
      </c>
      <c r="N98" s="1">
        <f>M98-L98</f>
      </c>
      <c r="O98">
        <f>IF(H98&lt;=0, "نفد من المخزن", IF(H98&lt;=I98, "قارب على النفاد", "متوفر بالمخزن"))</f>
      </c>
      <c r="P98">
        <v>0</v>
      </c>
      <c r="Q98" t="str">
        <v>MED-0182</v>
      </c>
      <c r="R98" t="str">
        <v/>
      </c>
      <c r="S98" t="str">
        <v>B-Complex</v>
      </c>
      <c r="T98" t="str">
        <v/>
      </c>
    </row>
    <row r="99">
      <c r="A99">
        <v>96</v>
      </c>
      <c r="B99" t="str">
        <v>ديبوفيت ب12 حقن طويلة المفعول 1000mcg/ml (علبة 5 أمبولات)</v>
      </c>
      <c r="C99" t="str">
        <v>6228008008043</v>
      </c>
      <c r="D99" t="str">
        <v/>
      </c>
      <c r="E99" t="str">
        <v>قطعة</v>
      </c>
      <c r="F99">
        <v>45</v>
      </c>
      <c r="G99">
        <v>35.1</v>
      </c>
      <c r="H99">
        <v>25</v>
      </c>
      <c r="I99">
        <v>5</v>
      </c>
      <c r="J99" s="1">
        <f>F99-G99</f>
      </c>
      <c r="K99" s="2">
        <f>IF(G99&gt;0, (F99-G99)/G99, 0)</f>
      </c>
      <c r="L99" s="1">
        <f>H99*G99</f>
      </c>
      <c r="M99" s="1">
        <f>H99*F99</f>
      </c>
      <c r="N99" s="1">
        <f>M99-L99</f>
      </c>
      <c r="O99">
        <f>IF(H99&lt;=0, "نفد من المخزن", IF(H99&lt;=I99, "قارب على النفاد", "متوفر بالمخزن"))</f>
      </c>
      <c r="P99">
        <v>0</v>
      </c>
      <c r="Q99" t="str">
        <v>MED-0183</v>
      </c>
      <c r="R99" t="str">
        <v/>
      </c>
      <c r="S99" t="str">
        <v>1000mcg/ml</v>
      </c>
      <c r="T99" t="str">
        <v/>
      </c>
    </row>
    <row r="100">
      <c r="A100">
        <v>97</v>
      </c>
      <c r="B100" t="str">
        <v>بيتولفكس 1 مجم حقن فيتامين ب12 1mg/ml (علبة 2 أمبولة)</v>
      </c>
      <c r="C100" t="str">
        <v>6228008008050</v>
      </c>
      <c r="D100" t="str">
        <v/>
      </c>
      <c r="E100" t="str">
        <v>قطعة</v>
      </c>
      <c r="F100">
        <v>24</v>
      </c>
      <c r="G100">
        <v>18.72</v>
      </c>
      <c r="H100">
        <v>25</v>
      </c>
      <c r="I100">
        <v>5</v>
      </c>
      <c r="J100" s="1">
        <f>F100-G100</f>
      </c>
      <c r="K100" s="2">
        <f>IF(G100&gt;0, (F100-G100)/G100, 0)</f>
      </c>
      <c r="L100" s="1">
        <f>H100*G100</f>
      </c>
      <c r="M100" s="1">
        <f>H100*F100</f>
      </c>
      <c r="N100" s="1">
        <f>M100-L100</f>
      </c>
      <c r="O100">
        <f>IF(H100&lt;=0, "نفد من المخزن", IF(H100&lt;=I100, "قارب على النفاد", "متوفر بالمخزن"))</f>
      </c>
      <c r="P100">
        <v>0</v>
      </c>
      <c r="Q100" t="str">
        <v>MED-0184</v>
      </c>
      <c r="R100" t="str">
        <v/>
      </c>
      <c r="S100" t="str">
        <v>1mg/ml</v>
      </c>
      <c r="T100" t="str">
        <v/>
      </c>
    </row>
    <row r="101">
      <c r="A101">
        <v>98</v>
      </c>
      <c r="B101" t="str">
        <v>فيروجلوبين كبسولات حديد وفيتامينات زنك Combination (علبة 2 شريط - 30 كبسولة)</v>
      </c>
      <c r="C101" t="str">
        <v>6228008008067</v>
      </c>
      <c r="D101" t="str">
        <v/>
      </c>
      <c r="E101" t="str">
        <v>قطعة</v>
      </c>
      <c r="F101">
        <v>85</v>
      </c>
      <c r="G101">
        <v>66.3</v>
      </c>
      <c r="H101">
        <v>25</v>
      </c>
      <c r="I101">
        <v>5</v>
      </c>
      <c r="J101" s="1">
        <f>F101-G101</f>
      </c>
      <c r="K101" s="2">
        <f>IF(G101&gt;0, (F101-G101)/G101, 0)</f>
      </c>
      <c r="L101" s="1">
        <f>H101*G101</f>
      </c>
      <c r="M101" s="1">
        <f>H101*F101</f>
      </c>
      <c r="N101" s="1">
        <f>M101-L101</f>
      </c>
      <c r="O101">
        <f>IF(H101&lt;=0, "نفد من المخزن", IF(H101&lt;=I101, "قارب على النفاد", "متوفر بالمخزن"))</f>
      </c>
      <c r="P101">
        <v>0</v>
      </c>
      <c r="Q101" t="str">
        <v>MED-0185</v>
      </c>
      <c r="R101" t="str">
        <v/>
      </c>
      <c r="S101" t="str">
        <v>Combination</v>
      </c>
      <c r="T101" t="str">
        <v/>
      </c>
    </row>
    <row r="102">
      <c r="A102">
        <v>99</v>
      </c>
      <c r="B102" t="str">
        <v>فيروترون كبسولات حديد ومعادن متكاملة Chelated Minerals (علبة 2 شريط - 20 كبسولة)</v>
      </c>
      <c r="C102" t="str">
        <v>6228008008074</v>
      </c>
      <c r="D102" t="str">
        <v/>
      </c>
      <c r="E102" t="str">
        <v>قطعة</v>
      </c>
      <c r="F102">
        <v>78</v>
      </c>
      <c r="G102">
        <v>60.84</v>
      </c>
      <c r="H102">
        <v>25</v>
      </c>
      <c r="I102">
        <v>5</v>
      </c>
      <c r="J102" s="1">
        <f>F102-G102</f>
      </c>
      <c r="K102" s="2">
        <f>IF(G102&gt;0, (F102-G102)/G102, 0)</f>
      </c>
      <c r="L102" s="1">
        <f>H102*G102</f>
      </c>
      <c r="M102" s="1">
        <f>H102*F102</f>
      </c>
      <c r="N102" s="1">
        <f>M102-L102</f>
      </c>
      <c r="O102">
        <f>IF(H102&lt;=0, "نفد من المخزن", IF(H102&lt;=I102, "قارب على النفاد", "متوفر بالمخزن"))</f>
      </c>
      <c r="P102">
        <v>0</v>
      </c>
      <c r="Q102" t="str">
        <v>MED-0186</v>
      </c>
      <c r="R102" t="str">
        <v/>
      </c>
      <c r="S102" t="str">
        <v>Chelated Minerals</v>
      </c>
      <c r="T102" t="str">
        <v/>
      </c>
    </row>
    <row r="103">
      <c r="A103">
        <v>100</v>
      </c>
      <c r="B103" t="str">
        <v>أوستيوكير أقراص كالسيوم وماغنسيوم ودال زنك Combination (علبة 3 شريط - 30 قرص)</v>
      </c>
      <c r="C103" t="str">
        <v>6228008008081</v>
      </c>
      <c r="D103" t="str">
        <v/>
      </c>
      <c r="E103" t="str">
        <v>قطعة</v>
      </c>
      <c r="F103">
        <v>65</v>
      </c>
      <c r="G103">
        <v>50.7</v>
      </c>
      <c r="H103">
        <v>25</v>
      </c>
      <c r="I103">
        <v>5</v>
      </c>
      <c r="J103" s="1">
        <f>F103-G103</f>
      </c>
      <c r="K103" s="2">
        <f>IF(G103&gt;0, (F103-G103)/G103, 0)</f>
      </c>
      <c r="L103" s="1">
        <f>H103*G103</f>
      </c>
      <c r="M103" s="1">
        <f>H103*F103</f>
      </c>
      <c r="N103" s="1">
        <f>M103-L103</f>
      </c>
      <c r="O103">
        <f>IF(H103&lt;=0, "نفد من المخزن", IF(H103&lt;=I103, "قارب على النفاد", "متوفر بالمخزن"))</f>
      </c>
      <c r="P103">
        <v>0</v>
      </c>
      <c r="Q103" t="str">
        <v>MED-0187</v>
      </c>
      <c r="R103" t="str">
        <v/>
      </c>
      <c r="S103" t="str">
        <v>Combination</v>
      </c>
      <c r="T103" t="str">
        <v/>
      </c>
    </row>
    <row r="104">
      <c r="A104">
        <v>101</v>
      </c>
      <c r="B104" t="str">
        <v>كالسيرون كبسولات كالسيوم مخلبي ومعادن Chelated Calcium Complex (علبة 2 شريط - 20 كبسولة)</v>
      </c>
      <c r="C104" t="str">
        <v>6228008008098</v>
      </c>
      <c r="D104" t="str">
        <v/>
      </c>
      <c r="E104" t="str">
        <v>قطعة</v>
      </c>
      <c r="F104">
        <v>68</v>
      </c>
      <c r="G104">
        <v>53.04</v>
      </c>
      <c r="H104">
        <v>25</v>
      </c>
      <c r="I104">
        <v>5</v>
      </c>
      <c r="J104" s="1">
        <f>F104-G104</f>
      </c>
      <c r="K104" s="2">
        <f>IF(G104&gt;0, (F104-G104)/G104, 0)</f>
      </c>
      <c r="L104" s="1">
        <f>H104*G104</f>
      </c>
      <c r="M104" s="1">
        <f>H104*F104</f>
      </c>
      <c r="N104" s="1">
        <f>M104-L104</f>
      </c>
      <c r="O104">
        <f>IF(H104&lt;=0, "نفد من المخزن", IF(H104&lt;=I104, "قارب على النفاد", "متوفر بالمخزن"))</f>
      </c>
      <c r="P104">
        <v>0</v>
      </c>
      <c r="Q104" t="str">
        <v>MED-0188</v>
      </c>
      <c r="R104" t="str">
        <v/>
      </c>
      <c r="S104" t="str">
        <v>Chelated Calcium Complex</v>
      </c>
      <c r="T104" t="str">
        <v/>
      </c>
    </row>
    <row r="105">
      <c r="A105">
        <v>102</v>
      </c>
      <c r="B105" t="str">
        <v>سيفامول أقراص فوارة فيتامين سي ومسكن 400mg/250mg (أنبوبة 12 قرص فوار)</v>
      </c>
      <c r="C105" t="str">
        <v>6228008008135</v>
      </c>
      <c r="D105" t="str">
        <v/>
      </c>
      <c r="E105" t="str">
        <v>قطعة</v>
      </c>
      <c r="F105">
        <v>22</v>
      </c>
      <c r="G105">
        <v>17.16</v>
      </c>
      <c r="H105">
        <v>25</v>
      </c>
      <c r="I105">
        <v>5</v>
      </c>
      <c r="J105" s="1">
        <f>F105-G105</f>
      </c>
      <c r="K105" s="2">
        <f>IF(G105&gt;0, (F105-G105)/G105, 0)</f>
      </c>
      <c r="L105" s="1">
        <f>H105*G105</f>
      </c>
      <c r="M105" s="1">
        <f>H105*F105</f>
      </c>
      <c r="N105" s="1">
        <f>M105-L105</f>
      </c>
      <c r="O105">
        <f>IF(H105&lt;=0, "نفد من المخزن", IF(H105&lt;=I105, "قارب على النفاد", "متوفر بالمخزن"))</f>
      </c>
      <c r="P105">
        <v>0</v>
      </c>
      <c r="Q105" t="str">
        <v>MED-0192</v>
      </c>
      <c r="R105" t="str">
        <v/>
      </c>
      <c r="S105" t="str">
        <v>400mg/250mg</v>
      </c>
      <c r="T105" t="str">
        <v/>
      </c>
    </row>
    <row r="106">
      <c r="A106">
        <v>103</v>
      </c>
      <c r="B106" t="str">
        <v>فيتاسيد سي فوار 1 جم أقراص 1000mg (أنبوبة 12 قرص فوار)</v>
      </c>
      <c r="C106" t="str">
        <v>6228008008142</v>
      </c>
      <c r="D106" t="str">
        <v/>
      </c>
      <c r="E106" t="str">
        <v>قطعة</v>
      </c>
      <c r="F106">
        <v>24</v>
      </c>
      <c r="G106">
        <v>18.72</v>
      </c>
      <c r="H106">
        <v>25</v>
      </c>
      <c r="I106">
        <v>5</v>
      </c>
      <c r="J106" s="1">
        <f>F106-G106</f>
      </c>
      <c r="K106" s="2">
        <f>IF(G106&gt;0, (F106-G106)/G106, 0)</f>
      </c>
      <c r="L106" s="1">
        <f>H106*G106</f>
      </c>
      <c r="M106" s="1">
        <f>H106*F106</f>
      </c>
      <c r="N106" s="1">
        <f>M106-L106</f>
      </c>
      <c r="O106">
        <f>IF(H106&lt;=0, "نفد من المخزن", IF(H106&lt;=I106, "قارب على النفاد", "متوفر بالمخزن"))</f>
      </c>
      <c r="P106">
        <v>0</v>
      </c>
      <c r="Q106" t="str">
        <v>MED-0193</v>
      </c>
      <c r="R106" t="str">
        <v/>
      </c>
      <c r="S106" t="str">
        <v>1000mg</v>
      </c>
      <c r="T106" t="str">
        <v/>
      </c>
    </row>
    <row r="107">
      <c r="A107">
        <v>104</v>
      </c>
      <c r="B107" t="str">
        <v>زنكترون كبسولات زنك ومعادن ومناعة Combination (علبة 3 شريط - 30 كبسولة)</v>
      </c>
      <c r="C107" t="str">
        <v>6228008008159</v>
      </c>
      <c r="D107" t="str">
        <v/>
      </c>
      <c r="E107" t="str">
        <v>قطعة</v>
      </c>
      <c r="F107">
        <v>54</v>
      </c>
      <c r="G107">
        <v>42.12</v>
      </c>
      <c r="H107">
        <v>25</v>
      </c>
      <c r="I107">
        <v>5</v>
      </c>
      <c r="J107" s="1">
        <f>F107-G107</f>
      </c>
      <c r="K107" s="2">
        <f>IF(G107&gt;0, (F107-G107)/G107, 0)</f>
      </c>
      <c r="L107" s="1">
        <f>H107*G107</f>
      </c>
      <c r="M107" s="1">
        <f>H107*F107</f>
      </c>
      <c r="N107" s="1">
        <f>M107-L107</f>
      </c>
      <c r="O107">
        <f>IF(H107&lt;=0, "نفد من المخزن", IF(H107&lt;=I107, "قارب على النفاد", "متوفر بالمخزن"))</f>
      </c>
      <c r="P107">
        <v>0</v>
      </c>
      <c r="Q107" t="str">
        <v>MED-0194</v>
      </c>
      <c r="R107" t="str">
        <v/>
      </c>
      <c r="S107" t="str">
        <v>Combination</v>
      </c>
      <c r="T107" t="str">
        <v/>
      </c>
    </row>
    <row r="108">
      <c r="A108">
        <v>105</v>
      </c>
      <c r="B108" t="str">
        <v>أوميجا 3 بلس كبسولات زيت سمك وجنين قمح 1000mg/100mg (علبة 3 شريط - 30 كبسولة)</v>
      </c>
      <c r="C108" t="str">
        <v>6228008008166</v>
      </c>
      <c r="D108" t="str">
        <v/>
      </c>
      <c r="E108" t="str">
        <v>قطعة</v>
      </c>
      <c r="F108">
        <v>75</v>
      </c>
      <c r="G108">
        <v>58.5</v>
      </c>
      <c r="H108">
        <v>25</v>
      </c>
      <c r="I108">
        <v>5</v>
      </c>
      <c r="J108" s="1">
        <f>F108-G108</f>
      </c>
      <c r="K108" s="2">
        <f>IF(G108&gt;0, (F108-G108)/G108, 0)</f>
      </c>
      <c r="L108" s="1">
        <f>H108*G108</f>
      </c>
      <c r="M108" s="1">
        <f>H108*F108</f>
      </c>
      <c r="N108" s="1">
        <f>M108-L108</f>
      </c>
      <c r="O108">
        <f>IF(H108&lt;=0, "نفد من المخزن", IF(H108&lt;=I108, "قارب على النفاد", "متوفر بالمخزن"))</f>
      </c>
      <c r="P108">
        <v>0</v>
      </c>
      <c r="Q108" t="str">
        <v>MED-0195</v>
      </c>
      <c r="R108" t="str">
        <v/>
      </c>
      <c r="S108" t="str">
        <v>1000mg/100mg</v>
      </c>
      <c r="T108" t="str">
        <v/>
      </c>
    </row>
    <row r="109">
      <c r="A109">
        <v>106</v>
      </c>
      <c r="B109" t="str">
        <v>كيروفيت كبسولات فيتامينات ورويال جيلي وجنسنج Multi-nutrient formula (علبة 3 شريط - 15 كبسولة)</v>
      </c>
      <c r="C109" t="str">
        <v>6228008008173</v>
      </c>
      <c r="D109" t="str">
        <v/>
      </c>
      <c r="E109" t="str">
        <v>قطعة</v>
      </c>
      <c r="F109">
        <v>85</v>
      </c>
      <c r="G109">
        <v>66.3</v>
      </c>
      <c r="H109">
        <v>25</v>
      </c>
      <c r="I109">
        <v>5</v>
      </c>
      <c r="J109" s="1">
        <f>F109-G109</f>
      </c>
      <c r="K109" s="2">
        <f>IF(G109&gt;0, (F109-G109)/G109, 0)</f>
      </c>
      <c r="L109" s="1">
        <f>H109*G109</f>
      </c>
      <c r="M109" s="1">
        <f>H109*F109</f>
      </c>
      <c r="N109" s="1">
        <f>M109-L109</f>
      </c>
      <c r="O109">
        <f>IF(H109&lt;=0, "نفد من المخزن", IF(H109&lt;=I109, "قارب على النفاد", "متوفر بالمخزن"))</f>
      </c>
      <c r="P109">
        <v>0</v>
      </c>
      <c r="Q109" t="str">
        <v>MED-0196</v>
      </c>
      <c r="R109" t="str">
        <v/>
      </c>
      <c r="S109" t="str">
        <v>Multi-nutrient formula</v>
      </c>
      <c r="T109" t="str">
        <v/>
      </c>
    </row>
    <row r="110">
      <c r="A110">
        <v>107</v>
      </c>
      <c r="B110" t="str">
        <v>رويال جيلي 1000 مجم كبسولات غذاء ملكات النحل 1000mg (علبة 1 شريط - 12 كبسولة)</v>
      </c>
      <c r="C110" t="str">
        <v>6228008008180</v>
      </c>
      <c r="D110" t="str">
        <v/>
      </c>
      <c r="E110" t="str">
        <v>قطعة</v>
      </c>
      <c r="F110">
        <v>55</v>
      </c>
      <c r="G110">
        <v>42.9</v>
      </c>
      <c r="H110">
        <v>25</v>
      </c>
      <c r="I110">
        <v>5</v>
      </c>
      <c r="J110" s="1">
        <f>F110-G110</f>
      </c>
      <c r="K110" s="2">
        <f>IF(G110&gt;0, (F110-G110)/G110, 0)</f>
      </c>
      <c r="L110" s="1">
        <f>H110*G110</f>
      </c>
      <c r="M110" s="1">
        <f>H110*F110</f>
      </c>
      <c r="N110" s="1">
        <f>M110-L110</f>
      </c>
      <c r="O110">
        <f>IF(H110&lt;=0, "نفد من المخزن", IF(H110&lt;=I110, "قارب على النفاد", "متوفر بالمخزن"))</f>
      </c>
      <c r="P110">
        <v>0</v>
      </c>
      <c r="Q110" t="str">
        <v>MED-0197</v>
      </c>
      <c r="R110" t="str">
        <v/>
      </c>
      <c r="S110" t="str">
        <v>1000mg</v>
      </c>
      <c r="T110" t="str">
        <v/>
      </c>
    </row>
    <row r="111">
      <c r="A111">
        <v>108</v>
      </c>
      <c r="B111" t="str">
        <v>بيتادين 10% محلول مطهر ومطهر جروح 120 مل 10% (زجاجة بلاستيك 120 مل)</v>
      </c>
      <c r="C111" t="str">
        <v>6229009009019</v>
      </c>
      <c r="D111" t="str">
        <v/>
      </c>
      <c r="E111" t="str">
        <v>قطعة</v>
      </c>
      <c r="F111">
        <v>48</v>
      </c>
      <c r="G111">
        <v>37.44</v>
      </c>
      <c r="H111">
        <v>25</v>
      </c>
      <c r="I111">
        <v>5</v>
      </c>
      <c r="J111" s="1">
        <f>F111-G111</f>
      </c>
      <c r="K111" s="2">
        <f>IF(G111&gt;0, (F111-G111)/G111, 0)</f>
      </c>
      <c r="L111" s="1">
        <f>H111*G111</f>
      </c>
      <c r="M111" s="1">
        <f>H111*F111</f>
      </c>
      <c r="N111" s="1">
        <f>M111-L111</f>
      </c>
      <c r="O111">
        <f>IF(H111&lt;=0, "نفد من المخزن", IF(H111&lt;=I111, "قارب على النفاد", "متوفر بالمخزن"))</f>
      </c>
      <c r="P111">
        <v>0</v>
      </c>
      <c r="Q111" t="str">
        <v>MED-0198</v>
      </c>
      <c r="R111" t="str">
        <v/>
      </c>
      <c r="S111" t="str">
        <v>10%</v>
      </c>
      <c r="T111" t="str">
        <v/>
      </c>
    </row>
    <row r="112">
      <c r="A112">
        <v>109</v>
      </c>
      <c r="B112" t="str">
        <v>بيتادين 10% مرهم مطهر جروح 60 جم 10% (أنبوبة 60 جم)</v>
      </c>
      <c r="C112" t="str">
        <v>6229009009026</v>
      </c>
      <c r="D112" t="str">
        <v/>
      </c>
      <c r="E112" t="str">
        <v>قطعة</v>
      </c>
      <c r="F112">
        <v>42</v>
      </c>
      <c r="G112">
        <v>32.76</v>
      </c>
      <c r="H112">
        <v>25</v>
      </c>
      <c r="I112">
        <v>5</v>
      </c>
      <c r="J112" s="1">
        <f>F112-G112</f>
      </c>
      <c r="K112" s="2">
        <f>IF(G112&gt;0, (F112-G112)/G112, 0)</f>
      </c>
      <c r="L112" s="1">
        <f>H112*G112</f>
      </c>
      <c r="M112" s="1">
        <f>H112*F112</f>
      </c>
      <c r="N112" s="1">
        <f>M112-L112</f>
      </c>
      <c r="O112">
        <f>IF(H112&lt;=0, "نفد من المخزن", IF(H112&lt;=I112, "قارب على النفاد", "متوفر بالمخزن"))</f>
      </c>
      <c r="P112">
        <v>0</v>
      </c>
      <c r="Q112" t="str">
        <v>MED-0199</v>
      </c>
      <c r="R112" t="str">
        <v/>
      </c>
      <c r="S112" t="str">
        <v>10%</v>
      </c>
      <c r="T112" t="str">
        <v/>
      </c>
    </row>
    <row r="113">
      <c r="A113">
        <v>110</v>
      </c>
      <c r="B113" t="str">
        <v>ميبو مرهم حروق وجروح طبيعي 30 جم 0.25% (أنبوبة 30 جم)</v>
      </c>
      <c r="C113" t="str">
        <v>6229009009064</v>
      </c>
      <c r="D113" t="str">
        <v/>
      </c>
      <c r="E113" t="str">
        <v>قطعة</v>
      </c>
      <c r="F113">
        <v>68</v>
      </c>
      <c r="G113">
        <v>53.04</v>
      </c>
      <c r="H113">
        <v>25</v>
      </c>
      <c r="I113">
        <v>5</v>
      </c>
      <c r="J113" s="1">
        <f>F113-G113</f>
      </c>
      <c r="K113" s="2">
        <f>IF(G113&gt;0, (F113-G113)/G113, 0)</f>
      </c>
      <c r="L113" s="1">
        <f>H113*G113</f>
      </c>
      <c r="M113" s="1">
        <f>H113*F113</f>
      </c>
      <c r="N113" s="1">
        <f>M113-L113</f>
      </c>
      <c r="O113">
        <f>IF(H113&lt;=0, "نفد من المخزن", IF(H113&lt;=I113, "قارب على النفاد", "متوفر بالمخزن"))</f>
      </c>
      <c r="P113">
        <v>0</v>
      </c>
      <c r="Q113" t="str">
        <v>MED-0203</v>
      </c>
      <c r="R113" t="str">
        <v/>
      </c>
      <c r="S113" t="str">
        <v>0.25%</v>
      </c>
      <c r="T113" t="str">
        <v/>
      </c>
    </row>
    <row r="114">
      <c r="A114">
        <v>111</v>
      </c>
      <c r="B114" t="str">
        <v>ميبو سكار مرهم لآثار الحروق والندبات Scar Formula (أنبوبة 30 جم)</v>
      </c>
      <c r="C114" t="str">
        <v>6229009009071</v>
      </c>
      <c r="D114" t="str">
        <v/>
      </c>
      <c r="E114" t="str">
        <v>قطعة</v>
      </c>
      <c r="F114">
        <v>110</v>
      </c>
      <c r="G114">
        <v>85.8</v>
      </c>
      <c r="H114">
        <v>25</v>
      </c>
      <c r="I114">
        <v>5</v>
      </c>
      <c r="J114" s="1">
        <f>F114-G114</f>
      </c>
      <c r="K114" s="2">
        <f>IF(G114&gt;0, (F114-G114)/G114, 0)</f>
      </c>
      <c r="L114" s="1">
        <f>H114*G114</f>
      </c>
      <c r="M114" s="1">
        <f>H114*F114</f>
      </c>
      <c r="N114" s="1">
        <f>M114-L114</f>
      </c>
      <c r="O114">
        <f>IF(H114&lt;=0, "نفد من المخزن", IF(H114&lt;=I114, "قارب على النفاد", "متوفر بالمخزن"))</f>
      </c>
      <c r="P114">
        <v>0</v>
      </c>
      <c r="Q114" t="str">
        <v>MED-0204</v>
      </c>
      <c r="R114" t="str">
        <v/>
      </c>
      <c r="S114" t="str">
        <v>Scar Formula</v>
      </c>
      <c r="T114" t="str">
        <v/>
      </c>
    </row>
    <row r="115">
      <c r="A115">
        <v>112</v>
      </c>
      <c r="B115" t="str">
        <v>بانثينول كريم مرطب وملطف للجلد 50 جم 2% (أنبوبة 50 جم)</v>
      </c>
      <c r="C115" t="str">
        <v>6229009009088</v>
      </c>
      <c r="D115" t="str">
        <v/>
      </c>
      <c r="E115" t="str">
        <v>قطعة</v>
      </c>
      <c r="F115">
        <v>24</v>
      </c>
      <c r="G115">
        <v>18.72</v>
      </c>
      <c r="H115">
        <v>25</v>
      </c>
      <c r="I115">
        <v>5</v>
      </c>
      <c r="J115" s="1">
        <f>F115-G115</f>
      </c>
      <c r="K115" s="2">
        <f>IF(G115&gt;0, (F115-G115)/G115, 0)</f>
      </c>
      <c r="L115" s="1">
        <f>H115*G115</f>
      </c>
      <c r="M115" s="1">
        <f>H115*F115</f>
      </c>
      <c r="N115" s="1">
        <f>M115-L115</f>
      </c>
      <c r="O115">
        <f>IF(H115&lt;=0, "نفد من المخزن", IF(H115&lt;=I115, "قارب على النفاد", "متوفر بالمخزن"))</f>
      </c>
      <c r="P115">
        <v>0</v>
      </c>
      <c r="Q115" t="str">
        <v>MED-0205</v>
      </c>
      <c r="R115" t="str">
        <v/>
      </c>
      <c r="S115" t="str">
        <v>2%</v>
      </c>
      <c r="T115" t="str">
        <v/>
      </c>
    </row>
    <row r="116">
      <c r="A116">
        <v>113</v>
      </c>
      <c r="B116" t="str">
        <v>سيديبروكت مرهم للبواسير والشرخ Combination (أنبوبة 20 جم)</v>
      </c>
      <c r="C116" t="str">
        <v>6229009009095</v>
      </c>
      <c r="D116" t="str">
        <v/>
      </c>
      <c r="E116" t="str">
        <v>قطعة</v>
      </c>
      <c r="F116">
        <v>28</v>
      </c>
      <c r="G116">
        <v>21.84</v>
      </c>
      <c r="H116">
        <v>25</v>
      </c>
      <c r="I116">
        <v>5</v>
      </c>
      <c r="J116" s="1">
        <f>F116-G116</f>
      </c>
      <c r="K116" s="2">
        <f>IF(G116&gt;0, (F116-G116)/G116, 0)</f>
      </c>
      <c r="L116" s="1">
        <f>H116*G116</f>
      </c>
      <c r="M116" s="1">
        <f>H116*F116</f>
      </c>
      <c r="N116" s="1">
        <f>M116-L116</f>
      </c>
      <c r="O116">
        <f>IF(H116&lt;=0, "نفد من المخزن", IF(H116&lt;=I116, "قارب على النفاد", "متوفر بالمخزن"))</f>
      </c>
      <c r="P116">
        <v>0</v>
      </c>
      <c r="Q116" t="str">
        <v>MED-0206</v>
      </c>
      <c r="R116" t="str">
        <v/>
      </c>
      <c r="S116" t="str">
        <v>Combination</v>
      </c>
      <c r="T116" t="str">
        <v/>
      </c>
    </row>
    <row r="117">
      <c r="A117">
        <v>114</v>
      </c>
      <c r="B117" t="str">
        <v>فاكتو مرهم للبواسير Combination (أنبوبة 30 جم)</v>
      </c>
      <c r="C117" t="str">
        <v>6229009009101</v>
      </c>
      <c r="D117" t="str">
        <v/>
      </c>
      <c r="E117" t="str">
        <v>قطعة</v>
      </c>
      <c r="F117">
        <v>45</v>
      </c>
      <c r="G117">
        <v>35.1</v>
      </c>
      <c r="H117">
        <v>25</v>
      </c>
      <c r="I117">
        <v>5</v>
      </c>
      <c r="J117" s="1">
        <f>F117-G117</f>
      </c>
      <c r="K117" s="2">
        <f>IF(G117&gt;0, (F117-G117)/G117, 0)</f>
      </c>
      <c r="L117" s="1">
        <f>H117*G117</f>
      </c>
      <c r="M117" s="1">
        <f>H117*F117</f>
      </c>
      <c r="N117" s="1">
        <f>M117-L117</f>
      </c>
      <c r="O117">
        <f>IF(H117&lt;=0, "نفد من المخزن", IF(H117&lt;=I117, "قارب على النفاد", "متوفر بالمخزن"))</f>
      </c>
      <c r="P117">
        <v>0</v>
      </c>
      <c r="Q117" t="str">
        <v>MED-0207</v>
      </c>
      <c r="R117" t="str">
        <v/>
      </c>
      <c r="S117" t="str">
        <v>Combination</v>
      </c>
      <c r="T117" t="str">
        <v/>
      </c>
    </row>
    <row r="118">
      <c r="A118">
        <v>115</v>
      </c>
      <c r="B118" t="str">
        <v>دكتارين 2% جيل للفم لعلاج الفطريات 20mg/g (أنبوبة 40 جم مع ملعقة قياس)</v>
      </c>
      <c r="C118" t="str">
        <v>6229009009118</v>
      </c>
      <c r="D118" t="str">
        <v/>
      </c>
      <c r="E118" t="str">
        <v>قطعة</v>
      </c>
      <c r="F118">
        <v>45</v>
      </c>
      <c r="G118">
        <v>35.1</v>
      </c>
      <c r="H118">
        <v>25</v>
      </c>
      <c r="I118">
        <v>5</v>
      </c>
      <c r="J118" s="1">
        <f>F118-G118</f>
      </c>
      <c r="K118" s="2">
        <f>IF(G118&gt;0, (F118-G118)/G118, 0)</f>
      </c>
      <c r="L118" s="1">
        <f>H118*G118</f>
      </c>
      <c r="M118" s="1">
        <f>H118*F118</f>
      </c>
      <c r="N118" s="1">
        <f>M118-L118</f>
      </c>
      <c r="O118">
        <f>IF(H118&lt;=0, "نفد من المخزن", IF(H118&lt;=I118, "قارب على النفاد", "متوفر بالمخزن"))</f>
      </c>
      <c r="P118">
        <v>0</v>
      </c>
      <c r="Q118" t="str">
        <v>MED-0208</v>
      </c>
      <c r="R118" t="str">
        <v/>
      </c>
      <c r="S118" t="str">
        <v>20mg/g</v>
      </c>
      <c r="T118" t="str">
        <v/>
      </c>
    </row>
    <row r="119">
      <c r="A119">
        <v>116</v>
      </c>
      <c r="B119" t="str">
        <v>سودوكريم كريم ملطف للالتهابات وتسلخات الحفاض Antiseptic Healing Cream (برطمان 125 جم)</v>
      </c>
      <c r="C119" t="str">
        <v>6229009009125</v>
      </c>
      <c r="D119" t="str">
        <v/>
      </c>
      <c r="E119" t="str">
        <v>قطعة</v>
      </c>
      <c r="F119">
        <v>165</v>
      </c>
      <c r="G119">
        <v>128.7</v>
      </c>
      <c r="H119">
        <v>25</v>
      </c>
      <c r="I119">
        <v>5</v>
      </c>
      <c r="J119" s="1">
        <f>F119-G119</f>
      </c>
      <c r="K119" s="2">
        <f>IF(G119&gt;0, (F119-G119)/G119, 0)</f>
      </c>
      <c r="L119" s="1">
        <f>H119*G119</f>
      </c>
      <c r="M119" s="1">
        <f>H119*F119</f>
      </c>
      <c r="N119" s="1">
        <f>M119-L119</f>
      </c>
      <c r="O119">
        <f>IF(H119&lt;=0, "نفد من المخزن", IF(H119&lt;=I119, "قارب على النفاد", "متوفر بالمخزن"))</f>
      </c>
      <c r="P119">
        <v>0</v>
      </c>
      <c r="Q119" t="str">
        <v>MED-0209</v>
      </c>
      <c r="R119" t="str">
        <v/>
      </c>
      <c r="S119" t="str">
        <v>Antiseptic Healing Cream</v>
      </c>
      <c r="T119" t="str">
        <v/>
      </c>
    </row>
    <row r="120">
      <c r="A120">
        <v>117</v>
      </c>
      <c r="B120" t="str">
        <v>أوترين 0.1% نقط أنف للكبار لاحتقان الأنف 0.1% (قطارة 10 مل)</v>
      </c>
      <c r="C120" t="str">
        <v>6229009009132</v>
      </c>
      <c r="D120" t="str">
        <v/>
      </c>
      <c r="E120" t="str">
        <v>قطعة</v>
      </c>
      <c r="F120">
        <v>18</v>
      </c>
      <c r="G120">
        <v>14.04</v>
      </c>
      <c r="H120">
        <v>25</v>
      </c>
      <c r="I120">
        <v>5</v>
      </c>
      <c r="J120" s="1">
        <f>F120-G120</f>
      </c>
      <c r="K120" s="2">
        <f>IF(G120&gt;0, (F120-G120)/G120, 0)</f>
      </c>
      <c r="L120" s="1">
        <f>H120*G120</f>
      </c>
      <c r="M120" s="1">
        <f>H120*F120</f>
      </c>
      <c r="N120" s="1">
        <f>M120-L120</f>
      </c>
      <c r="O120">
        <f>IF(H120&lt;=0, "نفد من المخزن", IF(H120&lt;=I120, "قارب على النفاد", "متوفر بالمخزن"))</f>
      </c>
      <c r="P120">
        <v>0</v>
      </c>
      <c r="Q120" t="str">
        <v>MED-0210</v>
      </c>
      <c r="R120" t="str">
        <v/>
      </c>
      <c r="S120" t="str">
        <v>0.1%</v>
      </c>
      <c r="T120" t="str">
        <v/>
      </c>
    </row>
    <row r="121">
      <c r="A121">
        <v>118</v>
      </c>
      <c r="B121" t="str">
        <v>فليكسونيز بخاخ أنف للحساسية والجيوب الأنفية 50mcg/dose - 120 doses (زجاجة بخاخ 120 جرعة)</v>
      </c>
      <c r="C121" t="str">
        <v>6229009009156</v>
      </c>
      <c r="D121" t="str">
        <v/>
      </c>
      <c r="E121" t="str">
        <v>قطعة</v>
      </c>
      <c r="F121">
        <v>88</v>
      </c>
      <c r="G121">
        <v>68.64</v>
      </c>
      <c r="H121">
        <v>25</v>
      </c>
      <c r="I121">
        <v>5</v>
      </c>
      <c r="J121" s="1">
        <f>F121-G121</f>
      </c>
      <c r="K121" s="2">
        <f>IF(G121&gt;0, (F121-G121)/G121, 0)</f>
      </c>
      <c r="L121" s="1">
        <f>H121*G121</f>
      </c>
      <c r="M121" s="1">
        <f>H121*F121</f>
      </c>
      <c r="N121" s="1">
        <f>M121-L121</f>
      </c>
      <c r="O121">
        <f>IF(H121&lt;=0, "نفد من المخزن", IF(H121&lt;=I121, "قارب على النفاد", "متوفر بالمخزن"))</f>
      </c>
      <c r="P121">
        <v>0</v>
      </c>
      <c r="Q121" t="str">
        <v>MED-0212</v>
      </c>
      <c r="R121" t="str">
        <v/>
      </c>
      <c r="S121" t="str">
        <v>50mcg/dose - 120 doses</v>
      </c>
      <c r="T121" t="str">
        <v/>
      </c>
    </row>
    <row r="122">
      <c r="A122">
        <v>119</v>
      </c>
      <c r="B122" t="str">
        <v>نازونكس بخاخ أنف كورتيزون 50mcg/actuation (عبوة بخاخ 140 جرعة)</v>
      </c>
      <c r="C122" t="str">
        <v>6229009009163</v>
      </c>
      <c r="D122" t="str">
        <v/>
      </c>
      <c r="E122" t="str">
        <v>قطعة</v>
      </c>
      <c r="F122">
        <v>145</v>
      </c>
      <c r="G122">
        <v>113.1</v>
      </c>
      <c r="H122">
        <v>25</v>
      </c>
      <c r="I122">
        <v>5</v>
      </c>
      <c r="J122" s="1">
        <f>F122-G122</f>
      </c>
      <c r="K122" s="2">
        <f>IF(G122&gt;0, (F122-G122)/G122, 0)</f>
      </c>
      <c r="L122" s="1">
        <f>H122*G122</f>
      </c>
      <c r="M122" s="1">
        <f>H122*F122</f>
      </c>
      <c r="N122" s="1">
        <f>M122-L122</f>
      </c>
      <c r="O122">
        <f>IF(H122&lt;=0, "نفد من المخزن", IF(H122&lt;=I122, "قارب على النفاد", "متوفر بالمخزن"))</f>
      </c>
      <c r="P122">
        <v>0</v>
      </c>
      <c r="Q122" t="str">
        <v>MED-0213</v>
      </c>
      <c r="R122" t="str">
        <v/>
      </c>
      <c r="S122" t="str">
        <v>50mcg/actuation</v>
      </c>
      <c r="T122" t="str">
        <v/>
      </c>
    </row>
    <row r="123">
      <c r="A123">
        <v>120</v>
      </c>
      <c r="B123" t="str">
        <v>توبراديكس قطرة عين مضاد والتهابات 0.3%/0.1% (زجاجة قطارة 5 مل)</v>
      </c>
      <c r="C123" t="str">
        <v>6229009009187</v>
      </c>
      <c r="D123" t="str">
        <v/>
      </c>
      <c r="E123" t="str">
        <v>قطعة</v>
      </c>
      <c r="F123">
        <v>52</v>
      </c>
      <c r="G123">
        <v>40.56</v>
      </c>
      <c r="H123">
        <v>25</v>
      </c>
      <c r="I123">
        <v>5</v>
      </c>
      <c r="J123" s="1">
        <f>F123-G123</f>
      </c>
      <c r="K123" s="2">
        <f>IF(G123&gt;0, (F123-G123)/G123, 0)</f>
      </c>
      <c r="L123" s="1">
        <f>H123*G123</f>
      </c>
      <c r="M123" s="1">
        <f>H123*F123</f>
      </c>
      <c r="N123" s="1">
        <f>M123-L123</f>
      </c>
      <c r="O123">
        <f>IF(H123&lt;=0, "نفد من المخزن", IF(H123&lt;=I123, "قارب على النفاد", "متوفر بالمخزن"))</f>
      </c>
      <c r="P123">
        <v>0</v>
      </c>
      <c r="Q123" t="str">
        <v>MED-0215</v>
      </c>
      <c r="R123" t="str">
        <v/>
      </c>
      <c r="S123" t="str">
        <v>0.3%/0.1%</v>
      </c>
      <c r="T123" t="str">
        <v/>
      </c>
    </row>
    <row r="124">
      <c r="A124">
        <v>121</v>
      </c>
      <c r="B124" t="str">
        <v>بولي فريش قطرة مرطبة لجفاف العين والكمبيوتر 0.2% (زجاجة قطارة 10 مل)</v>
      </c>
      <c r="C124" t="str">
        <v>6229009009194</v>
      </c>
      <c r="D124" t="str">
        <v/>
      </c>
      <c r="E124" t="str">
        <v>قطعة</v>
      </c>
      <c r="F124">
        <v>55</v>
      </c>
      <c r="G124">
        <v>42.9</v>
      </c>
      <c r="H124">
        <v>25</v>
      </c>
      <c r="I124">
        <v>5</v>
      </c>
      <c r="J124" s="1">
        <f>F124-G124</f>
      </c>
      <c r="K124" s="2">
        <f>IF(G124&gt;0, (F124-G124)/G124, 0)</f>
      </c>
      <c r="L124" s="1">
        <f>H124*G124</f>
      </c>
      <c r="M124" s="1">
        <f>H124*F124</f>
      </c>
      <c r="N124" s="1">
        <f>M124-L124</f>
      </c>
      <c r="O124">
        <f>IF(H124&lt;=0, "نفد من المخزن", IF(H124&lt;=I124, "قارب على النفاد", "متوفر بالمخزن"))</f>
      </c>
      <c r="P124">
        <v>0</v>
      </c>
      <c r="Q124" t="str">
        <v>MED-0216</v>
      </c>
      <c r="R124" t="str">
        <v/>
      </c>
      <c r="S124" t="str">
        <v>0.2%</v>
      </c>
      <c r="T124" t="str">
        <v/>
      </c>
    </row>
    <row r="125">
      <c r="A125">
        <v>122</v>
      </c>
      <c r="B125" t="str">
        <v>تيرز ناتشورال قطرة بديل الدموع Artificial Tears Formula (زجاجة 15 مل)</v>
      </c>
      <c r="C125" t="str">
        <v>6229009009200</v>
      </c>
      <c r="D125" t="str">
        <v/>
      </c>
      <c r="E125" t="str">
        <v>قطعة</v>
      </c>
      <c r="F125">
        <v>36</v>
      </c>
      <c r="G125">
        <v>28.08</v>
      </c>
      <c r="H125">
        <v>25</v>
      </c>
      <c r="I125">
        <v>5</v>
      </c>
      <c r="J125" s="1">
        <f>F125-G125</f>
      </c>
      <c r="K125" s="2">
        <f>IF(G125&gt;0, (F125-G125)/G125, 0)</f>
      </c>
      <c r="L125" s="1">
        <f>H125*G125</f>
      </c>
      <c r="M125" s="1">
        <f>H125*F125</f>
      </c>
      <c r="N125" s="1">
        <f>M125-L125</f>
      </c>
      <c r="O125">
        <f>IF(H125&lt;=0, "نفد من المخزن", IF(H125&lt;=I125, "قارب على النفاد", "متوفر بالمخزن"))</f>
      </c>
      <c r="P125">
        <v>0</v>
      </c>
      <c r="Q125" t="str">
        <v>MED-0217</v>
      </c>
      <c r="R125" t="str">
        <v/>
      </c>
      <c r="S125" t="str">
        <v>Artificial Tears Formula</v>
      </c>
      <c r="T125" t="str">
        <v/>
      </c>
    </row>
    <row r="126">
      <c r="A126">
        <v>123</v>
      </c>
      <c r="B126" t="str">
        <v>أوتاكول نقط أذن لآلام والتهاب الأذن 5%/1% (قطارة 10 مل)</v>
      </c>
      <c r="C126" t="str">
        <v>6229009009217</v>
      </c>
      <c r="D126" t="str">
        <v/>
      </c>
      <c r="E126" t="str">
        <v>قطعة</v>
      </c>
      <c r="F126">
        <v>18</v>
      </c>
      <c r="G126">
        <v>14.04</v>
      </c>
      <c r="H126">
        <v>25</v>
      </c>
      <c r="I126">
        <v>5</v>
      </c>
      <c r="J126" s="1">
        <f>F126-G126</f>
      </c>
      <c r="K126" s="2">
        <f>IF(G126&gt;0, (F126-G126)/G126, 0)</f>
      </c>
      <c r="L126" s="1">
        <f>H126*G126</f>
      </c>
      <c r="M126" s="1">
        <f>H126*F126</f>
      </c>
      <c r="N126" s="1">
        <f>M126-L126</f>
      </c>
      <c r="O126">
        <f>IF(H126&lt;=0, "نفد من المخزن", IF(H126&lt;=I126, "قارب على النفاد", "متوفر بالمخزن"))</f>
      </c>
      <c r="P126">
        <v>0</v>
      </c>
      <c r="Q126" t="str">
        <v>MED-0218</v>
      </c>
      <c r="R126" t="str">
        <v/>
      </c>
      <c r="S126" t="str">
        <v>5%/1%</v>
      </c>
      <c r="T126" t="str">
        <v/>
      </c>
    </row>
    <row r="127">
      <c r="A127">
        <v>124</v>
      </c>
      <c r="B127" t="str">
        <v>يوريفين أكياس فوار لأملاح اليورات والنقرس Effervescent Granules (علبة 10 أكياس فوار)</v>
      </c>
      <c r="C127" t="str">
        <v>6229509509012</v>
      </c>
      <c r="D127" t="str">
        <v/>
      </c>
      <c r="E127" t="str">
        <v>قطعة</v>
      </c>
      <c r="F127">
        <v>24</v>
      </c>
      <c r="G127">
        <v>18.72</v>
      </c>
      <c r="H127">
        <v>25</v>
      </c>
      <c r="I127">
        <v>5</v>
      </c>
      <c r="J127" s="1">
        <f>F127-G127</f>
      </c>
      <c r="K127" s="2">
        <f>IF(G127&gt;0, (F127-G127)/G127, 0)</f>
      </c>
      <c r="L127" s="1">
        <f>H127*G127</f>
      </c>
      <c r="M127" s="1">
        <f>H127*F127</f>
      </c>
      <c r="N127" s="1">
        <f>M127-L127</f>
      </c>
      <c r="O127">
        <f>IF(H127&lt;=0, "نفد من المخزن", IF(H127&lt;=I127, "قارب على النفاد", "متوفر بالمخزن"))</f>
      </c>
      <c r="P127">
        <v>0</v>
      </c>
      <c r="Q127" t="str">
        <v>MED-0219</v>
      </c>
      <c r="R127" t="str">
        <v/>
      </c>
      <c r="S127" t="str">
        <v>Effervescent Granules</v>
      </c>
      <c r="T127" t="str">
        <v/>
      </c>
    </row>
    <row r="128">
      <c r="A128">
        <v>125</v>
      </c>
      <c r="B128" t="str">
        <v>كولي-يورينال فوار مطهر للمسالك وحرقان البول Effervescent Granules (زجاجة بودرة فوارة 60 جم)</v>
      </c>
      <c r="C128" t="str">
        <v>6229509509029</v>
      </c>
      <c r="D128" t="str">
        <v/>
      </c>
      <c r="E128" t="str">
        <v>قطعة</v>
      </c>
      <c r="F128">
        <v>22</v>
      </c>
      <c r="G128">
        <v>17.16</v>
      </c>
      <c r="H128">
        <v>25</v>
      </c>
      <c r="I128">
        <v>5</v>
      </c>
      <c r="J128" s="1">
        <f>F128-G128</f>
      </c>
      <c r="K128" s="2">
        <f>IF(G128&gt;0, (F128-G128)/G128, 0)</f>
      </c>
      <c r="L128" s="1">
        <f>H128*G128</f>
      </c>
      <c r="M128" s="1">
        <f>H128*F128</f>
      </c>
      <c r="N128" s="1">
        <f>M128-L128</f>
      </c>
      <c r="O128">
        <f>IF(H128&lt;=0, "نفد من المخزن", IF(H128&lt;=I128, "قارب على النفاد", "متوفر بالمخزن"))</f>
      </c>
      <c r="P128">
        <v>0</v>
      </c>
      <c r="Q128" t="str">
        <v>MED-0220</v>
      </c>
      <c r="R128" t="str">
        <v/>
      </c>
      <c r="S128" t="str">
        <v>Effervescent Granules</v>
      </c>
      <c r="T128" t="str">
        <v/>
      </c>
    </row>
    <row r="129">
      <c r="A129">
        <v>126</v>
      </c>
      <c r="B129" t="str">
        <v>بروكسيمول فوار لطرد حصوات الحالب والأملاح Effervescent Granules (زجاجة 60 جم)</v>
      </c>
      <c r="C129" t="str">
        <v>6229509509036</v>
      </c>
      <c r="D129" t="str">
        <v/>
      </c>
      <c r="E129" t="str">
        <v>قطعة</v>
      </c>
      <c r="F129">
        <v>20</v>
      </c>
      <c r="G129">
        <v>15.6</v>
      </c>
      <c r="H129">
        <v>25</v>
      </c>
      <c r="I129">
        <v>5</v>
      </c>
      <c r="J129" s="1">
        <f>F129-G129</f>
      </c>
      <c r="K129" s="2">
        <f>IF(G129&gt;0, (F129-G129)/G129, 0)</f>
      </c>
      <c r="L129" s="1">
        <f>H129*G129</f>
      </c>
      <c r="M129" s="1">
        <f>H129*F129</f>
      </c>
      <c r="N129" s="1">
        <f>M129-L129</f>
      </c>
      <c r="O129">
        <f>IF(H129&lt;=0, "نفد من المخزن", IF(H129&lt;=I129, "قارب على النفاد", "متوفر بالمخزن"))</f>
      </c>
      <c r="P129">
        <v>0</v>
      </c>
      <c r="Q129" t="str">
        <v>MED-0221</v>
      </c>
      <c r="R129" t="str">
        <v/>
      </c>
      <c r="S129" t="str">
        <v>Effervescent Granules</v>
      </c>
      <c r="T129" t="str">
        <v/>
      </c>
    </row>
    <row r="130">
      <c r="A130">
        <v>127</v>
      </c>
      <c r="B130" t="str">
        <v>رينال-إس فوار لحصوات الكلى ومدر للبول Effervescent Sachets (علبة 10 أكياس)</v>
      </c>
      <c r="C130" t="str">
        <v>6229509509043</v>
      </c>
      <c r="D130" t="str">
        <v/>
      </c>
      <c r="E130" t="str">
        <v>قطعة</v>
      </c>
      <c r="F130">
        <v>22</v>
      </c>
      <c r="G130">
        <v>17.16</v>
      </c>
      <c r="H130">
        <v>25</v>
      </c>
      <c r="I130">
        <v>5</v>
      </c>
      <c r="J130" s="1">
        <f>F130-G130</f>
      </c>
      <c r="K130" s="2">
        <f>IF(G130&gt;0, (F130-G130)/G130, 0)</f>
      </c>
      <c r="L130" s="1">
        <f>H130*G130</f>
      </c>
      <c r="M130" s="1">
        <f>H130*F130</f>
      </c>
      <c r="N130" s="1">
        <f>M130-L130</f>
      </c>
      <c r="O130">
        <f>IF(H130&lt;=0, "نفد من المخزن", IF(H130&lt;=I130, "قارب على النفاد", "متوفر بالمخزن"))</f>
      </c>
      <c r="P130">
        <v>0</v>
      </c>
      <c r="Q130" t="str">
        <v>MED-0222</v>
      </c>
      <c r="R130" t="str">
        <v/>
      </c>
      <c r="S130" t="str">
        <v>Effervescent Sachets</v>
      </c>
      <c r="T130" t="str">
        <v/>
      </c>
    </row>
    <row r="131">
      <c r="A131">
        <v>128</v>
      </c>
      <c r="B131" t="str">
        <v>يوروسولفين أكياس فوار للنقرس وتفتيت الحصوات Effervescent Granules (علبة 10 أكياس)</v>
      </c>
      <c r="C131" t="str">
        <v>6229509509050</v>
      </c>
      <c r="D131" t="str">
        <v/>
      </c>
      <c r="E131" t="str">
        <v>قطعة</v>
      </c>
      <c r="F131">
        <v>22</v>
      </c>
      <c r="G131">
        <v>17.16</v>
      </c>
      <c r="H131">
        <v>25</v>
      </c>
      <c r="I131">
        <v>5</v>
      </c>
      <c r="J131" s="1">
        <f>F131-G131</f>
      </c>
      <c r="K131" s="2">
        <f>IF(G131&gt;0, (F131-G131)/G131, 0)</f>
      </c>
      <c r="L131" s="1">
        <f>H131*G131</f>
      </c>
      <c r="M131" s="1">
        <f>H131*F131</f>
      </c>
      <c r="N131" s="1">
        <f>M131-L131</f>
      </c>
      <c r="O131">
        <f>IF(H131&lt;=0, "نفد من المخزن", IF(H131&lt;=I131, "قارب على النفاد", "متوفر بالمخزن"))</f>
      </c>
      <c r="P131">
        <v>0</v>
      </c>
      <c r="Q131" t="str">
        <v>MED-0223</v>
      </c>
      <c r="R131" t="str">
        <v/>
      </c>
      <c r="S131" t="str">
        <v>Effervescent Granules</v>
      </c>
      <c r="T131" t="str">
        <v/>
      </c>
    </row>
    <row r="132">
      <c r="A132">
        <v>129</v>
      </c>
      <c r="B132" t="str">
        <v>سيستون أقراص عشبية لتفتيت حصوات المسالك Ayurvedic Herbal Complex (علبة 60 قرص (برطمان))</v>
      </c>
      <c r="C132" t="str">
        <v>6229509509067</v>
      </c>
      <c r="D132" t="str">
        <v/>
      </c>
      <c r="E132" t="str">
        <v>قطعة</v>
      </c>
      <c r="F132">
        <v>65</v>
      </c>
      <c r="G132">
        <v>50.7</v>
      </c>
      <c r="H132">
        <v>25</v>
      </c>
      <c r="I132">
        <v>5</v>
      </c>
      <c r="J132" s="1">
        <f>F132-G132</f>
      </c>
      <c r="K132" s="2">
        <f>IF(G132&gt;0, (F132-G132)/G132, 0)</f>
      </c>
      <c r="L132" s="1">
        <f>H132*G132</f>
      </c>
      <c r="M132" s="1">
        <f>H132*F132</f>
      </c>
      <c r="N132" s="1">
        <f>M132-L132</f>
      </c>
      <c r="O132">
        <f>IF(H132&lt;=0, "نفد من المخزن", IF(H132&lt;=I132, "قارب على النفاد", "متوفر بالمخزن"))</f>
      </c>
      <c r="P132">
        <v>0</v>
      </c>
      <c r="Q132" t="str">
        <v>MED-0224</v>
      </c>
      <c r="R132" t="str">
        <v/>
      </c>
      <c r="S132" t="str">
        <v>Ayurvedic Herbal Complex</v>
      </c>
      <c r="T132" t="str">
        <v/>
      </c>
    </row>
    <row r="133">
      <c r="A133">
        <v>130</v>
      </c>
      <c r="B133" t="str">
        <v>رواتنكس كبسولات لحصوات المسالك والمغص الكلوي Terpene Combination (علبة 3 شريط - 45 كبسولة)</v>
      </c>
      <c r="C133" t="str">
        <v>6229509509074</v>
      </c>
      <c r="D133" t="str">
        <v/>
      </c>
      <c r="E133" t="str">
        <v>قطعة</v>
      </c>
      <c r="F133">
        <v>54</v>
      </c>
      <c r="G133">
        <v>42.12</v>
      </c>
      <c r="H133">
        <v>25</v>
      </c>
      <c r="I133">
        <v>5</v>
      </c>
      <c r="J133" s="1">
        <f>F133-G133</f>
      </c>
      <c r="K133" s="2">
        <f>IF(G133&gt;0, (F133-G133)/G133, 0)</f>
      </c>
      <c r="L133" s="1">
        <f>H133*G133</f>
      </c>
      <c r="M133" s="1">
        <f>H133*F133</f>
      </c>
      <c r="N133" s="1">
        <f>M133-L133</f>
      </c>
      <c r="O133">
        <f>IF(H133&lt;=0, "نفد من المخزن", IF(H133&lt;=I133, "قارب على النفاد", "متوفر بالمخزن"))</f>
      </c>
      <c r="P133">
        <v>0</v>
      </c>
      <c r="Q133" t="str">
        <v>MED-0225</v>
      </c>
      <c r="R133" t="str">
        <v/>
      </c>
      <c r="S133" t="str">
        <v>Terpene Combination</v>
      </c>
      <c r="T133" t="str">
        <v/>
      </c>
    </row>
    <row r="134">
      <c r="A134">
        <v>131</v>
      </c>
      <c r="B134" t="str">
        <v>تامسولين 0.4 مجم كبسولات تضخم البروستاتا 0.4mg (علبة 3 شريط - 30 كبسولة)</v>
      </c>
      <c r="C134" t="str">
        <v>6229509509081</v>
      </c>
      <c r="D134" t="str">
        <v/>
      </c>
      <c r="E134" t="str">
        <v>قطعة</v>
      </c>
      <c r="F134">
        <v>90</v>
      </c>
      <c r="G134">
        <v>70.2</v>
      </c>
      <c r="H134">
        <v>25</v>
      </c>
      <c r="I134">
        <v>5</v>
      </c>
      <c r="J134" s="1">
        <f>F134-G134</f>
      </c>
      <c r="K134" s="2">
        <f>IF(G134&gt;0, (F134-G134)/G134, 0)</f>
      </c>
      <c r="L134" s="1">
        <f>H134*G134</f>
      </c>
      <c r="M134" s="1">
        <f>H134*F134</f>
      </c>
      <c r="N134" s="1">
        <f>M134-L134</f>
      </c>
      <c r="O134">
        <f>IF(H134&lt;=0, "نفد من المخزن", IF(H134&lt;=I134, "قارب على النفاد", "متوفر بالمخزن"))</f>
      </c>
      <c r="P134">
        <v>0</v>
      </c>
      <c r="Q134" t="str">
        <v>MED-0226</v>
      </c>
      <c r="R134" t="str">
        <v/>
      </c>
      <c r="S134" t="str">
        <v>0.4mg</v>
      </c>
      <c r="T134" t="str">
        <v/>
      </c>
    </row>
    <row r="135">
      <c r="A135">
        <v>132</v>
      </c>
      <c r="B135" t="str">
        <v>أومنك أوكاس 0.4 مجم أقراص بروستاتا 0.4mg (علبة 3 شريط - 30 قرص)</v>
      </c>
      <c r="C135" t="str">
        <v>6229509509098</v>
      </c>
      <c r="D135" t="str">
        <v/>
      </c>
      <c r="E135" t="str">
        <v>قطعة</v>
      </c>
      <c r="F135">
        <v>175</v>
      </c>
      <c r="G135">
        <v>136.5</v>
      </c>
      <c r="H135">
        <v>25</v>
      </c>
      <c r="I135">
        <v>5</v>
      </c>
      <c r="J135" s="1">
        <f>F135-G135</f>
      </c>
      <c r="K135" s="2">
        <f>IF(G135&gt;0, (F135-G135)/G135, 0)</f>
      </c>
      <c r="L135" s="1">
        <f>H135*G135</f>
      </c>
      <c r="M135" s="1">
        <f>H135*F135</f>
      </c>
      <c r="N135" s="1">
        <f>M135-L135</f>
      </c>
      <c r="O135">
        <f>IF(H135&lt;=0, "نفد من المخزن", IF(H135&lt;=I135, "قارب على النفاد", "متوفر بالمخزن"))</f>
      </c>
      <c r="P135">
        <v>0</v>
      </c>
      <c r="Q135" t="str">
        <v>MED-0227</v>
      </c>
      <c r="R135" t="str">
        <v/>
      </c>
      <c r="S135" t="str">
        <v>0.4mg</v>
      </c>
      <c r="T135" t="str">
        <v/>
      </c>
    </row>
    <row r="136">
      <c r="A136">
        <v>133</v>
      </c>
      <c r="B136" t="str">
        <v>تيجريتول 200 مجم أقراص صرع والتهاب عصب 200mg (علبة 3 شريط - 30 قرص)</v>
      </c>
      <c r="C136" t="str">
        <v>6229509509104</v>
      </c>
      <c r="D136" t="str">
        <v/>
      </c>
      <c r="E136" t="str">
        <v>قطعة</v>
      </c>
      <c r="F136">
        <v>48</v>
      </c>
      <c r="G136">
        <v>37.44</v>
      </c>
      <c r="H136">
        <v>25</v>
      </c>
      <c r="I136">
        <v>5</v>
      </c>
      <c r="J136" s="1">
        <f>F136-G136</f>
      </c>
      <c r="K136" s="2">
        <f>IF(G136&gt;0, (F136-G136)/G136, 0)</f>
      </c>
      <c r="L136" s="1">
        <f>H136*G136</f>
      </c>
      <c r="M136" s="1">
        <f>H136*F136</f>
      </c>
      <c r="N136" s="1">
        <f>M136-L136</f>
      </c>
      <c r="O136">
        <f>IF(H136&lt;=0, "نفد من المخزن", IF(H136&lt;=I136, "قارب على النفاد", "متوفر بالمخزن"))</f>
      </c>
      <c r="P136">
        <v>0</v>
      </c>
      <c r="Q136" t="str">
        <v>MED-0228</v>
      </c>
      <c r="R136" t="str">
        <v/>
      </c>
      <c r="S136" t="str">
        <v>200mg</v>
      </c>
      <c r="T136" t="str">
        <v/>
      </c>
    </row>
    <row r="137">
      <c r="A137">
        <v>134</v>
      </c>
      <c r="B137" t="str">
        <v>نيورونتين 300 مجم كبسولات لالتهاب الأعصاب 300mg (علبة 3 شريط - 30 كبسولة)</v>
      </c>
      <c r="C137" t="str">
        <v>6229509509111</v>
      </c>
      <c r="D137" t="str">
        <v/>
      </c>
      <c r="E137" t="str">
        <v>قطعة</v>
      </c>
      <c r="F137">
        <v>120</v>
      </c>
      <c r="G137">
        <v>93.6</v>
      </c>
      <c r="H137">
        <v>25</v>
      </c>
      <c r="I137">
        <v>5</v>
      </c>
      <c r="J137" s="1">
        <f>F137-G137</f>
      </c>
      <c r="K137" s="2">
        <f>IF(G137&gt;0, (F137-G137)/G137, 0)</f>
      </c>
      <c r="L137" s="1">
        <f>H137*G137</f>
      </c>
      <c r="M137" s="1">
        <f>H137*F137</f>
      </c>
      <c r="N137" s="1">
        <f>M137-L137</f>
      </c>
      <c r="O137">
        <f>IF(H137&lt;=0, "نفد من المخزن", IF(H137&lt;=I137, "قارب على النفاد", "متوفر بالمخزن"))</f>
      </c>
      <c r="P137">
        <v>0</v>
      </c>
      <c r="Q137" t="str">
        <v>MED-0229</v>
      </c>
      <c r="R137" t="str">
        <v/>
      </c>
      <c r="S137" t="str">
        <v>300mg</v>
      </c>
      <c r="T137" t="str">
        <v/>
      </c>
    </row>
    <row r="138">
      <c r="A138">
        <v>135</v>
      </c>
      <c r="B138" t="str">
        <v>ليريكا 75 مجم كبسولات آلام الأعصاب 75mg (علبة 1 شريط - 14 كبسولة)</v>
      </c>
      <c r="C138" t="str">
        <v>6229509509128</v>
      </c>
      <c r="D138" t="str">
        <v/>
      </c>
      <c r="E138" t="str">
        <v>قطعة</v>
      </c>
      <c r="F138">
        <v>180</v>
      </c>
      <c r="G138">
        <v>140.4</v>
      </c>
      <c r="H138">
        <v>25</v>
      </c>
      <c r="I138">
        <v>5</v>
      </c>
      <c r="J138" s="1">
        <f>F138-G138</f>
      </c>
      <c r="K138" s="2">
        <f>IF(G138&gt;0, (F138-G138)/G138, 0)</f>
      </c>
      <c r="L138" s="1">
        <f>H138*G138</f>
      </c>
      <c r="M138" s="1">
        <f>H138*F138</f>
      </c>
      <c r="N138" s="1">
        <f>M138-L138</f>
      </c>
      <c r="O138">
        <f>IF(H138&lt;=0, "نفد من المخزن", IF(H138&lt;=I138, "قارب على النفاد", "متوفر بالمخزن"))</f>
      </c>
      <c r="P138">
        <v>0</v>
      </c>
      <c r="Q138" t="str">
        <v>MED-0230</v>
      </c>
      <c r="R138" t="str">
        <v/>
      </c>
      <c r="S138" t="str">
        <v>75mg</v>
      </c>
      <c r="T138" t="str">
        <v/>
      </c>
    </row>
    <row r="139">
      <c r="A139">
        <v>136</v>
      </c>
      <c r="B139" t="str">
        <v>جابابنتين 300 مجم كبسولات 300mg (علبة 3 شريط - 30 كبسولة)</v>
      </c>
      <c r="C139" t="str">
        <v>6229509509135</v>
      </c>
      <c r="D139" t="str">
        <v/>
      </c>
      <c r="E139" t="str">
        <v>قطعة</v>
      </c>
      <c r="F139">
        <v>68</v>
      </c>
      <c r="G139">
        <v>53.04</v>
      </c>
      <c r="H139">
        <v>25</v>
      </c>
      <c r="I139">
        <v>5</v>
      </c>
      <c r="J139" s="1">
        <f>F139-G139</f>
      </c>
      <c r="K139" s="2">
        <f>IF(G139&gt;0, (F139-G139)/G139, 0)</f>
      </c>
      <c r="L139" s="1">
        <f>H139*G139</f>
      </c>
      <c r="M139" s="1">
        <f>H139*F139</f>
      </c>
      <c r="N139" s="1">
        <f>M139-L139</f>
      </c>
      <c r="O139">
        <f>IF(H139&lt;=0, "نفد من المخزن", IF(H139&lt;=I139, "قارب على النفاد", "متوفر بالمخزن"))</f>
      </c>
      <c r="P139">
        <v>0</v>
      </c>
      <c r="Q139" t="str">
        <v>MED-0231</v>
      </c>
      <c r="R139" t="str">
        <v/>
      </c>
      <c r="S139" t="str">
        <v>300mg</v>
      </c>
      <c r="T139" t="str">
        <v/>
      </c>
    </row>
    <row r="140">
      <c r="A140">
        <v>137</v>
      </c>
      <c r="B140" t="str">
        <v>بيتاسيرك 16 مجم أقراص للدوار وطنين الأذن 16mg (علبة 3 شريط - 60 قرص)</v>
      </c>
      <c r="C140" t="str">
        <v>6229509509142</v>
      </c>
      <c r="D140" t="str">
        <v/>
      </c>
      <c r="E140" t="str">
        <v>قطعة</v>
      </c>
      <c r="F140">
        <v>135</v>
      </c>
      <c r="G140">
        <v>105.3</v>
      </c>
      <c r="H140">
        <v>25</v>
      </c>
      <c r="I140">
        <v>5</v>
      </c>
      <c r="J140" s="1">
        <f>F140-G140</f>
      </c>
      <c r="K140" s="2">
        <f>IF(G140&gt;0, (F140-G140)/G140, 0)</f>
      </c>
      <c r="L140" s="1">
        <f>H140*G140</f>
      </c>
      <c r="M140" s="1">
        <f>H140*F140</f>
      </c>
      <c r="N140" s="1">
        <f>M140-L140</f>
      </c>
      <c r="O140">
        <f>IF(H140&lt;=0, "نفد من المخزن", IF(H140&lt;=I140, "قارب على النفاد", "متوفر بالمخزن"))</f>
      </c>
      <c r="P140">
        <v>0</v>
      </c>
      <c r="Q140" t="str">
        <v>MED-0232</v>
      </c>
      <c r="R140" t="str">
        <v/>
      </c>
      <c r="S140" t="str">
        <v>16mg</v>
      </c>
      <c r="T140" t="str">
        <v/>
      </c>
    </row>
    <row r="141">
      <c r="A141">
        <v>138</v>
      </c>
      <c r="B141" t="str">
        <v>بيتاسيرك 24 مجم أقراص 24mg (علبة 3 شريط - 60 قرص)</v>
      </c>
      <c r="C141" t="str">
        <v>6229509509159</v>
      </c>
      <c r="D141" t="str">
        <v/>
      </c>
      <c r="E141" t="str">
        <v>قطعة</v>
      </c>
      <c r="F141">
        <v>165</v>
      </c>
      <c r="G141">
        <v>128.7</v>
      </c>
      <c r="H141">
        <v>25</v>
      </c>
      <c r="I141">
        <v>5</v>
      </c>
      <c r="J141" s="1">
        <f>F141-G141</f>
      </c>
      <c r="K141" s="2">
        <f>IF(G141&gt;0, (F141-G141)/G141, 0)</f>
      </c>
      <c r="L141" s="1">
        <f>H141*G141</f>
      </c>
      <c r="M141" s="1">
        <f>H141*F141</f>
      </c>
      <c r="N141" s="1">
        <f>M141-L141</f>
      </c>
      <c r="O141">
        <f>IF(H141&lt;=0, "نفد من المخزن", IF(H141&lt;=I141, "قارب على النفاد", "متوفر بالمخزن"))</f>
      </c>
      <c r="P141">
        <v>0</v>
      </c>
      <c r="Q141" t="str">
        <v>MED-0233</v>
      </c>
      <c r="R141" t="str">
        <v/>
      </c>
      <c r="S141" t="str">
        <v>24mg</v>
      </c>
      <c r="T141" t="str">
        <v/>
      </c>
    </row>
    <row r="142">
      <c r="A142">
        <v>139</v>
      </c>
      <c r="B142" t="str">
        <v>فيرسيرك 16 مجم أقراص للدوار 16mg (علبة 3 شريط - 30 قرص)</v>
      </c>
      <c r="C142" t="str">
        <v>6229509509166</v>
      </c>
      <c r="D142" t="str">
        <v/>
      </c>
      <c r="E142" t="str">
        <v>قطعة</v>
      </c>
      <c r="F142">
        <v>52</v>
      </c>
      <c r="G142">
        <v>40.56</v>
      </c>
      <c r="H142">
        <v>25</v>
      </c>
      <c r="I142">
        <v>5</v>
      </c>
      <c r="J142" s="1">
        <f>F142-G142</f>
      </c>
      <c r="K142" s="2">
        <f>IF(G142&gt;0, (F142-G142)/G142, 0)</f>
      </c>
      <c r="L142" s="1">
        <f>H142*G142</f>
      </c>
      <c r="M142" s="1">
        <f>H142*F142</f>
      </c>
      <c r="N142" s="1">
        <f>M142-L142</f>
      </c>
      <c r="O142">
        <f>IF(H142&lt;=0, "نفد من المخزن", IF(H142&lt;=I142, "قارب على النفاد", "متوفر بالمخزن"))</f>
      </c>
      <c r="P142">
        <v>0</v>
      </c>
      <c r="Q142" t="str">
        <v>MED-0234</v>
      </c>
      <c r="R142" t="str">
        <v/>
      </c>
      <c r="S142" t="str">
        <v>16mg</v>
      </c>
      <c r="T142" t="str">
        <v/>
      </c>
    </row>
    <row r="143">
      <c r="A143">
        <v>140</v>
      </c>
      <c r="B143" t="str">
        <v>ستوجيرون 25 مجم أقراص للدوار وحركة السفر 25mg (علبة 3 شريط - 30 قرص)</v>
      </c>
      <c r="C143" t="str">
        <v>6229509509173</v>
      </c>
      <c r="D143" t="str">
        <v/>
      </c>
      <c r="E143" t="str">
        <v>قطعة</v>
      </c>
      <c r="F143">
        <v>36</v>
      </c>
      <c r="G143">
        <v>28.08</v>
      </c>
      <c r="H143">
        <v>25</v>
      </c>
      <c r="I143">
        <v>5</v>
      </c>
      <c r="J143" s="1">
        <f>F143-G143</f>
      </c>
      <c r="K143" s="2">
        <f>IF(G143&gt;0, (F143-G143)/G143, 0)</f>
      </c>
      <c r="L143" s="1">
        <f>H143*G143</f>
      </c>
      <c r="M143" s="1">
        <f>H143*F143</f>
      </c>
      <c r="N143" s="1">
        <f>M143-L143</f>
      </c>
      <c r="O143">
        <f>IF(H143&lt;=0, "نفد من المخزن", IF(H143&lt;=I143, "قارب على النفاد", "متوفر بالمخزن"))</f>
      </c>
      <c r="P143">
        <v>0</v>
      </c>
      <c r="Q143" t="str">
        <v>MED-0235</v>
      </c>
      <c r="R143" t="str">
        <v/>
      </c>
      <c r="S143" t="str">
        <v>25mg</v>
      </c>
      <c r="T143" t="str">
        <v/>
      </c>
    </row>
    <row r="144">
      <c r="A144">
        <v>141</v>
      </c>
      <c r="B144" t="str">
        <v>ترينتال 400 مجم أقراص لتحسين الدورة الدموية 400mg (علبة 2 شريط - 20 قرص)</v>
      </c>
      <c r="C144" t="str">
        <v>6229509509180</v>
      </c>
      <c r="D144" t="str">
        <v/>
      </c>
      <c r="E144" t="str">
        <v>قطعة</v>
      </c>
      <c r="F144">
        <v>65</v>
      </c>
      <c r="G144">
        <v>50.7</v>
      </c>
      <c r="H144">
        <v>25</v>
      </c>
      <c r="I144">
        <v>5</v>
      </c>
      <c r="J144" s="1">
        <f>F144-G144</f>
      </c>
      <c r="K144" s="2">
        <f>IF(G144&gt;0, (F144-G144)/G144, 0)</f>
      </c>
      <c r="L144" s="1">
        <f>H144*G144</f>
      </c>
      <c r="M144" s="1">
        <f>H144*F144</f>
      </c>
      <c r="N144" s="1">
        <f>M144-L144</f>
      </c>
      <c r="O144">
        <f>IF(H144&lt;=0, "نفد من المخزن", IF(H144&lt;=I144, "قارب على النفاد", "متوفر بالمخزن"))</f>
      </c>
      <c r="P144">
        <v>0</v>
      </c>
      <c r="Q144" t="str">
        <v>MED-0236</v>
      </c>
      <c r="R144" t="str">
        <v/>
      </c>
      <c r="S144" t="str">
        <v>400mg</v>
      </c>
      <c r="T144" t="str">
        <v/>
      </c>
    </row>
    <row r="145">
      <c r="A145">
        <v>142</v>
      </c>
      <c r="B145" t="str">
        <v>ميج switch أقراص للصداع النصفي الحاد 2.5mg (علبة 1 شريط - 2 قرص)</v>
      </c>
      <c r="C145" t="str">
        <v>6229509509197</v>
      </c>
      <c r="D145" t="str">
        <v/>
      </c>
      <c r="E145" t="str">
        <v>قطعة</v>
      </c>
      <c r="F145">
        <v>45</v>
      </c>
      <c r="G145">
        <v>35.1</v>
      </c>
      <c r="H145">
        <v>25</v>
      </c>
      <c r="I145">
        <v>5</v>
      </c>
      <c r="J145" s="1">
        <f>F145-G145</f>
      </c>
      <c r="K145" s="2">
        <f>IF(G145&gt;0, (F145-G145)/G145, 0)</f>
      </c>
      <c r="L145" s="1">
        <f>H145*G145</f>
      </c>
      <c r="M145" s="1">
        <f>H145*F145</f>
      </c>
      <c r="N145" s="1">
        <f>M145-L145</f>
      </c>
      <c r="O145">
        <f>IF(H145&lt;=0, "نفد من المخزن", IF(H145&lt;=I145, "قارب على النفاد", "متوفر بالمخزن"))</f>
      </c>
      <c r="P145">
        <v>0</v>
      </c>
      <c r="Q145" t="str">
        <v>MED-0237</v>
      </c>
      <c r="R145" t="str">
        <v/>
      </c>
      <c r="S145" t="str">
        <v>2.5mg</v>
      </c>
      <c r="T145" t="str">
        <v/>
      </c>
    </row>
    <row r="146">
      <c r="A146" t="str">
        <v>الإجمالي</v>
      </c>
      <c r="B146" t="str">
        <v>عدد الأصناف: 142</v>
      </c>
      <c r="C146" t="str">
        <v/>
      </c>
      <c r="D146" t="str">
        <v/>
      </c>
      <c r="E146" t="str">
        <v/>
      </c>
      <c r="F146" s="1">
        <f>AVERAGE(F4:F145)</f>
      </c>
      <c r="G146" s="1">
        <f>AVERAGE(G4:G145)</f>
      </c>
      <c r="H146" s="3">
        <f>SUM(H4:H145)</f>
      </c>
      <c r="I146" s="3">
        <f>SUM(I4:I145)</f>
      </c>
      <c r="J146" s="1">
        <f>AVERAGE(J4:J145)</f>
      </c>
      <c r="K146" s="2">
        <f>AVERAGE(K4:K145)</f>
      </c>
      <c r="L146" s="1">
        <f>SUM(L4:L145)</f>
      </c>
      <c r="M146" s="1">
        <f>SUM(M4:M145)</f>
      </c>
      <c r="N146" s="1">
        <f>SUM(N4:N145)</f>
      </c>
      <c r="O146" t="str">
        <v>محسوب بمعادلات إكسل</v>
      </c>
      <c r="P146" t="str">
        <v/>
      </c>
      <c r="Q146" t="str">
        <v/>
      </c>
      <c r="R146" t="str">
        <v/>
      </c>
      <c r="S146" t="str">
        <v/>
      </c>
      <c r="T146" t="str">
        <v/>
      </c>
    </row>
  </sheetData>
  <mergeCells count="2">
    <mergeCell ref="A1:T1"/>
    <mergeCell ref="A2:T2"/>
  </mergeCells>
  <ignoredErrors>
    <ignoredError numberStoredAsText="1" sqref="A1:T1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T21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[أدوية الأطفال والرضع]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بروفين شراب أطفال 100 مجم/5 مل 100mg/5ml (زجاجة 150 مل)</v>
      </c>
      <c r="C4" t="str">
        <v>6221103003033</v>
      </c>
      <c r="D4" t="str">
        <v/>
      </c>
      <c r="E4" t="str">
        <v>قطعة</v>
      </c>
      <c r="F4">
        <v>32</v>
      </c>
      <c r="G4">
        <v>24.96</v>
      </c>
      <c r="H4">
        <v>25</v>
      </c>
      <c r="I4">
        <v>5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MED-0013</v>
      </c>
      <c r="R4" t="str">
        <v/>
      </c>
      <c r="S4" t="str">
        <v>100mg/5ml</v>
      </c>
      <c r="T4" t="str">
        <v/>
      </c>
    </row>
    <row r="5">
      <c r="A5">
        <v>2</v>
      </c>
      <c r="B5" t="str">
        <v>بارامول شراب أطفال 120mg/5ml (زجاجة 125 مل)</v>
      </c>
      <c r="C5" t="str">
        <v>6221104004023</v>
      </c>
      <c r="D5" t="str">
        <v/>
      </c>
      <c r="E5" t="str">
        <v>قطعة</v>
      </c>
      <c r="F5">
        <v>18</v>
      </c>
      <c r="G5">
        <v>14.04</v>
      </c>
      <c r="H5">
        <v>25</v>
      </c>
      <c r="I5">
        <v>5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MED-0015</v>
      </c>
      <c r="R5" t="str">
        <v/>
      </c>
      <c r="S5" t="str">
        <v>120mg/5ml</v>
      </c>
      <c r="T5" t="str">
        <v/>
      </c>
    </row>
    <row r="6">
      <c r="A6">
        <v>3</v>
      </c>
      <c r="B6" t="str">
        <v>سيتال نقط بالفم للرضع 100mg/ml (قطارة 15 مل)</v>
      </c>
      <c r="C6" t="str">
        <v>6221105005020</v>
      </c>
      <c r="D6" t="str">
        <v/>
      </c>
      <c r="E6" t="str">
        <v>قطعة</v>
      </c>
      <c r="F6">
        <v>15</v>
      </c>
      <c r="G6">
        <v>11.7</v>
      </c>
      <c r="H6">
        <v>25</v>
      </c>
      <c r="I6">
        <v>5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MED-0017</v>
      </c>
      <c r="R6" t="str">
        <v/>
      </c>
      <c r="S6" t="str">
        <v>100mg/ml</v>
      </c>
      <c r="T6" t="str">
        <v/>
      </c>
    </row>
    <row r="7">
      <c r="A7">
        <v>4</v>
      </c>
      <c r="B7" t="str">
        <v>سيتال 120 مجم لبوس أطفال 120mg (شريط 5 لبوسات)</v>
      </c>
      <c r="C7" t="str">
        <v>6221105005037</v>
      </c>
      <c r="D7" t="str">
        <v/>
      </c>
      <c r="E7" t="str">
        <v>قطعة</v>
      </c>
      <c r="F7">
        <v>16</v>
      </c>
      <c r="G7">
        <v>12.48</v>
      </c>
      <c r="H7">
        <v>25</v>
      </c>
      <c r="I7">
        <v>5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MED-0018</v>
      </c>
      <c r="R7" t="str">
        <v/>
      </c>
      <c r="S7" t="str">
        <v>120mg</v>
      </c>
      <c r="T7" t="str">
        <v/>
      </c>
    </row>
    <row r="8">
      <c r="A8">
        <v>5</v>
      </c>
      <c r="B8" t="str">
        <v>كونجستال شراب أطفال 160mg/15mg/1mg per 5ml (زجاجة 120 مل)</v>
      </c>
      <c r="C8" t="str">
        <v>6222002002039</v>
      </c>
      <c r="D8" t="str">
        <v/>
      </c>
      <c r="E8" t="str">
        <v>قطعة</v>
      </c>
      <c r="F8">
        <v>24</v>
      </c>
      <c r="G8">
        <v>18.72</v>
      </c>
      <c r="H8">
        <v>25</v>
      </c>
      <c r="I8">
        <v>5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MED-0031</v>
      </c>
      <c r="R8" t="str">
        <v/>
      </c>
      <c r="S8" t="str">
        <v>160mg/15mg/1mg per 5ml</v>
      </c>
      <c r="T8" t="str">
        <v/>
      </c>
    </row>
    <row r="9">
      <c r="A9">
        <v>6</v>
      </c>
      <c r="B9" t="str">
        <v>تلفاست شراب أطفال 30 مجم/5 مل 30mg/5ml (زجاجة 100 مل)</v>
      </c>
      <c r="C9" t="str">
        <v>6222002002107</v>
      </c>
      <c r="D9" t="str">
        <v/>
      </c>
      <c r="E9" t="str">
        <v>قطعة</v>
      </c>
      <c r="F9">
        <v>45</v>
      </c>
      <c r="G9">
        <v>35.1</v>
      </c>
      <c r="H9">
        <v>25</v>
      </c>
      <c r="I9">
        <v>5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MED-0038</v>
      </c>
      <c r="R9" t="str">
        <v/>
      </c>
      <c r="S9" t="str">
        <v>30mg/5ml</v>
      </c>
      <c r="T9" t="str">
        <v/>
      </c>
    </row>
    <row r="10">
      <c r="A10">
        <v>7</v>
      </c>
      <c r="B10" t="str">
        <v>زيرتك نقط بالفم للأطفال 10mg/ml (قطارة 15 مل)</v>
      </c>
      <c r="C10" t="str">
        <v>6222002002121</v>
      </c>
      <c r="D10" t="str">
        <v/>
      </c>
      <c r="E10" t="str">
        <v>قطعة</v>
      </c>
      <c r="F10">
        <v>36</v>
      </c>
      <c r="G10">
        <v>28.08</v>
      </c>
      <c r="H10">
        <v>25</v>
      </c>
      <c r="I10">
        <v>5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MED-0040</v>
      </c>
      <c r="R10" t="str">
        <v/>
      </c>
      <c r="S10" t="str">
        <v>10mg/ml</v>
      </c>
      <c r="T10" t="str">
        <v/>
      </c>
    </row>
    <row r="11">
      <c r="A11">
        <v>8</v>
      </c>
      <c r="B11" t="str">
        <v>زيرتك شراب أطفال 5mg/5ml (زجاجة 100 مل)</v>
      </c>
      <c r="C11" t="str">
        <v>6222002002138</v>
      </c>
      <c r="D11" t="str">
        <v/>
      </c>
      <c r="E11" t="str">
        <v>قطعة</v>
      </c>
      <c r="F11">
        <v>38</v>
      </c>
      <c r="G11">
        <v>29.64</v>
      </c>
      <c r="H11">
        <v>25</v>
      </c>
      <c r="I11">
        <v>5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MED-0041</v>
      </c>
      <c r="R11" t="str">
        <v/>
      </c>
      <c r="S11" t="str">
        <v>5mg/5ml</v>
      </c>
      <c r="T11" t="str">
        <v/>
      </c>
    </row>
    <row r="12">
      <c r="A12">
        <v>9</v>
      </c>
      <c r="B12" t="str">
        <v>كلاريتين شراب أطفال 5mg/5ml (زجاجة 100 مل)</v>
      </c>
      <c r="C12" t="str">
        <v>6222002002152</v>
      </c>
      <c r="D12" t="str">
        <v/>
      </c>
      <c r="E12" t="str">
        <v>قطعة</v>
      </c>
      <c r="F12">
        <v>42</v>
      </c>
      <c r="G12">
        <v>32.76</v>
      </c>
      <c r="H12">
        <v>25</v>
      </c>
      <c r="I12">
        <v>5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MED-0043</v>
      </c>
      <c r="R12" t="str">
        <v/>
      </c>
      <c r="S12" t="str">
        <v>5mg/5ml</v>
      </c>
      <c r="T12" t="str">
        <v/>
      </c>
    </row>
    <row r="13">
      <c r="A13">
        <v>10</v>
      </c>
      <c r="B13" t="str">
        <v>بلسم شراب كحة للأطفال بخلاصة الأعشاب Herbal Extract (زجاجة 120 مل)</v>
      </c>
      <c r="C13" t="str">
        <v>6222002002190</v>
      </c>
      <c r="D13" t="str">
        <v/>
      </c>
      <c r="E13" t="str">
        <v>قطعة</v>
      </c>
      <c r="F13">
        <v>36</v>
      </c>
      <c r="G13">
        <v>28.08</v>
      </c>
      <c r="H13">
        <v>25</v>
      </c>
      <c r="I13">
        <v>5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MED-0047</v>
      </c>
      <c r="R13" t="str">
        <v/>
      </c>
      <c r="S13" t="str">
        <v>Herbal Extract</v>
      </c>
      <c r="T13" t="str">
        <v/>
      </c>
    </row>
    <row r="14">
      <c r="A14">
        <v>11</v>
      </c>
      <c r="B14" t="str">
        <v>فينتولين شراب موسع للشعب أطفال 2mg/5ml (زجاجة 120 مل)</v>
      </c>
      <c r="C14" t="str">
        <v>6222002002251</v>
      </c>
      <c r="D14" t="str">
        <v/>
      </c>
      <c r="E14" t="str">
        <v>قطعة</v>
      </c>
      <c r="F14">
        <v>22</v>
      </c>
      <c r="G14">
        <v>17.16</v>
      </c>
      <c r="H14">
        <v>25</v>
      </c>
      <c r="I14">
        <v>5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MED-0053</v>
      </c>
      <c r="R14" t="str">
        <v/>
      </c>
      <c r="S14" t="str">
        <v>2mg/5ml</v>
      </c>
      <c r="T14" t="str">
        <v/>
      </c>
    </row>
    <row r="15">
      <c r="A15">
        <v>12</v>
      </c>
      <c r="B15" t="str">
        <v>هاي-بيوتك 457 مجم معلق أطفال 457mg/5ml (زجاجة 80 مل)</v>
      </c>
      <c r="C15" t="str">
        <v>6223003003095</v>
      </c>
      <c r="D15" t="str">
        <v/>
      </c>
      <c r="E15" t="str">
        <v>قطعة</v>
      </c>
      <c r="F15">
        <v>68</v>
      </c>
      <c r="G15">
        <v>53.04</v>
      </c>
      <c r="H15">
        <v>25</v>
      </c>
      <c r="I15">
        <v>5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MED-0063</v>
      </c>
      <c r="R15" t="str">
        <v/>
      </c>
      <c r="S15" t="str">
        <v>457mg/5ml</v>
      </c>
      <c r="T15" t="str">
        <v/>
      </c>
    </row>
    <row r="16">
      <c r="A16">
        <v>13</v>
      </c>
      <c r="B16" t="str">
        <v>سوتريم شراب معلق أطفال 200mg/40mg per 5ml (زجاجة 100 مل)</v>
      </c>
      <c r="C16" t="str">
        <v>6223003003231</v>
      </c>
      <c r="D16" t="str">
        <v/>
      </c>
      <c r="E16" t="str">
        <v>قطعة</v>
      </c>
      <c r="F16">
        <v>18</v>
      </c>
      <c r="G16">
        <v>14.04</v>
      </c>
      <c r="H16">
        <v>25</v>
      </c>
      <c r="I16">
        <v>5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MED-0077</v>
      </c>
      <c r="R16" t="str">
        <v/>
      </c>
      <c r="S16" t="str">
        <v>200mg/40mg per 5ml</v>
      </c>
      <c r="T16" t="str">
        <v/>
      </c>
    </row>
    <row r="17">
      <c r="A17">
        <v>14</v>
      </c>
      <c r="B17" t="str">
        <v>ديفارول-إس 200,000 وحدة حقن فيتامين د3 200,000 IU/2ml (علبة أمبولة واحدة)</v>
      </c>
      <c r="C17" t="str">
        <v>6228008008104</v>
      </c>
      <c r="D17" t="str">
        <v/>
      </c>
      <c r="E17" t="str">
        <v>قطعة</v>
      </c>
      <c r="F17">
        <v>25</v>
      </c>
      <c r="G17">
        <v>19.5</v>
      </c>
      <c r="H17">
        <v>25</v>
      </c>
      <c r="I17">
        <v>5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MED-0189</v>
      </c>
      <c r="R17" t="str">
        <v/>
      </c>
      <c r="S17" t="str">
        <v>200,000 IU/2ml</v>
      </c>
      <c r="T17" t="str">
        <v/>
      </c>
    </row>
    <row r="18">
      <c r="A18">
        <v>15</v>
      </c>
      <c r="B18" t="str">
        <v>فيدروب نقط فيتامين د3 للأطفال بالفم 2800 IU/ml (قطارة 15 مل)</v>
      </c>
      <c r="C18" t="str">
        <v>6228008008111</v>
      </c>
      <c r="D18" t="str">
        <v/>
      </c>
      <c r="E18" t="str">
        <v>قطعة</v>
      </c>
      <c r="F18">
        <v>18</v>
      </c>
      <c r="G18">
        <v>14.04</v>
      </c>
      <c r="H18">
        <v>25</v>
      </c>
      <c r="I18">
        <v>5</v>
      </c>
      <c r="J18" s="1">
        <f>F18-G18</f>
      </c>
      <c r="K18" s="2">
        <f>IF(G18&gt;0, (F18-G18)/G18, 0)</f>
      </c>
      <c r="L18" s="1">
        <f>H18*G18</f>
      </c>
      <c r="M18" s="1">
        <f>H18*F18</f>
      </c>
      <c r="N18" s="1">
        <f>M18-L18</f>
      </c>
      <c r="O18">
        <f>IF(H18&lt;=0, "نفد من المخزن", IF(H18&lt;=I18, "قارب على النفاد", "متوفر بالمخزن"))</f>
      </c>
      <c r="P18">
        <v>0</v>
      </c>
      <c r="Q18" t="str">
        <v>MED-0190</v>
      </c>
      <c r="R18" t="str">
        <v/>
      </c>
      <c r="S18" t="str">
        <v>2800 IU/ml</v>
      </c>
      <c r="T18" t="str">
        <v/>
      </c>
    </row>
    <row r="19">
      <c r="A19">
        <v>16</v>
      </c>
      <c r="B19" t="str">
        <v>أوسوفورتين 10,000 وحدة أقراص فيتامين د 10,000 IU (علبة 3 شريط - 30 قرص)</v>
      </c>
      <c r="C19" t="str">
        <v>6228008008128</v>
      </c>
      <c r="D19" t="str">
        <v/>
      </c>
      <c r="E19" t="str">
        <v>قطعة</v>
      </c>
      <c r="F19">
        <v>45</v>
      </c>
      <c r="G19">
        <v>35.1</v>
      </c>
      <c r="H19">
        <v>25</v>
      </c>
      <c r="I19">
        <v>5</v>
      </c>
      <c r="J19" s="1">
        <f>F19-G19</f>
      </c>
      <c r="K19" s="2">
        <f>IF(G19&gt;0, (F19-G19)/G19, 0)</f>
      </c>
      <c r="L19" s="1">
        <f>H19*G19</f>
      </c>
      <c r="M19" s="1">
        <f>H19*F19</f>
      </c>
      <c r="N19" s="1">
        <f>M19-L19</f>
      </c>
      <c r="O19">
        <f>IF(H19&lt;=0, "نفد من المخزن", IF(H19&lt;=I19, "قارب على النفاد", "متوفر بالمخزن"))</f>
      </c>
      <c r="P19">
        <v>0</v>
      </c>
      <c r="Q19" t="str">
        <v>MED-0191</v>
      </c>
      <c r="R19" t="str">
        <v/>
      </c>
      <c r="S19" t="str">
        <v>10,000 IU</v>
      </c>
      <c r="T19" t="str">
        <v/>
      </c>
    </row>
    <row r="20">
      <c r="A20">
        <v>17</v>
      </c>
      <c r="B20" t="str">
        <v>أوترين 0.05% نقط أنف للأطفال 0.05% (قطارة 10 مل)</v>
      </c>
      <c r="C20" t="str">
        <v>6229009009149</v>
      </c>
      <c r="D20" t="str">
        <v/>
      </c>
      <c r="E20" t="str">
        <v>قطعة</v>
      </c>
      <c r="F20">
        <v>16</v>
      </c>
      <c r="G20">
        <v>12.48</v>
      </c>
      <c r="H20">
        <v>25</v>
      </c>
      <c r="I20">
        <v>5</v>
      </c>
      <c r="J20" s="1">
        <f>F20-G20</f>
      </c>
      <c r="K20" s="2">
        <f>IF(G20&gt;0, (F20-G20)/G20, 0)</f>
      </c>
      <c r="L20" s="1">
        <f>H20*G20</f>
      </c>
      <c r="M20" s="1">
        <f>H20*F20</f>
      </c>
      <c r="N20" s="1">
        <f>M20-L20</f>
      </c>
      <c r="O20">
        <f>IF(H20&lt;=0, "نفد من المخزن", IF(H20&lt;=I20, "قارب على النفاد", "متوفر بالمخزن"))</f>
      </c>
      <c r="P20">
        <v>0</v>
      </c>
      <c r="Q20" t="str">
        <v>MED-0211</v>
      </c>
      <c r="R20" t="str">
        <v/>
      </c>
      <c r="S20" t="str">
        <v>0.05%</v>
      </c>
      <c r="T20" t="str">
        <v/>
      </c>
    </row>
    <row r="21">
      <c r="A21" t="str">
        <v>الإجمالي</v>
      </c>
      <c r="B21" t="str">
        <v>عدد الأصناف: 17</v>
      </c>
      <c r="C21" t="str">
        <v/>
      </c>
      <c r="D21" t="str">
        <v/>
      </c>
      <c r="E21" t="str">
        <v/>
      </c>
      <c r="F21" s="1">
        <f>AVERAGE(F4:F20)</f>
      </c>
      <c r="G21" s="1">
        <f>AVERAGE(G4:G20)</f>
      </c>
      <c r="H21" s="3">
        <f>SUM(H4:H20)</f>
      </c>
      <c r="I21" s="3">
        <f>SUM(I4:I20)</f>
      </c>
      <c r="J21" s="1">
        <f>AVERAGE(J4:J20)</f>
      </c>
      <c r="K21" s="2">
        <f>AVERAGE(K4:K20)</f>
      </c>
      <c r="L21" s="1">
        <f>SUM(L4:L20)</f>
      </c>
      <c r="M21" s="1">
        <f>SUM(M4:M20)</f>
      </c>
      <c r="N21" s="1">
        <f>SUM(N4:N20)</f>
      </c>
      <c r="O21" t="str">
        <v>محسوب بمعادلات إكسل</v>
      </c>
      <c r="P21" t="str">
        <v/>
      </c>
      <c r="Q21" t="str">
        <v/>
      </c>
      <c r="R21" t="str">
        <v/>
      </c>
      <c r="S21" t="str">
        <v/>
      </c>
      <c r="T21" t="str">
        <v/>
      </c>
    </row>
  </sheetData>
  <mergeCells count="2">
    <mergeCell ref="A1:T1"/>
    <mergeCell ref="A2:T2"/>
  </mergeCells>
  <ignoredErrors>
    <ignoredError numberStoredAsText="1" sqref="A1:T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T42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[أدوية الأمراض المزمنة والضغط والسكر]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أسبوسيد أطفال 75 مجم أقراص مضغ 75mg (علبة 3 شريط - 30 قرص)</v>
      </c>
      <c r="C4" t="str">
        <v>6224004004068</v>
      </c>
      <c r="D4" t="str">
        <v/>
      </c>
      <c r="E4" t="str">
        <v>قطعة</v>
      </c>
      <c r="F4">
        <v>21</v>
      </c>
      <c r="G4">
        <v>16.38</v>
      </c>
      <c r="H4">
        <v>25</v>
      </c>
      <c r="I4">
        <v>5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MED-0021</v>
      </c>
      <c r="R4" t="str">
        <v/>
      </c>
      <c r="S4" t="str">
        <v>75mg</v>
      </c>
      <c r="T4" t="str">
        <v/>
      </c>
    </row>
    <row r="5">
      <c r="A5">
        <v>2</v>
      </c>
      <c r="B5" t="str">
        <v>كونكور 5 مجم أقراص ضغط وتنظيم نبض 5mg (علبة 3 شريط - 30 قرص)</v>
      </c>
      <c r="C5" t="str">
        <v>6226006006018</v>
      </c>
      <c r="D5" t="str">
        <v/>
      </c>
      <c r="E5" t="str">
        <v>قطعة</v>
      </c>
      <c r="F5">
        <v>75</v>
      </c>
      <c r="G5">
        <v>58.5</v>
      </c>
      <c r="H5">
        <v>25</v>
      </c>
      <c r="I5">
        <v>5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MED-0123</v>
      </c>
      <c r="R5" t="str">
        <v/>
      </c>
      <c r="S5" t="str">
        <v>5mg</v>
      </c>
      <c r="T5" t="str">
        <v/>
      </c>
    </row>
    <row r="6">
      <c r="A6">
        <v>3</v>
      </c>
      <c r="B6" t="str">
        <v>كونكور 2.5 مجم أقراص ضغط 2.5mg (علبة 3 شريط - 30 قرص)</v>
      </c>
      <c r="C6" t="str">
        <v>6226006006025</v>
      </c>
      <c r="D6" t="str">
        <v/>
      </c>
      <c r="E6" t="str">
        <v>قطعة</v>
      </c>
      <c r="F6">
        <v>60</v>
      </c>
      <c r="G6">
        <v>46.8</v>
      </c>
      <c r="H6">
        <v>25</v>
      </c>
      <c r="I6">
        <v>5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MED-0124</v>
      </c>
      <c r="R6" t="str">
        <v/>
      </c>
      <c r="S6" t="str">
        <v>2.5mg</v>
      </c>
      <c r="T6" t="str">
        <v/>
      </c>
    </row>
    <row r="7">
      <c r="A7">
        <v>4</v>
      </c>
      <c r="B7" t="str">
        <v>كونكور 10 مجم أقراص 10mg (علبة 3 شريط - 30 قرص)</v>
      </c>
      <c r="C7" t="str">
        <v>6226006006032</v>
      </c>
      <c r="D7" t="str">
        <v/>
      </c>
      <c r="E7" t="str">
        <v>قطعة</v>
      </c>
      <c r="F7">
        <v>90</v>
      </c>
      <c r="G7">
        <v>70.2</v>
      </c>
      <c r="H7">
        <v>25</v>
      </c>
      <c r="I7">
        <v>5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MED-0125</v>
      </c>
      <c r="R7" t="str">
        <v/>
      </c>
      <c r="S7" t="str">
        <v>10mg</v>
      </c>
      <c r="T7" t="str">
        <v/>
      </c>
    </row>
    <row r="8">
      <c r="A8">
        <v>5</v>
      </c>
      <c r="B8" t="str">
        <v>كونكور 5 بلس أقراص (Concor 5 Plus) 5mg/12.5mg (علبة 3 شريط - 30 قرص)</v>
      </c>
      <c r="C8" t="str">
        <v>6226006006049</v>
      </c>
      <c r="D8" t="str">
        <v/>
      </c>
      <c r="E8" t="str">
        <v>قطعة</v>
      </c>
      <c r="F8">
        <v>85</v>
      </c>
      <c r="G8">
        <v>66.3</v>
      </c>
      <c r="H8">
        <v>25</v>
      </c>
      <c r="I8">
        <v>5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MED-0126</v>
      </c>
      <c r="R8" t="str">
        <v/>
      </c>
      <c r="S8" t="str">
        <v>5mg/12.5mg</v>
      </c>
      <c r="T8" t="str">
        <v/>
      </c>
    </row>
    <row r="9">
      <c r="A9">
        <v>6</v>
      </c>
      <c r="B9" t="str">
        <v>كابوتن 25 مجم أقراص ضغط 25mg (علبة 2 شريط - 20 قرص)</v>
      </c>
      <c r="C9" t="str">
        <v>6226006006063</v>
      </c>
      <c r="D9" t="str">
        <v/>
      </c>
      <c r="E9" t="str">
        <v>قطعة</v>
      </c>
      <c r="F9">
        <v>36</v>
      </c>
      <c r="G9">
        <v>28.08</v>
      </c>
      <c r="H9">
        <v>25</v>
      </c>
      <c r="I9">
        <v>5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MED-0128</v>
      </c>
      <c r="R9" t="str">
        <v/>
      </c>
      <c r="S9" t="str">
        <v>25mg</v>
      </c>
      <c r="T9" t="str">
        <v/>
      </c>
    </row>
    <row r="10">
      <c r="A10">
        <v>7</v>
      </c>
      <c r="B10" t="str">
        <v>نورفاسك 5 مجم أقراص ضغط 5mg (علبة 3 شريط - 30 قرص)</v>
      </c>
      <c r="C10" t="str">
        <v>6226006006087</v>
      </c>
      <c r="D10" t="str">
        <v/>
      </c>
      <c r="E10" t="str">
        <v>قطعة</v>
      </c>
      <c r="F10">
        <v>95</v>
      </c>
      <c r="G10">
        <v>74.1</v>
      </c>
      <c r="H10">
        <v>25</v>
      </c>
      <c r="I10">
        <v>5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MED-0130</v>
      </c>
      <c r="R10" t="str">
        <v/>
      </c>
      <c r="S10" t="str">
        <v>5mg</v>
      </c>
      <c r="T10" t="str">
        <v/>
      </c>
    </row>
    <row r="11">
      <c r="A11">
        <v>8</v>
      </c>
      <c r="B11" t="str">
        <v>إكسفورج 5/80 مجم أقراص ضغط مجمعة 5mg/80mg (علبة 2 شريط - 28 قرص)</v>
      </c>
      <c r="C11" t="str">
        <v>6226006006117</v>
      </c>
      <c r="D11" t="str">
        <v/>
      </c>
      <c r="E11" t="str">
        <v>قطعة</v>
      </c>
      <c r="F11">
        <v>195</v>
      </c>
      <c r="G11">
        <v>152.1</v>
      </c>
      <c r="H11">
        <v>25</v>
      </c>
      <c r="I11">
        <v>5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MED-0133</v>
      </c>
      <c r="R11" t="str">
        <v/>
      </c>
      <c r="S11" t="str">
        <v>5mg/80mg</v>
      </c>
      <c r="T11" t="str">
        <v/>
      </c>
    </row>
    <row r="12">
      <c r="A12">
        <v>9</v>
      </c>
      <c r="B12" t="str">
        <v>إكسفورج 5/160 مجم أقراص 5mg/160mg (علبة 2 شريط - 28 قرص)</v>
      </c>
      <c r="C12" t="str">
        <v>6226006006124</v>
      </c>
      <c r="D12" t="str">
        <v/>
      </c>
      <c r="E12" t="str">
        <v>قطعة</v>
      </c>
      <c r="F12">
        <v>220</v>
      </c>
      <c r="G12">
        <v>171.6</v>
      </c>
      <c r="H12">
        <v>25</v>
      </c>
      <c r="I12">
        <v>5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MED-0134</v>
      </c>
      <c r="R12" t="str">
        <v/>
      </c>
      <c r="S12" t="str">
        <v>5mg/160mg</v>
      </c>
      <c r="T12" t="str">
        <v/>
      </c>
    </row>
    <row r="13">
      <c r="A13">
        <v>10</v>
      </c>
      <c r="B13" t="str">
        <v>إكسفورج 10/160 مجم أقراص 10mg/160mg (علبة 2 شريط - 28 قرص)</v>
      </c>
      <c r="C13" t="str">
        <v>6226006006131</v>
      </c>
      <c r="D13" t="str">
        <v/>
      </c>
      <c r="E13" t="str">
        <v>قطعة</v>
      </c>
      <c r="F13">
        <v>245</v>
      </c>
      <c r="G13">
        <v>191.1</v>
      </c>
      <c r="H13">
        <v>25</v>
      </c>
      <c r="I13">
        <v>5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MED-0135</v>
      </c>
      <c r="R13" t="str">
        <v/>
      </c>
      <c r="S13" t="str">
        <v>10mg/160mg</v>
      </c>
      <c r="T13" t="str">
        <v/>
      </c>
    </row>
    <row r="14">
      <c r="A14">
        <v>11</v>
      </c>
      <c r="B14" t="str">
        <v>أتاكاند 8 مجم أقراص ضغط 8mg (علبة 2 شريط - 28 قرص)</v>
      </c>
      <c r="C14" t="str">
        <v>6226006006148</v>
      </c>
      <c r="D14" t="str">
        <v/>
      </c>
      <c r="E14" t="str">
        <v>قطعة</v>
      </c>
      <c r="F14">
        <v>135</v>
      </c>
      <c r="G14">
        <v>105.3</v>
      </c>
      <c r="H14">
        <v>25</v>
      </c>
      <c r="I14">
        <v>5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MED-0136</v>
      </c>
      <c r="R14" t="str">
        <v/>
      </c>
      <c r="S14" t="str">
        <v>8mg</v>
      </c>
      <c r="T14" t="str">
        <v/>
      </c>
    </row>
    <row r="15">
      <c r="A15">
        <v>12</v>
      </c>
      <c r="B15" t="str">
        <v>كوزار 50 مجم أقراص ضغط 50mg (علبة 2 شريط - 28 قرص)</v>
      </c>
      <c r="C15" t="str">
        <v>6226006006162</v>
      </c>
      <c r="D15" t="str">
        <v/>
      </c>
      <c r="E15" t="str">
        <v>قطعة</v>
      </c>
      <c r="F15">
        <v>110</v>
      </c>
      <c r="G15">
        <v>85.8</v>
      </c>
      <c r="H15">
        <v>25</v>
      </c>
      <c r="I15">
        <v>5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MED-0138</v>
      </c>
      <c r="R15" t="str">
        <v/>
      </c>
      <c r="S15" t="str">
        <v>50mg</v>
      </c>
      <c r="T15" t="str">
        <v/>
      </c>
    </row>
    <row r="16">
      <c r="A16">
        <v>13</v>
      </c>
      <c r="B16" t="str">
        <v>بلافيكس 75 مجم أقراص سيولة الدم 75mg (علبة 2 شريط - 28 قرص)</v>
      </c>
      <c r="C16" t="str">
        <v>6226006006223</v>
      </c>
      <c r="D16" t="str">
        <v/>
      </c>
      <c r="E16" t="str">
        <v>قطعة</v>
      </c>
      <c r="F16">
        <v>240</v>
      </c>
      <c r="G16">
        <v>187.2</v>
      </c>
      <c r="H16">
        <v>25</v>
      </c>
      <c r="I16">
        <v>5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MED-0144</v>
      </c>
      <c r="R16" t="str">
        <v/>
      </c>
      <c r="S16" t="str">
        <v>75mg</v>
      </c>
      <c r="T16" t="str">
        <v/>
      </c>
    </row>
    <row r="17">
      <c r="A17">
        <v>14</v>
      </c>
      <c r="B17" t="str">
        <v>كلوجرل 75 مجم أقراص سيولة 75mg (علبة 3 شريط - 30 قرص)</v>
      </c>
      <c r="C17" t="str">
        <v>6226006006230</v>
      </c>
      <c r="D17" t="str">
        <v/>
      </c>
      <c r="E17" t="str">
        <v>قطعة</v>
      </c>
      <c r="F17">
        <v>88</v>
      </c>
      <c r="G17">
        <v>68.64</v>
      </c>
      <c r="H17">
        <v>25</v>
      </c>
      <c r="I17">
        <v>5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MED-0145</v>
      </c>
      <c r="R17" t="str">
        <v/>
      </c>
      <c r="S17" t="str">
        <v>75mg</v>
      </c>
      <c r="T17" t="str">
        <v/>
      </c>
    </row>
    <row r="18">
      <c r="A18">
        <v>15</v>
      </c>
      <c r="B18" t="str">
        <v>إكساريلتو 20 مجم أقراص مضاد تجلط 20mg (علبة 2 شريط - 28 قرص)</v>
      </c>
      <c r="C18" t="str">
        <v>6226006006247</v>
      </c>
      <c r="D18" t="str">
        <v/>
      </c>
      <c r="E18" t="str">
        <v>قطعة</v>
      </c>
      <c r="F18">
        <v>380</v>
      </c>
      <c r="G18">
        <v>296.4</v>
      </c>
      <c r="H18">
        <v>25</v>
      </c>
      <c r="I18">
        <v>5</v>
      </c>
      <c r="J18" s="1">
        <f>F18-G18</f>
      </c>
      <c r="K18" s="2">
        <f>IF(G18&gt;0, (F18-G18)/G18, 0)</f>
      </c>
      <c r="L18" s="1">
        <f>H18*G18</f>
      </c>
      <c r="M18" s="1">
        <f>H18*F18</f>
      </c>
      <c r="N18" s="1">
        <f>M18-L18</f>
      </c>
      <c r="O18">
        <f>IF(H18&lt;=0, "نفد من المخزن", IF(H18&lt;=I18, "قارب على النفاد", "متوفر بالمخزن"))</f>
      </c>
      <c r="P18">
        <v>0</v>
      </c>
      <c r="Q18" t="str">
        <v>MED-0146</v>
      </c>
      <c r="R18" t="str">
        <v/>
      </c>
      <c r="S18" t="str">
        <v>20mg</v>
      </c>
      <c r="T18" t="str">
        <v/>
      </c>
    </row>
    <row r="19">
      <c r="A19">
        <v>16</v>
      </c>
      <c r="B19" t="str">
        <v>إيليكويس 5 مجم أقراص تجلط 5mg (علبة 4 شريط - 56 قرص)</v>
      </c>
      <c r="C19" t="str">
        <v>6226006006261</v>
      </c>
      <c r="D19" t="str">
        <v/>
      </c>
      <c r="E19" t="str">
        <v>قطعة</v>
      </c>
      <c r="F19">
        <v>490</v>
      </c>
      <c r="G19">
        <v>382.2</v>
      </c>
      <c r="H19">
        <v>25</v>
      </c>
      <c r="I19">
        <v>5</v>
      </c>
      <c r="J19" s="1">
        <f>F19-G19</f>
      </c>
      <c r="K19" s="2">
        <f>IF(G19&gt;0, (F19-G19)/G19, 0)</f>
      </c>
      <c r="L19" s="1">
        <f>H19*G19</f>
      </c>
      <c r="M19" s="1">
        <f>H19*F19</f>
      </c>
      <c r="N19" s="1">
        <f>M19-L19</f>
      </c>
      <c r="O19">
        <f>IF(H19&lt;=0, "نفد من المخزن", IF(H19&lt;=I19, "قارب على النفاد", "متوفر بالمخزن"))</f>
      </c>
      <c r="P19">
        <v>0</v>
      </c>
      <c r="Q19" t="str">
        <v>MED-0148</v>
      </c>
      <c r="R19" t="str">
        <v/>
      </c>
      <c r="S19" t="str">
        <v>5mg</v>
      </c>
      <c r="T19" t="str">
        <v/>
      </c>
    </row>
    <row r="20">
      <c r="A20">
        <v>17</v>
      </c>
      <c r="B20" t="str">
        <v>كريستور 10 مجم أقراص كوليسترول 10mg (علبة 2 شريط - 28 قرص)</v>
      </c>
      <c r="C20" t="str">
        <v>6226006006278</v>
      </c>
      <c r="D20" t="str">
        <v/>
      </c>
      <c r="E20" t="str">
        <v>قطعة</v>
      </c>
      <c r="F20">
        <v>210</v>
      </c>
      <c r="G20">
        <v>163.8</v>
      </c>
      <c r="H20">
        <v>25</v>
      </c>
      <c r="I20">
        <v>5</v>
      </c>
      <c r="J20" s="1">
        <f>F20-G20</f>
      </c>
      <c r="K20" s="2">
        <f>IF(G20&gt;0, (F20-G20)/G20, 0)</f>
      </c>
      <c r="L20" s="1">
        <f>H20*G20</f>
      </c>
      <c r="M20" s="1">
        <f>H20*F20</f>
      </c>
      <c r="N20" s="1">
        <f>M20-L20</f>
      </c>
      <c r="O20">
        <f>IF(H20&lt;=0, "نفد من المخزن", IF(H20&lt;=I20, "قارب على النفاد", "متوفر بالمخزن"))</f>
      </c>
      <c r="P20">
        <v>0</v>
      </c>
      <c r="Q20" t="str">
        <v>MED-0149</v>
      </c>
      <c r="R20" t="str">
        <v/>
      </c>
      <c r="S20" t="str">
        <v>10mg</v>
      </c>
      <c r="T20" t="str">
        <v/>
      </c>
    </row>
    <row r="21">
      <c r="A21">
        <v>18</v>
      </c>
      <c r="B21" t="str">
        <v>كريستور 20 مجم أقراص 20mg (علبة 2 شريط - 28 قرص)</v>
      </c>
      <c r="C21" t="str">
        <v>6226006006285</v>
      </c>
      <c r="D21" t="str">
        <v/>
      </c>
      <c r="E21" t="str">
        <v>قطعة</v>
      </c>
      <c r="F21">
        <v>270</v>
      </c>
      <c r="G21">
        <v>210.6</v>
      </c>
      <c r="H21">
        <v>25</v>
      </c>
      <c r="I21">
        <v>5</v>
      </c>
      <c r="J21" s="1">
        <f>F21-G21</f>
      </c>
      <c r="K21" s="2">
        <f>IF(G21&gt;0, (F21-G21)/G21, 0)</f>
      </c>
      <c r="L21" s="1">
        <f>H21*G21</f>
      </c>
      <c r="M21" s="1">
        <f>H21*F21</f>
      </c>
      <c r="N21" s="1">
        <f>M21-L21</f>
      </c>
      <c r="O21">
        <f>IF(H21&lt;=0, "نفد من المخزن", IF(H21&lt;=I21, "قارب على النفاد", "متوفر بالمخزن"))</f>
      </c>
      <c r="P21">
        <v>0</v>
      </c>
      <c r="Q21" t="str">
        <v>MED-0150</v>
      </c>
      <c r="R21" t="str">
        <v/>
      </c>
      <c r="S21" t="str">
        <v>20mg</v>
      </c>
      <c r="T21" t="str">
        <v/>
      </c>
    </row>
    <row r="22">
      <c r="A22">
        <v>19</v>
      </c>
      <c r="B22" t="str">
        <v>ليبيتور 20 مجم أقراص دهون وكوليسترول 20mg (علبة 2 شريط - 28 قرص)</v>
      </c>
      <c r="C22" t="str">
        <v>6226006006308</v>
      </c>
      <c r="D22" t="str">
        <v/>
      </c>
      <c r="E22" t="str">
        <v>قطعة</v>
      </c>
      <c r="F22">
        <v>185</v>
      </c>
      <c r="G22">
        <v>144.3</v>
      </c>
      <c r="H22">
        <v>25</v>
      </c>
      <c r="I22">
        <v>5</v>
      </c>
      <c r="J22" s="1">
        <f>F22-G22</f>
      </c>
      <c r="K22" s="2">
        <f>IF(G22&gt;0, (F22-G22)/G22, 0)</f>
      </c>
      <c r="L22" s="1">
        <f>H22*G22</f>
      </c>
      <c r="M22" s="1">
        <f>H22*F22</f>
      </c>
      <c r="N22" s="1">
        <f>M22-L22</f>
      </c>
      <c r="O22">
        <f>IF(H22&lt;=0, "نفد من المخزن", IF(H22&lt;=I22, "قارب على النفاد", "متوفر بالمخزن"))</f>
      </c>
      <c r="P22">
        <v>0</v>
      </c>
      <c r="Q22" t="str">
        <v>MED-0152</v>
      </c>
      <c r="R22" t="str">
        <v/>
      </c>
      <c r="S22" t="str">
        <v>20mg</v>
      </c>
      <c r="T22" t="str">
        <v/>
      </c>
    </row>
    <row r="23">
      <c r="A23">
        <v>20</v>
      </c>
      <c r="B23" t="str">
        <v>أتور 20 مجم أقراص 20mg (علبة 2 شريط - 20 قرص)</v>
      </c>
      <c r="C23" t="str">
        <v>6226006006322</v>
      </c>
      <c r="D23" t="str">
        <v/>
      </c>
      <c r="E23" t="str">
        <v>قطعة</v>
      </c>
      <c r="F23">
        <v>65</v>
      </c>
      <c r="G23">
        <v>50.7</v>
      </c>
      <c r="H23">
        <v>25</v>
      </c>
      <c r="I23">
        <v>5</v>
      </c>
      <c r="J23" s="1">
        <f>F23-G23</f>
      </c>
      <c r="K23" s="2">
        <f>IF(G23&gt;0, (F23-G23)/G23, 0)</f>
      </c>
      <c r="L23" s="1">
        <f>H23*G23</f>
      </c>
      <c r="M23" s="1">
        <f>H23*F23</f>
      </c>
      <c r="N23" s="1">
        <f>M23-L23</f>
      </c>
      <c r="O23">
        <f>IF(H23&lt;=0, "نفد من المخزن", IF(H23&lt;=I23, "قارب على النفاد", "متوفر بالمخزن"))</f>
      </c>
      <c r="P23">
        <v>0</v>
      </c>
      <c r="Q23" t="str">
        <v>MED-0154</v>
      </c>
      <c r="R23" t="str">
        <v/>
      </c>
      <c r="S23" t="str">
        <v>20mg</v>
      </c>
      <c r="T23" t="str">
        <v/>
      </c>
    </row>
    <row r="24">
      <c r="A24">
        <v>21</v>
      </c>
      <c r="B24" t="str">
        <v>أتور 40 مجم أقراص 40mg (علبة 2 شريط - 20 قرص)</v>
      </c>
      <c r="C24" t="str">
        <v>6226006006339</v>
      </c>
      <c r="D24" t="str">
        <v/>
      </c>
      <c r="E24" t="str">
        <v>قطعة</v>
      </c>
      <c r="F24">
        <v>90</v>
      </c>
      <c r="G24">
        <v>70.2</v>
      </c>
      <c r="H24">
        <v>25</v>
      </c>
      <c r="I24">
        <v>5</v>
      </c>
      <c r="J24" s="1">
        <f>F24-G24</f>
      </c>
      <c r="K24" s="2">
        <f>IF(G24&gt;0, (F24-G24)/G24, 0)</f>
      </c>
      <c r="L24" s="1">
        <f>H24*G24</f>
      </c>
      <c r="M24" s="1">
        <f>H24*F24</f>
      </c>
      <c r="N24" s="1">
        <f>M24-L24</f>
      </c>
      <c r="O24">
        <f>IF(H24&lt;=0, "نفد من المخزن", IF(H24&lt;=I24, "قارب على النفاد", "متوفر بالمخزن"))</f>
      </c>
      <c r="P24">
        <v>0</v>
      </c>
      <c r="Q24" t="str">
        <v>MED-0155</v>
      </c>
      <c r="R24" t="str">
        <v/>
      </c>
      <c r="S24" t="str">
        <v>40mg</v>
      </c>
      <c r="T24" t="str">
        <v/>
      </c>
    </row>
    <row r="25">
      <c r="A25">
        <v>22</v>
      </c>
      <c r="B25" t="str">
        <v>جلوكوفاج 500 مجم أقراص سكر 500mg (علبة 3 شريط - 30 قرص)</v>
      </c>
      <c r="C25" t="str">
        <v>6227007007015</v>
      </c>
      <c r="D25" t="str">
        <v/>
      </c>
      <c r="E25" t="str">
        <v>قطعة</v>
      </c>
      <c r="F25">
        <v>36</v>
      </c>
      <c r="G25">
        <v>28.08</v>
      </c>
      <c r="H25">
        <v>25</v>
      </c>
      <c r="I25">
        <v>5</v>
      </c>
      <c r="J25" s="1">
        <f>F25-G25</f>
      </c>
      <c r="K25" s="2">
        <f>IF(G25&gt;0, (F25-G25)/G25, 0)</f>
      </c>
      <c r="L25" s="1">
        <f>H25*G25</f>
      </c>
      <c r="M25" s="1">
        <f>H25*F25</f>
      </c>
      <c r="N25" s="1">
        <f>M25-L25</f>
      </c>
      <c r="O25">
        <f>IF(H25&lt;=0, "نفد من المخزن", IF(H25&lt;=I25, "قارب على النفاد", "متوفر بالمخزن"))</f>
      </c>
      <c r="P25">
        <v>0</v>
      </c>
      <c r="Q25" t="str">
        <v>MED-0156</v>
      </c>
      <c r="R25" t="str">
        <v/>
      </c>
      <c r="S25" t="str">
        <v>500mg</v>
      </c>
      <c r="T25" t="str">
        <v/>
      </c>
    </row>
    <row r="26">
      <c r="A26">
        <v>23</v>
      </c>
      <c r="B26" t="str">
        <v>جلوكوفاج 1000 مجم أقراص 1000mg (علبة 3 شريط - 30 قرص)</v>
      </c>
      <c r="C26" t="str">
        <v>6227007007022</v>
      </c>
      <c r="D26" t="str">
        <v/>
      </c>
      <c r="E26" t="str">
        <v>قطعة</v>
      </c>
      <c r="F26">
        <v>60</v>
      </c>
      <c r="G26">
        <v>46.8</v>
      </c>
      <c r="H26">
        <v>25</v>
      </c>
      <c r="I26">
        <v>5</v>
      </c>
      <c r="J26" s="1">
        <f>F26-G26</f>
      </c>
      <c r="K26" s="2">
        <f>IF(G26&gt;0, (F26-G26)/G26, 0)</f>
      </c>
      <c r="L26" s="1">
        <f>H26*G26</f>
      </c>
      <c r="M26" s="1">
        <f>H26*F26</f>
      </c>
      <c r="N26" s="1">
        <f>M26-L26</f>
      </c>
      <c r="O26">
        <f>IF(H26&lt;=0, "نفد من المخزن", IF(H26&lt;=I26, "قارب على النفاد", "متوفر بالمخزن"))</f>
      </c>
      <c r="P26">
        <v>0</v>
      </c>
      <c r="Q26" t="str">
        <v>MED-0157</v>
      </c>
      <c r="R26" t="str">
        <v/>
      </c>
      <c r="S26" t="str">
        <v>1000mg</v>
      </c>
      <c r="T26" t="str">
        <v/>
      </c>
    </row>
    <row r="27">
      <c r="A27">
        <v>24</v>
      </c>
      <c r="B27" t="str">
        <v>جلوكوفاج إكس آر 500 مجم أقراص ممتدة المفعول 500mg (علبة 3 شريط - 30 قرص)</v>
      </c>
      <c r="C27" t="str">
        <v>6227007007039</v>
      </c>
      <c r="D27" t="str">
        <v/>
      </c>
      <c r="E27" t="str">
        <v>قطعة</v>
      </c>
      <c r="F27">
        <v>48</v>
      </c>
      <c r="G27">
        <v>37.44</v>
      </c>
      <c r="H27">
        <v>25</v>
      </c>
      <c r="I27">
        <v>5</v>
      </c>
      <c r="J27" s="1">
        <f>F27-G27</f>
      </c>
      <c r="K27" s="2">
        <f>IF(G27&gt;0, (F27-G27)/G27, 0)</f>
      </c>
      <c r="L27" s="1">
        <f>H27*G27</f>
      </c>
      <c r="M27" s="1">
        <f>H27*F27</f>
      </c>
      <c r="N27" s="1">
        <f>M27-L27</f>
      </c>
      <c r="O27">
        <f>IF(H27&lt;=0, "نفد من المخزن", IF(H27&lt;=I27, "قارب على النفاد", "متوفر بالمخزن"))</f>
      </c>
      <c r="P27">
        <v>0</v>
      </c>
      <c r="Q27" t="str">
        <v>MED-0158</v>
      </c>
      <c r="R27" t="str">
        <v/>
      </c>
      <c r="S27" t="str">
        <v>500mg</v>
      </c>
      <c r="T27" t="str">
        <v/>
      </c>
    </row>
    <row r="28">
      <c r="A28">
        <v>25</v>
      </c>
      <c r="B28" t="str">
        <v>جلوكوفاج إكس آر 1000 مجم أقراص 1000mg (علبة 3 شريط - 30 قرص)</v>
      </c>
      <c r="C28" t="str">
        <v>6227007007046</v>
      </c>
      <c r="D28" t="str">
        <v/>
      </c>
      <c r="E28" t="str">
        <v>قطعة</v>
      </c>
      <c r="F28">
        <v>75</v>
      </c>
      <c r="G28">
        <v>58.5</v>
      </c>
      <c r="H28">
        <v>25</v>
      </c>
      <c r="I28">
        <v>5</v>
      </c>
      <c r="J28" s="1">
        <f>F28-G28</f>
      </c>
      <c r="K28" s="2">
        <f>IF(G28&gt;0, (F28-G28)/G28, 0)</f>
      </c>
      <c r="L28" s="1">
        <f>H28*G28</f>
      </c>
      <c r="M28" s="1">
        <f>H28*F28</f>
      </c>
      <c r="N28" s="1">
        <f>M28-L28</f>
      </c>
      <c r="O28">
        <f>IF(H28&lt;=0, "نفد من المخزن", IF(H28&lt;=I28, "قارب على النفاد", "متوفر بالمخزن"))</f>
      </c>
      <c r="P28">
        <v>0</v>
      </c>
      <c r="Q28" t="str">
        <v>MED-0159</v>
      </c>
      <c r="R28" t="str">
        <v/>
      </c>
      <c r="S28" t="str">
        <v>1000mg</v>
      </c>
      <c r="T28" t="str">
        <v/>
      </c>
    </row>
    <row r="29">
      <c r="A29">
        <v>26</v>
      </c>
      <c r="B29" t="str">
        <v>أماريل 1 مجم أقراص سكر 1mg (علبة 3 شريط - 30 قرص)</v>
      </c>
      <c r="C29" t="str">
        <v>6227007007077</v>
      </c>
      <c r="D29" t="str">
        <v/>
      </c>
      <c r="E29" t="str">
        <v>قطعة</v>
      </c>
      <c r="F29">
        <v>42</v>
      </c>
      <c r="G29">
        <v>32.76</v>
      </c>
      <c r="H29">
        <v>25</v>
      </c>
      <c r="I29">
        <v>5</v>
      </c>
      <c r="J29" s="1">
        <f>F29-G29</f>
      </c>
      <c r="K29" s="2">
        <f>IF(G29&gt;0, (F29-G29)/G29, 0)</f>
      </c>
      <c r="L29" s="1">
        <f>H29*G29</f>
      </c>
      <c r="M29" s="1">
        <f>H29*F29</f>
      </c>
      <c r="N29" s="1">
        <f>M29-L29</f>
      </c>
      <c r="O29">
        <f>IF(H29&lt;=0, "نفد من المخزن", IF(H29&lt;=I29, "قارب على النفاد", "متوفر بالمخزن"))</f>
      </c>
      <c r="P29">
        <v>0</v>
      </c>
      <c r="Q29" t="str">
        <v>MED-0162</v>
      </c>
      <c r="R29" t="str">
        <v/>
      </c>
      <c r="S29" t="str">
        <v>1mg</v>
      </c>
      <c r="T29" t="str">
        <v/>
      </c>
    </row>
    <row r="30">
      <c r="A30">
        <v>27</v>
      </c>
      <c r="B30" t="str">
        <v>أماريل 2 مجم أقراص 2mg (علبة 3 شريط - 30 قرص)</v>
      </c>
      <c r="C30" t="str">
        <v>6227007007084</v>
      </c>
      <c r="D30" t="str">
        <v/>
      </c>
      <c r="E30" t="str">
        <v>قطعة</v>
      </c>
      <c r="F30">
        <v>54</v>
      </c>
      <c r="G30">
        <v>42.12</v>
      </c>
      <c r="H30">
        <v>25</v>
      </c>
      <c r="I30">
        <v>5</v>
      </c>
      <c r="J30" s="1">
        <f>F30-G30</f>
      </c>
      <c r="K30" s="2">
        <f>IF(G30&gt;0, (F30-G30)/G30, 0)</f>
      </c>
      <c r="L30" s="1">
        <f>H30*G30</f>
      </c>
      <c r="M30" s="1">
        <f>H30*F30</f>
      </c>
      <c r="N30" s="1">
        <f>M30-L30</f>
      </c>
      <c r="O30">
        <f>IF(H30&lt;=0, "نفد من المخزن", IF(H30&lt;=I30, "قارب على النفاد", "متوفر بالمخزن"))</f>
      </c>
      <c r="P30">
        <v>0</v>
      </c>
      <c r="Q30" t="str">
        <v>MED-0163</v>
      </c>
      <c r="R30" t="str">
        <v/>
      </c>
      <c r="S30" t="str">
        <v>2mg</v>
      </c>
      <c r="T30" t="str">
        <v/>
      </c>
    </row>
    <row r="31">
      <c r="A31">
        <v>28</v>
      </c>
      <c r="B31" t="str">
        <v>أماريل 3 مجم أقراص 3mg (علبة 3 شريط - 30 قرص)</v>
      </c>
      <c r="C31" t="str">
        <v>6227007007091</v>
      </c>
      <c r="D31" t="str">
        <v/>
      </c>
      <c r="E31" t="str">
        <v>قطعة</v>
      </c>
      <c r="F31">
        <v>68</v>
      </c>
      <c r="G31">
        <v>53.04</v>
      </c>
      <c r="H31">
        <v>25</v>
      </c>
      <c r="I31">
        <v>5</v>
      </c>
      <c r="J31" s="1">
        <f>F31-G31</f>
      </c>
      <c r="K31" s="2">
        <f>IF(G31&gt;0, (F31-G31)/G31, 0)</f>
      </c>
      <c r="L31" s="1">
        <f>H31*G31</f>
      </c>
      <c r="M31" s="1">
        <f>H31*F31</f>
      </c>
      <c r="N31" s="1">
        <f>M31-L31</f>
      </c>
      <c r="O31">
        <f>IF(H31&lt;=0, "نفد من المخزن", IF(H31&lt;=I31, "قارب على النفاد", "متوفر بالمخزن"))</f>
      </c>
      <c r="P31">
        <v>0</v>
      </c>
      <c r="Q31" t="str">
        <v>MED-0164</v>
      </c>
      <c r="R31" t="str">
        <v/>
      </c>
      <c r="S31" t="str">
        <v>3mg</v>
      </c>
      <c r="T31" t="str">
        <v/>
      </c>
    </row>
    <row r="32">
      <c r="A32">
        <v>29</v>
      </c>
      <c r="B32" t="str">
        <v>أماريل 4 مجم أقراص 4mg (علبة 3 شريط - 30 قرص)</v>
      </c>
      <c r="C32" t="str">
        <v>6227007007107</v>
      </c>
      <c r="D32" t="str">
        <v/>
      </c>
      <c r="E32" t="str">
        <v>قطعة</v>
      </c>
      <c r="F32">
        <v>82</v>
      </c>
      <c r="G32">
        <v>63.96</v>
      </c>
      <c r="H32">
        <v>25</v>
      </c>
      <c r="I32">
        <v>5</v>
      </c>
      <c r="J32" s="1">
        <f>F32-G32</f>
      </c>
      <c r="K32" s="2">
        <f>IF(G32&gt;0, (F32-G32)/G32, 0)</f>
      </c>
      <c r="L32" s="1">
        <f>H32*G32</f>
      </c>
      <c r="M32" s="1">
        <f>H32*F32</f>
      </c>
      <c r="N32" s="1">
        <f>M32-L32</f>
      </c>
      <c r="O32">
        <f>IF(H32&lt;=0, "نفد من المخزن", IF(H32&lt;=I32, "قارب على النفاد", "متوفر بالمخزن"))</f>
      </c>
      <c r="P32">
        <v>0</v>
      </c>
      <c r="Q32" t="str">
        <v>MED-0165</v>
      </c>
      <c r="R32" t="str">
        <v/>
      </c>
      <c r="S32" t="str">
        <v>4mg</v>
      </c>
      <c r="T32" t="str">
        <v/>
      </c>
    </row>
    <row r="33">
      <c r="A33">
        <v>30</v>
      </c>
      <c r="B33" t="str">
        <v>جانوفيا 100 مجم أقراص سكر 100mg (علبة 2 شريط - 28 قرص)</v>
      </c>
      <c r="C33" t="str">
        <v>6227007007114</v>
      </c>
      <c r="D33" t="str">
        <v/>
      </c>
      <c r="E33" t="str">
        <v>قطعة</v>
      </c>
      <c r="F33">
        <v>310</v>
      </c>
      <c r="G33">
        <v>241.8</v>
      </c>
      <c r="H33">
        <v>25</v>
      </c>
      <c r="I33">
        <v>5</v>
      </c>
      <c r="J33" s="1">
        <f>F33-G33</f>
      </c>
      <c r="K33" s="2">
        <f>IF(G33&gt;0, (F33-G33)/G33, 0)</f>
      </c>
      <c r="L33" s="1">
        <f>H33*G33</f>
      </c>
      <c r="M33" s="1">
        <f>H33*F33</f>
      </c>
      <c r="N33" s="1">
        <f>M33-L33</f>
      </c>
      <c r="O33">
        <f>IF(H33&lt;=0, "نفد من المخزن", IF(H33&lt;=I33, "قارب على النفاد", "متوفر بالمخزن"))</f>
      </c>
      <c r="P33">
        <v>0</v>
      </c>
      <c r="Q33" t="str">
        <v>MED-0166</v>
      </c>
      <c r="R33" t="str">
        <v/>
      </c>
      <c r="S33" t="str">
        <v>100mg</v>
      </c>
      <c r="T33" t="str">
        <v/>
      </c>
    </row>
    <row r="34">
      <c r="A34">
        <v>31</v>
      </c>
      <c r="B34" t="str">
        <v>جالفوس 50 مجم أقراص سكر 50mg (علبة 2 شريط - 28 قرص)</v>
      </c>
      <c r="C34" t="str">
        <v>6227007007138</v>
      </c>
      <c r="D34" t="str">
        <v/>
      </c>
      <c r="E34" t="str">
        <v>قطعة</v>
      </c>
      <c r="F34">
        <v>195</v>
      </c>
      <c r="G34">
        <v>152.1</v>
      </c>
      <c r="H34">
        <v>25</v>
      </c>
      <c r="I34">
        <v>5</v>
      </c>
      <c r="J34" s="1">
        <f>F34-G34</f>
      </c>
      <c r="K34" s="2">
        <f>IF(G34&gt;0, (F34-G34)/G34, 0)</f>
      </c>
      <c r="L34" s="1">
        <f>H34*G34</f>
      </c>
      <c r="M34" s="1">
        <f>H34*F34</f>
      </c>
      <c r="N34" s="1">
        <f>M34-L34</f>
      </c>
      <c r="O34">
        <f>IF(H34&lt;=0, "نفد من المخزن", IF(H34&lt;=I34, "قارب على النفاد", "متوفر بالمخزن"))</f>
      </c>
      <c r="P34">
        <v>0</v>
      </c>
      <c r="Q34" t="str">
        <v>MED-0168</v>
      </c>
      <c r="R34" t="str">
        <v/>
      </c>
      <c r="S34" t="str">
        <v>50mg</v>
      </c>
      <c r="T34" t="str">
        <v/>
      </c>
    </row>
    <row r="35">
      <c r="A35">
        <v>32</v>
      </c>
      <c r="B35" t="str">
        <v>جالفوس مت 50/1000 مجم أقراص 50mg/1000mg (علبة 3 شريط - 30 قرص)</v>
      </c>
      <c r="C35" t="str">
        <v>6227007007145</v>
      </c>
      <c r="D35" t="str">
        <v/>
      </c>
      <c r="E35" t="str">
        <v>قطعة</v>
      </c>
      <c r="F35">
        <v>215</v>
      </c>
      <c r="G35">
        <v>167.7</v>
      </c>
      <c r="H35">
        <v>25</v>
      </c>
      <c r="I35">
        <v>5</v>
      </c>
      <c r="J35" s="1">
        <f>F35-G35</f>
      </c>
      <c r="K35" s="2">
        <f>IF(G35&gt;0, (F35-G35)/G35, 0)</f>
      </c>
      <c r="L35" s="1">
        <f>H35*G35</f>
      </c>
      <c r="M35" s="1">
        <f>H35*F35</f>
      </c>
      <c r="N35" s="1">
        <f>M35-L35</f>
      </c>
      <c r="O35">
        <f>IF(H35&lt;=0, "نفد من المخزن", IF(H35&lt;=I35, "قارب على النفاد", "متوفر بالمخزن"))</f>
      </c>
      <c r="P35">
        <v>0</v>
      </c>
      <c r="Q35" t="str">
        <v>MED-0169</v>
      </c>
      <c r="R35" t="str">
        <v/>
      </c>
      <c r="S35" t="str">
        <v>50mg/1000mg</v>
      </c>
      <c r="T35" t="str">
        <v/>
      </c>
    </row>
    <row r="36">
      <c r="A36">
        <v>33</v>
      </c>
      <c r="B36" t="str">
        <v>فورسيجا 10 مجم أقراص سكر وحماية كلى 10mg (علبة 2 شريط - 28 قرص)</v>
      </c>
      <c r="C36" t="str">
        <v>6227007007152</v>
      </c>
      <c r="D36" t="str">
        <v/>
      </c>
      <c r="E36" t="str">
        <v>قطعة</v>
      </c>
      <c r="F36">
        <v>495</v>
      </c>
      <c r="G36">
        <v>386.1</v>
      </c>
      <c r="H36">
        <v>25</v>
      </c>
      <c r="I36">
        <v>5</v>
      </c>
      <c r="J36" s="1">
        <f>F36-G36</f>
      </c>
      <c r="K36" s="2">
        <f>IF(G36&gt;0, (F36-G36)/G36, 0)</f>
      </c>
      <c r="L36" s="1">
        <f>H36*G36</f>
      </c>
      <c r="M36" s="1">
        <f>H36*F36</f>
      </c>
      <c r="N36" s="1">
        <f>M36-L36</f>
      </c>
      <c r="O36">
        <f>IF(H36&lt;=0, "نفد من المخزن", IF(H36&lt;=I36, "قارب على النفاد", "متوفر بالمخزن"))</f>
      </c>
      <c r="P36">
        <v>0</v>
      </c>
      <c r="Q36" t="str">
        <v>MED-0170</v>
      </c>
      <c r="R36" t="str">
        <v/>
      </c>
      <c r="S36" t="str">
        <v>10mg</v>
      </c>
      <c r="T36" t="str">
        <v/>
      </c>
    </row>
    <row r="37">
      <c r="A37">
        <v>34</v>
      </c>
      <c r="B37" t="str">
        <v>جارديانس 10 مجم أقراص سكر وحماية قلب 10mg (علبة 3 شريط - 30 قرص)</v>
      </c>
      <c r="C37" t="str">
        <v>6227007007169</v>
      </c>
      <c r="D37" t="str">
        <v/>
      </c>
      <c r="E37" t="str">
        <v>قطعة</v>
      </c>
      <c r="F37">
        <v>520</v>
      </c>
      <c r="G37">
        <v>405.6</v>
      </c>
      <c r="H37">
        <v>25</v>
      </c>
      <c r="I37">
        <v>5</v>
      </c>
      <c r="J37" s="1">
        <f>F37-G37</f>
      </c>
      <c r="K37" s="2">
        <f>IF(G37&gt;0, (F37-G37)/G37, 0)</f>
      </c>
      <c r="L37" s="1">
        <f>H37*G37</f>
      </c>
      <c r="M37" s="1">
        <f>H37*F37</f>
      </c>
      <c r="N37" s="1">
        <f>M37-L37</f>
      </c>
      <c r="O37">
        <f>IF(H37&lt;=0, "نفد من المخزن", IF(H37&lt;=I37, "قارب على النفاد", "متوفر بالمخزن"))</f>
      </c>
      <c r="P37">
        <v>0</v>
      </c>
      <c r="Q37" t="str">
        <v>MED-0171</v>
      </c>
      <c r="R37" t="str">
        <v/>
      </c>
      <c r="S37" t="str">
        <v>10mg</v>
      </c>
      <c r="T37" t="str">
        <v/>
      </c>
    </row>
    <row r="38">
      <c r="A38">
        <v>35</v>
      </c>
      <c r="B38" t="str">
        <v>لانتوس سولوستار قلم إنسولين قاعدي 100 units/ml - 3ml (علبة 5 أقلام سولوستار)</v>
      </c>
      <c r="C38" t="str">
        <v>6227007007190</v>
      </c>
      <c r="D38" t="str">
        <v/>
      </c>
      <c r="E38" t="str">
        <v>قطعة</v>
      </c>
      <c r="F38">
        <v>650</v>
      </c>
      <c r="G38">
        <v>507</v>
      </c>
      <c r="H38">
        <v>25</v>
      </c>
      <c r="I38">
        <v>5</v>
      </c>
      <c r="J38" s="1">
        <f>F38-G38</f>
      </c>
      <c r="K38" s="2">
        <f>IF(G38&gt;0, (F38-G38)/G38, 0)</f>
      </c>
      <c r="L38" s="1">
        <f>H38*G38</f>
      </c>
      <c r="M38" s="1">
        <f>H38*F38</f>
      </c>
      <c r="N38" s="1">
        <f>M38-L38</f>
      </c>
      <c r="O38">
        <f>IF(H38&lt;=0, "نفد من المخزن", IF(H38&lt;=I38, "قارب على النفاد", "متوفر بالمخزن"))</f>
      </c>
      <c r="P38">
        <v>0</v>
      </c>
      <c r="Q38" t="str">
        <v>MED-0174</v>
      </c>
      <c r="R38" t="str">
        <v/>
      </c>
      <c r="S38" t="str">
        <v>100 units/ml - 3ml</v>
      </c>
      <c r="T38" t="str">
        <v/>
      </c>
    </row>
    <row r="39">
      <c r="A39">
        <v>36</v>
      </c>
      <c r="B39" t="str">
        <v>نوفورابيد فلكسبن إنسولين سريع المفعول 100 units/ml - 3ml (علبة 5 أقلام فلكسبن)</v>
      </c>
      <c r="C39" t="str">
        <v>6227007007206</v>
      </c>
      <c r="D39" t="str">
        <v/>
      </c>
      <c r="E39" t="str">
        <v>قطعة</v>
      </c>
      <c r="F39">
        <v>550</v>
      </c>
      <c r="G39">
        <v>429</v>
      </c>
      <c r="H39">
        <v>25</v>
      </c>
      <c r="I39">
        <v>5</v>
      </c>
      <c r="J39" s="1">
        <f>F39-G39</f>
      </c>
      <c r="K39" s="2">
        <f>IF(G39&gt;0, (F39-G39)/G39, 0)</f>
      </c>
      <c r="L39" s="1">
        <f>H39*G39</f>
      </c>
      <c r="M39" s="1">
        <f>H39*F39</f>
      </c>
      <c r="N39" s="1">
        <f>M39-L39</f>
      </c>
      <c r="O39">
        <f>IF(H39&lt;=0, "نفد من المخزن", IF(H39&lt;=I39, "قارب على النفاد", "متوفر بالمخزن"))</f>
      </c>
      <c r="P39">
        <v>0</v>
      </c>
      <c r="Q39" t="str">
        <v>MED-0175</v>
      </c>
      <c r="R39" t="str">
        <v/>
      </c>
      <c r="S39" t="str">
        <v>100 units/ml - 3ml</v>
      </c>
      <c r="T39" t="str">
        <v/>
      </c>
    </row>
    <row r="40">
      <c r="A40">
        <v>37</v>
      </c>
      <c r="B40" t="str">
        <v>إلتروكسين 50 ميكروجرام أقراص غدة درقية 50mcg (علبة 100 قرص (برطمان))</v>
      </c>
      <c r="C40" t="str">
        <v>6227007007213</v>
      </c>
      <c r="D40" t="str">
        <v/>
      </c>
      <c r="E40" t="str">
        <v>قطعة</v>
      </c>
      <c r="F40">
        <v>65</v>
      </c>
      <c r="G40">
        <v>50.7</v>
      </c>
      <c r="H40">
        <v>25</v>
      </c>
      <c r="I40">
        <v>5</v>
      </c>
      <c r="J40" s="1">
        <f>F40-G40</f>
      </c>
      <c r="K40" s="2">
        <f>IF(G40&gt;0, (F40-G40)/G40, 0)</f>
      </c>
      <c r="L40" s="1">
        <f>H40*G40</f>
      </c>
      <c r="M40" s="1">
        <f>H40*F40</f>
      </c>
      <c r="N40" s="1">
        <f>M40-L40</f>
      </c>
      <c r="O40">
        <f>IF(H40&lt;=0, "نفد من المخزن", IF(H40&lt;=I40, "قارب على النفاد", "متوفر بالمخزن"))</f>
      </c>
      <c r="P40">
        <v>0</v>
      </c>
      <c r="Q40" t="str">
        <v>MED-0176</v>
      </c>
      <c r="R40" t="str">
        <v/>
      </c>
      <c r="S40" t="str">
        <v>50mcg</v>
      </c>
      <c r="T40" t="str">
        <v/>
      </c>
    </row>
    <row r="41">
      <c r="A41">
        <v>38</v>
      </c>
      <c r="B41" t="str">
        <v>إلتروكسين 100 ميكروجرام أقراص 100mcg (علبة 100 قرص (برطمان))</v>
      </c>
      <c r="C41" t="str">
        <v>6227007007220</v>
      </c>
      <c r="D41" t="str">
        <v/>
      </c>
      <c r="E41" t="str">
        <v>قطعة</v>
      </c>
      <c r="F41">
        <v>85</v>
      </c>
      <c r="G41">
        <v>66.3</v>
      </c>
      <c r="H41">
        <v>25</v>
      </c>
      <c r="I41">
        <v>5</v>
      </c>
      <c r="J41" s="1">
        <f>F41-G41</f>
      </c>
      <c r="K41" s="2">
        <f>IF(G41&gt;0, (F41-G41)/G41, 0)</f>
      </c>
      <c r="L41" s="1">
        <f>H41*G41</f>
      </c>
      <c r="M41" s="1">
        <f>H41*F41</f>
      </c>
      <c r="N41" s="1">
        <f>M41-L41</f>
      </c>
      <c r="O41">
        <f>IF(H41&lt;=0, "نفد من المخزن", IF(H41&lt;=I41, "قارب على النفاد", "متوفر بالمخزن"))</f>
      </c>
      <c r="P41">
        <v>0</v>
      </c>
      <c r="Q41" t="str">
        <v>MED-0177</v>
      </c>
      <c r="R41" t="str">
        <v/>
      </c>
      <c r="S41" t="str">
        <v>100mcg</v>
      </c>
      <c r="T41" t="str">
        <v/>
      </c>
    </row>
    <row r="42">
      <c r="A42" t="str">
        <v>الإجمالي</v>
      </c>
      <c r="B42" t="str">
        <v>عدد الأصناف: 38</v>
      </c>
      <c r="C42" t="str">
        <v/>
      </c>
      <c r="D42" t="str">
        <v/>
      </c>
      <c r="E42" t="str">
        <v/>
      </c>
      <c r="F42" s="1">
        <f>AVERAGE(F4:F41)</f>
      </c>
      <c r="G42" s="1">
        <f>AVERAGE(G4:G41)</f>
      </c>
      <c r="H42" s="3">
        <f>SUM(H4:H41)</f>
      </c>
      <c r="I42" s="3">
        <f>SUM(I4:I41)</f>
      </c>
      <c r="J42" s="1">
        <f>AVERAGE(J4:J41)</f>
      </c>
      <c r="K42" s="2">
        <f>AVERAGE(K4:K41)</f>
      </c>
      <c r="L42" s="1">
        <f>SUM(L4:L41)</f>
      </c>
      <c r="M42" s="1">
        <f>SUM(M4:M41)</f>
      </c>
      <c r="N42" s="1">
        <f>SUM(N4:N41)</f>
      </c>
      <c r="O42" t="str">
        <v>محسوب بمعادلات إكسل</v>
      </c>
      <c r="P42" t="str">
        <v/>
      </c>
      <c r="Q42" t="str">
        <v/>
      </c>
      <c r="R42" t="str">
        <v/>
      </c>
      <c r="S42" t="str">
        <v/>
      </c>
      <c r="T42" t="str">
        <v/>
      </c>
    </row>
  </sheetData>
  <mergeCells count="2">
    <mergeCell ref="A1:T1"/>
    <mergeCell ref="A2:T2"/>
  </mergeCells>
  <ignoredErrors>
    <ignoredError numberStoredAsText="1" sqref="A1:T4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T19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[مضادات حيوية ومطهرات بكتيرية]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أوجمنتين 1 جم أقراص 1000mg (علبة 2 شريط - 14 قرص)</v>
      </c>
      <c r="C4" t="str">
        <v>6223003003033</v>
      </c>
      <c r="D4" t="str">
        <v/>
      </c>
      <c r="E4" t="str">
        <v>قطعة</v>
      </c>
      <c r="F4">
        <v>131</v>
      </c>
      <c r="G4">
        <v>102.18</v>
      </c>
      <c r="H4">
        <v>25</v>
      </c>
      <c r="I4">
        <v>5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MED-0057</v>
      </c>
      <c r="R4" t="str">
        <v/>
      </c>
      <c r="S4" t="str">
        <v>1000mg</v>
      </c>
      <c r="T4" t="str">
        <v/>
      </c>
    </row>
    <row r="5">
      <c r="A5">
        <v>2</v>
      </c>
      <c r="B5" t="str">
        <v>أوجمنتين 625 مجم أقراص 625mg (علبة 2 شريط - 14 قرص)</v>
      </c>
      <c r="C5" t="str">
        <v>6223003003040</v>
      </c>
      <c r="D5" t="str">
        <v/>
      </c>
      <c r="E5" t="str">
        <v>قطعة</v>
      </c>
      <c r="F5">
        <v>95</v>
      </c>
      <c r="G5">
        <v>74.1</v>
      </c>
      <c r="H5">
        <v>25</v>
      </c>
      <c r="I5">
        <v>5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MED-0058</v>
      </c>
      <c r="R5" t="str">
        <v/>
      </c>
      <c r="S5" t="str">
        <v>625mg</v>
      </c>
      <c r="T5" t="str">
        <v/>
      </c>
    </row>
    <row r="6">
      <c r="A6">
        <v>3</v>
      </c>
      <c r="B6" t="str">
        <v>أوجمنتين 457 مجم معلق أطفال 457mg/5ml (زجاجة 70 مل بعد التحضير)</v>
      </c>
      <c r="C6" t="str">
        <v>6223003003057</v>
      </c>
      <c r="D6" t="str">
        <v/>
      </c>
      <c r="E6" t="str">
        <v>قطعة</v>
      </c>
      <c r="F6">
        <v>78</v>
      </c>
      <c r="G6">
        <v>60.84</v>
      </c>
      <c r="H6">
        <v>25</v>
      </c>
      <c r="I6">
        <v>5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MED-0059</v>
      </c>
      <c r="R6" t="str">
        <v/>
      </c>
      <c r="S6" t="str">
        <v>457mg/5ml</v>
      </c>
      <c r="T6" t="str">
        <v/>
      </c>
    </row>
    <row r="7">
      <c r="A7">
        <v>4</v>
      </c>
      <c r="B7" t="str">
        <v>أوجمنتين 312 مجم معلق أطفال 312mg/5ml (زجاجة 80 مل بعد التحضير)</v>
      </c>
      <c r="C7" t="str">
        <v>6223003003064</v>
      </c>
      <c r="D7" t="str">
        <v/>
      </c>
      <c r="E7" t="str">
        <v>قطعة</v>
      </c>
      <c r="F7">
        <v>62</v>
      </c>
      <c r="G7">
        <v>48.36</v>
      </c>
      <c r="H7">
        <v>25</v>
      </c>
      <c r="I7">
        <v>5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MED-0060</v>
      </c>
      <c r="R7" t="str">
        <v/>
      </c>
      <c r="S7" t="str">
        <v>312mg/5ml</v>
      </c>
      <c r="T7" t="str">
        <v/>
      </c>
    </row>
    <row r="8">
      <c r="A8">
        <v>5</v>
      </c>
      <c r="B8" t="str">
        <v>كلافيموكس 1 جم أقراص 1000mg (علبة 2 شريط - 14 قرص)</v>
      </c>
      <c r="C8" t="str">
        <v>6223003003101</v>
      </c>
      <c r="D8" t="str">
        <v/>
      </c>
      <c r="E8" t="str">
        <v>قطعة</v>
      </c>
      <c r="F8">
        <v>105</v>
      </c>
      <c r="G8">
        <v>81.9</v>
      </c>
      <c r="H8">
        <v>25</v>
      </c>
      <c r="I8">
        <v>5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MED-0064</v>
      </c>
      <c r="R8" t="str">
        <v/>
      </c>
      <c r="S8" t="str">
        <v>1000mg</v>
      </c>
      <c r="T8" t="str">
        <v/>
      </c>
    </row>
    <row r="9">
      <c r="A9">
        <v>6</v>
      </c>
      <c r="B9" t="str">
        <v>ميجاموكس 1 جم أقراص 1000mg (علبة 2 شريط - 14 قرص)</v>
      </c>
      <c r="C9" t="str">
        <v>6223003003118</v>
      </c>
      <c r="D9" t="str">
        <v/>
      </c>
      <c r="E9" t="str">
        <v>قطعة</v>
      </c>
      <c r="F9">
        <v>110</v>
      </c>
      <c r="G9">
        <v>85.8</v>
      </c>
      <c r="H9">
        <v>25</v>
      </c>
      <c r="I9">
        <v>5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MED-0065</v>
      </c>
      <c r="R9" t="str">
        <v/>
      </c>
      <c r="S9" t="str">
        <v>1000mg</v>
      </c>
      <c r="T9" t="str">
        <v/>
      </c>
    </row>
    <row r="10">
      <c r="A10">
        <v>7</v>
      </c>
      <c r="B10" t="str">
        <v>زيثروماكس 500 مجم كبسولات 500mg (علبة 1 شريط - 3 كبسولات)</v>
      </c>
      <c r="C10" t="str">
        <v>6223003003132</v>
      </c>
      <c r="D10" t="str">
        <v/>
      </c>
      <c r="E10" t="str">
        <v>قطعة</v>
      </c>
      <c r="F10">
        <v>95</v>
      </c>
      <c r="G10">
        <v>74.1</v>
      </c>
      <c r="H10">
        <v>25</v>
      </c>
      <c r="I10">
        <v>5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MED-0067</v>
      </c>
      <c r="R10" t="str">
        <v/>
      </c>
      <c r="S10" t="str">
        <v>500mg</v>
      </c>
      <c r="T10" t="str">
        <v/>
      </c>
    </row>
    <row r="11">
      <c r="A11">
        <v>8</v>
      </c>
      <c r="B11" t="str">
        <v>زيثروماكس 200 مجم/5 مل معلق أطفال 200mg/5ml (زجاجة 22.5 مل)</v>
      </c>
      <c r="C11" t="str">
        <v>6223003003149</v>
      </c>
      <c r="D11" t="str">
        <v/>
      </c>
      <c r="E11" t="str">
        <v>قطعة</v>
      </c>
      <c r="F11">
        <v>65</v>
      </c>
      <c r="G11">
        <v>50.7</v>
      </c>
      <c r="H11">
        <v>25</v>
      </c>
      <c r="I11">
        <v>5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MED-0068</v>
      </c>
      <c r="R11" t="str">
        <v/>
      </c>
      <c r="S11" t="str">
        <v>200mg/5ml</v>
      </c>
      <c r="T11" t="str">
        <v/>
      </c>
    </row>
    <row r="12">
      <c r="A12">
        <v>9</v>
      </c>
      <c r="B12" t="str">
        <v>فلاجيل 500 مجم أقراص مطهر معوي 500mg (علبة 2 شريط - 20 قرص)</v>
      </c>
      <c r="C12" t="str">
        <v>6223003003279</v>
      </c>
      <c r="D12" t="str">
        <v/>
      </c>
      <c r="E12" t="str">
        <v>قطعة</v>
      </c>
      <c r="F12">
        <v>34</v>
      </c>
      <c r="G12">
        <v>26.52</v>
      </c>
      <c r="H12">
        <v>25</v>
      </c>
      <c r="I12">
        <v>5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MED-0081</v>
      </c>
      <c r="R12" t="str">
        <v/>
      </c>
      <c r="S12" t="str">
        <v>500mg</v>
      </c>
      <c r="T12" t="str">
        <v/>
      </c>
    </row>
    <row r="13">
      <c r="A13">
        <v>10</v>
      </c>
      <c r="B13" t="str">
        <v>فلاجيل 125 مجم/5 مل معلق أطفال 125mg/5ml (زجاجة 100 مل)</v>
      </c>
      <c r="C13" t="str">
        <v>6223003003286</v>
      </c>
      <c r="D13" t="str">
        <v/>
      </c>
      <c r="E13" t="str">
        <v>قطعة</v>
      </c>
      <c r="F13">
        <v>22</v>
      </c>
      <c r="G13">
        <v>17.16</v>
      </c>
      <c r="H13">
        <v>25</v>
      </c>
      <c r="I13">
        <v>5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MED-0082</v>
      </c>
      <c r="R13" t="str">
        <v/>
      </c>
      <c r="S13" t="str">
        <v>125mg/5ml</v>
      </c>
      <c r="T13" t="str">
        <v/>
      </c>
    </row>
    <row r="14">
      <c r="A14">
        <v>11</v>
      </c>
      <c r="B14" t="str">
        <v>كليندامايسين 300 مجم كبسولات 300mg (علبة 2 شريط - 16 كبسولة)</v>
      </c>
      <c r="C14" t="str">
        <v>6223003003330</v>
      </c>
      <c r="D14" t="str">
        <v/>
      </c>
      <c r="E14" t="str">
        <v>قطعة</v>
      </c>
      <c r="F14">
        <v>52</v>
      </c>
      <c r="G14">
        <v>40.56</v>
      </c>
      <c r="H14">
        <v>25</v>
      </c>
      <c r="I14">
        <v>5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MED-0087</v>
      </c>
      <c r="R14" t="str">
        <v/>
      </c>
      <c r="S14" t="str">
        <v>300mg</v>
      </c>
      <c r="T14" t="str">
        <v/>
      </c>
    </row>
    <row r="15">
      <c r="A15">
        <v>12</v>
      </c>
      <c r="B15" t="str">
        <v>فيوسيدين 2% كريم مضاد حيوي 30 جم 2% (أنبوبة 30 جم)</v>
      </c>
      <c r="C15" t="str">
        <v>6229009009033</v>
      </c>
      <c r="D15" t="str">
        <v/>
      </c>
      <c r="E15" t="str">
        <v>قطعة</v>
      </c>
      <c r="F15">
        <v>45</v>
      </c>
      <c r="G15">
        <v>35.1</v>
      </c>
      <c r="H15">
        <v>25</v>
      </c>
      <c r="I15">
        <v>5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MED-0200</v>
      </c>
      <c r="R15" t="str">
        <v/>
      </c>
      <c r="S15" t="str">
        <v>2%</v>
      </c>
      <c r="T15" t="str">
        <v/>
      </c>
    </row>
    <row r="16">
      <c r="A16">
        <v>13</v>
      </c>
      <c r="B16" t="str">
        <v>فيوسيدين 2% مرهم مضاد حيوي 30 جم 2% (أنبوبة 30 جم)</v>
      </c>
      <c r="C16" t="str">
        <v>6229009009040</v>
      </c>
      <c r="D16" t="str">
        <v/>
      </c>
      <c r="E16" t="str">
        <v>قطعة</v>
      </c>
      <c r="F16">
        <v>45</v>
      </c>
      <c r="G16">
        <v>35.1</v>
      </c>
      <c r="H16">
        <v>25</v>
      </c>
      <c r="I16">
        <v>5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MED-0201</v>
      </c>
      <c r="R16" t="str">
        <v/>
      </c>
      <c r="S16" t="str">
        <v>2%</v>
      </c>
      <c r="T16" t="str">
        <v/>
      </c>
    </row>
    <row r="17">
      <c r="A17">
        <v>14</v>
      </c>
      <c r="B17" t="str">
        <v>فيوسيكورت كريم كورتيزون ومضاد حيوي 2%/0.1% (أنبوبة 30 جم)</v>
      </c>
      <c r="C17" t="str">
        <v>6229009009057</v>
      </c>
      <c r="D17" t="str">
        <v/>
      </c>
      <c r="E17" t="str">
        <v>قطعة</v>
      </c>
      <c r="F17">
        <v>58</v>
      </c>
      <c r="G17">
        <v>45.24</v>
      </c>
      <c r="H17">
        <v>25</v>
      </c>
      <c r="I17">
        <v>5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MED-0202</v>
      </c>
      <c r="R17" t="str">
        <v/>
      </c>
      <c r="S17" t="str">
        <v>2%/0.1%</v>
      </c>
      <c r="T17" t="str">
        <v/>
      </c>
    </row>
    <row r="18">
      <c r="A18">
        <v>15</v>
      </c>
      <c r="B18" t="str">
        <v>توبريكس قطرة عين مضاد حيوي 0.3% (زجاجة قطارة 5 مل)</v>
      </c>
      <c r="C18" t="str">
        <v>6229009009170</v>
      </c>
      <c r="D18" t="str">
        <v/>
      </c>
      <c r="E18" t="str">
        <v>قطعة</v>
      </c>
      <c r="F18">
        <v>42</v>
      </c>
      <c r="G18">
        <v>32.76</v>
      </c>
      <c r="H18">
        <v>25</v>
      </c>
      <c r="I18">
        <v>5</v>
      </c>
      <c r="J18" s="1">
        <f>F18-G18</f>
      </c>
      <c r="K18" s="2">
        <f>IF(G18&gt;0, (F18-G18)/G18, 0)</f>
      </c>
      <c r="L18" s="1">
        <f>H18*G18</f>
      </c>
      <c r="M18" s="1">
        <f>H18*F18</f>
      </c>
      <c r="N18" s="1">
        <f>M18-L18</f>
      </c>
      <c r="O18">
        <f>IF(H18&lt;=0, "نفد من المخزن", IF(H18&lt;=I18, "قارب على النفاد", "متوفر بالمخزن"))</f>
      </c>
      <c r="P18">
        <v>0</v>
      </c>
      <c r="Q18" t="str">
        <v>MED-0214</v>
      </c>
      <c r="R18" t="str">
        <v/>
      </c>
      <c r="S18" t="str">
        <v>0.3%</v>
      </c>
      <c r="T18" t="str">
        <v/>
      </c>
    </row>
    <row r="19">
      <c r="A19" t="str">
        <v>الإجمالي</v>
      </c>
      <c r="B19" t="str">
        <v>عدد الأصناف: 15</v>
      </c>
      <c r="C19" t="str">
        <v/>
      </c>
      <c r="D19" t="str">
        <v/>
      </c>
      <c r="E19" t="str">
        <v/>
      </c>
      <c r="F19" s="1">
        <f>AVERAGE(F4:F18)</f>
      </c>
      <c r="G19" s="1">
        <f>AVERAGE(G4:G18)</f>
      </c>
      <c r="H19" s="3">
        <f>SUM(H4:H18)</f>
      </c>
      <c r="I19" s="3">
        <f>SUM(I4:I18)</f>
      </c>
      <c r="J19" s="1">
        <f>AVERAGE(J4:J18)</f>
      </c>
      <c r="K19" s="2">
        <f>AVERAGE(K4:K18)</f>
      </c>
      <c r="L19" s="1">
        <f>SUM(L4:L18)</f>
      </c>
      <c r="M19" s="1">
        <f>SUM(M4:M18)</f>
      </c>
      <c r="N19" s="1">
        <f>SUM(N4:N18)</f>
      </c>
      <c r="O19" t="str">
        <v>محسوب بمعادلات إكسل</v>
      </c>
      <c r="P19" t="str">
        <v/>
      </c>
      <c r="Q19" t="str">
        <v/>
      </c>
      <c r="R19" t="str">
        <v/>
      </c>
      <c r="S19" t="str">
        <v/>
      </c>
      <c r="T19" t="str">
        <v/>
      </c>
    </row>
  </sheetData>
  <mergeCells count="2">
    <mergeCell ref="A1:T1"/>
    <mergeCell ref="A2:T2"/>
  </mergeCells>
  <ignoredErrors>
    <ignoredError numberStoredAsText="1" sqref="A1:T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T29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[أدوية الجهاز الهضمي والمعدة والكبد]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أنتينال 200 مجم كبسولات مطهر معوي 200mg (علبة 2 شريط - 24 كبسولة)</v>
      </c>
      <c r="C4" t="str">
        <v>6225005005011</v>
      </c>
      <c r="D4" t="str">
        <v/>
      </c>
      <c r="E4" t="str">
        <v>قطعة</v>
      </c>
      <c r="F4">
        <v>36</v>
      </c>
      <c r="G4">
        <v>28.08</v>
      </c>
      <c r="H4">
        <v>25</v>
      </c>
      <c r="I4">
        <v>5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MED-0089</v>
      </c>
      <c r="R4" t="str">
        <v/>
      </c>
      <c r="S4" t="str">
        <v>200mg</v>
      </c>
      <c r="T4" t="str">
        <v/>
      </c>
    </row>
    <row r="5">
      <c r="A5">
        <v>2</v>
      </c>
      <c r="B5" t="str">
        <v>أنتينال شراب معلق للأطفال 220mg/5ml (زجاجة 60 مل)</v>
      </c>
      <c r="C5" t="str">
        <v>6225005005028</v>
      </c>
      <c r="D5" t="str">
        <v/>
      </c>
      <c r="E5" t="str">
        <v>قطعة</v>
      </c>
      <c r="F5">
        <v>24</v>
      </c>
      <c r="G5">
        <v>18.72</v>
      </c>
      <c r="H5">
        <v>25</v>
      </c>
      <c r="I5">
        <v>5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MED-0090</v>
      </c>
      <c r="R5" t="str">
        <v/>
      </c>
      <c r="S5" t="str">
        <v>220mg/5ml</v>
      </c>
      <c r="T5" t="str">
        <v/>
      </c>
    </row>
    <row r="6">
      <c r="A6">
        <v>3</v>
      </c>
      <c r="B6" t="str">
        <v>دياكس 200 مجم كبسولات إسهال 200mg (علبة 2 شريط - 20 كبسولة)</v>
      </c>
      <c r="C6" t="str">
        <v>6225005005035</v>
      </c>
      <c r="D6" t="str">
        <v/>
      </c>
      <c r="E6" t="str">
        <v>قطعة</v>
      </c>
      <c r="F6">
        <v>26</v>
      </c>
      <c r="G6">
        <v>20.28</v>
      </c>
      <c r="H6">
        <v>25</v>
      </c>
      <c r="I6">
        <v>5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MED-0091</v>
      </c>
      <c r="R6" t="str">
        <v/>
      </c>
      <c r="S6" t="str">
        <v>200mg</v>
      </c>
      <c r="T6" t="str">
        <v/>
      </c>
    </row>
    <row r="7">
      <c r="A7">
        <v>4</v>
      </c>
      <c r="B7" t="str">
        <v>ستربتوكين أقراص للمغص والإسهال Combination (علبة 1 شريط - 10 أقراص)</v>
      </c>
      <c r="C7" t="str">
        <v>6225005005042</v>
      </c>
      <c r="D7" t="str">
        <v/>
      </c>
      <c r="E7" t="str">
        <v>قطعة</v>
      </c>
      <c r="F7">
        <v>18</v>
      </c>
      <c r="G7">
        <v>14.04</v>
      </c>
      <c r="H7">
        <v>25</v>
      </c>
      <c r="I7">
        <v>5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MED-0092</v>
      </c>
      <c r="R7" t="str">
        <v/>
      </c>
      <c r="S7" t="str">
        <v>Combination</v>
      </c>
      <c r="T7" t="str">
        <v/>
      </c>
    </row>
    <row r="8">
      <c r="A8">
        <v>5</v>
      </c>
      <c r="B8" t="str">
        <v>إيموديوم 2 مجم كبسولات إسهال حاد 2mg (علبة 1 شريط - 6 كبسولات)</v>
      </c>
      <c r="C8" t="str">
        <v>6225005005059</v>
      </c>
      <c r="D8" t="str">
        <v/>
      </c>
      <c r="E8" t="str">
        <v>قطعة</v>
      </c>
      <c r="F8">
        <v>35</v>
      </c>
      <c r="G8">
        <v>27.3</v>
      </c>
      <c r="H8">
        <v>25</v>
      </c>
      <c r="I8">
        <v>5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MED-0093</v>
      </c>
      <c r="R8" t="str">
        <v/>
      </c>
      <c r="S8" t="str">
        <v>2mg</v>
      </c>
      <c r="T8" t="str">
        <v/>
      </c>
    </row>
    <row r="9">
      <c r="A9">
        <v>6</v>
      </c>
      <c r="B9" t="str">
        <v>كونترولوك 40 مجم أقراص حموضة ومعدة 40mg (علبة 2 شريط - 14 قرص)</v>
      </c>
      <c r="C9" t="str">
        <v>6225005005066</v>
      </c>
      <c r="D9" t="str">
        <v/>
      </c>
      <c r="E9" t="str">
        <v>قطعة</v>
      </c>
      <c r="F9">
        <v>112</v>
      </c>
      <c r="G9">
        <v>87.36</v>
      </c>
      <c r="H9">
        <v>25</v>
      </c>
      <c r="I9">
        <v>5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MED-0094</v>
      </c>
      <c r="R9" t="str">
        <v/>
      </c>
      <c r="S9" t="str">
        <v>40mg</v>
      </c>
      <c r="T9" t="str">
        <v/>
      </c>
    </row>
    <row r="10">
      <c r="A10">
        <v>7</v>
      </c>
      <c r="B10" t="str">
        <v>كونترولوك 20 مجم أقراص 20mg (علبة 2 شريط - 14 قرص)</v>
      </c>
      <c r="C10" t="str">
        <v>6225005005073</v>
      </c>
      <c r="D10" t="str">
        <v/>
      </c>
      <c r="E10" t="str">
        <v>قطعة</v>
      </c>
      <c r="F10">
        <v>82</v>
      </c>
      <c r="G10">
        <v>63.96</v>
      </c>
      <c r="H10">
        <v>25</v>
      </c>
      <c r="I10">
        <v>5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MED-0095</v>
      </c>
      <c r="R10" t="str">
        <v/>
      </c>
      <c r="S10" t="str">
        <v>20mg</v>
      </c>
      <c r="T10" t="str">
        <v/>
      </c>
    </row>
    <row r="11">
      <c r="A11">
        <v>8</v>
      </c>
      <c r="B11" t="str">
        <v>نيكسيوم 40 مجم أقراص قرحة وارتجاع 40mg (علبة 2 شريط - 14 قرص)</v>
      </c>
      <c r="C11" t="str">
        <v>6225005005080</v>
      </c>
      <c r="D11" t="str">
        <v/>
      </c>
      <c r="E11" t="str">
        <v>قطعة</v>
      </c>
      <c r="F11">
        <v>165</v>
      </c>
      <c r="G11">
        <v>128.7</v>
      </c>
      <c r="H11">
        <v>25</v>
      </c>
      <c r="I11">
        <v>5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MED-0096</v>
      </c>
      <c r="R11" t="str">
        <v/>
      </c>
      <c r="S11" t="str">
        <v>40mg</v>
      </c>
      <c r="T11" t="str">
        <v/>
      </c>
    </row>
    <row r="12">
      <c r="A12">
        <v>9</v>
      </c>
      <c r="B12" t="str">
        <v>نيكسيوم 20 مجم أقراص 20mg (علبة 2 شريط - 14 قرص)</v>
      </c>
      <c r="C12" t="str">
        <v>6225005005097</v>
      </c>
      <c r="D12" t="str">
        <v/>
      </c>
      <c r="E12" t="str">
        <v>قطعة</v>
      </c>
      <c r="F12">
        <v>125</v>
      </c>
      <c r="G12">
        <v>97.5</v>
      </c>
      <c r="H12">
        <v>25</v>
      </c>
      <c r="I12">
        <v>5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MED-0097</v>
      </c>
      <c r="R12" t="str">
        <v/>
      </c>
      <c r="S12" t="str">
        <v>20mg</v>
      </c>
      <c r="T12" t="str">
        <v/>
      </c>
    </row>
    <row r="13">
      <c r="A13">
        <v>10</v>
      </c>
      <c r="B13" t="str">
        <v>أوميبرازول 20 مجم كبسولات 20mg (علبة 2 شريط - 14 كبسولة)</v>
      </c>
      <c r="C13" t="str">
        <v>6225005005103</v>
      </c>
      <c r="D13" t="str">
        <v/>
      </c>
      <c r="E13" t="str">
        <v>قطعة</v>
      </c>
      <c r="F13">
        <v>45</v>
      </c>
      <c r="G13">
        <v>35.1</v>
      </c>
      <c r="H13">
        <v>25</v>
      </c>
      <c r="I13">
        <v>5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MED-0098</v>
      </c>
      <c r="R13" t="str">
        <v/>
      </c>
      <c r="S13" t="str">
        <v>20mg</v>
      </c>
      <c r="T13" t="str">
        <v/>
      </c>
    </row>
    <row r="14">
      <c r="A14">
        <v>11</v>
      </c>
      <c r="B14" t="str">
        <v>هيلسيك 20 مجم كبسولات حموضة 20mg (علبة 2 شريط - 14 كبسولة)</v>
      </c>
      <c r="C14" t="str">
        <v>6225005005127</v>
      </c>
      <c r="D14" t="str">
        <v/>
      </c>
      <c r="E14" t="str">
        <v>قطعة</v>
      </c>
      <c r="F14">
        <v>48</v>
      </c>
      <c r="G14">
        <v>37.44</v>
      </c>
      <c r="H14">
        <v>25</v>
      </c>
      <c r="I14">
        <v>5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MED-0100</v>
      </c>
      <c r="R14" t="str">
        <v/>
      </c>
      <c r="S14" t="str">
        <v>20mg</v>
      </c>
      <c r="T14" t="str">
        <v/>
      </c>
    </row>
    <row r="15">
      <c r="A15">
        <v>12</v>
      </c>
      <c r="B15" t="str">
        <v>مالوكس بلس أكياس فوار للحموضة Combination (علبة 20 كيس)</v>
      </c>
      <c r="C15" t="str">
        <v>6225005005141</v>
      </c>
      <c r="D15" t="str">
        <v/>
      </c>
      <c r="E15" t="str">
        <v>قطعة</v>
      </c>
      <c r="F15">
        <v>65</v>
      </c>
      <c r="G15">
        <v>50.7</v>
      </c>
      <c r="H15">
        <v>25</v>
      </c>
      <c r="I15">
        <v>5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MED-0102</v>
      </c>
      <c r="R15" t="str">
        <v/>
      </c>
      <c r="S15" t="str">
        <v>Combination</v>
      </c>
      <c r="T15" t="str">
        <v/>
      </c>
    </row>
    <row r="16">
      <c r="A16">
        <v>13</v>
      </c>
      <c r="B16" t="str">
        <v>جافيسكون شراب نعناع للحموضة والارتجاع Combination (زجاجة 150 مل)</v>
      </c>
      <c r="C16" t="str">
        <v>6225005005158</v>
      </c>
      <c r="D16" t="str">
        <v/>
      </c>
      <c r="E16" t="str">
        <v>قطعة</v>
      </c>
      <c r="F16">
        <v>68</v>
      </c>
      <c r="G16">
        <v>53.04</v>
      </c>
      <c r="H16">
        <v>25</v>
      </c>
      <c r="I16">
        <v>5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MED-0103</v>
      </c>
      <c r="R16" t="str">
        <v/>
      </c>
      <c r="S16" t="str">
        <v>Combination</v>
      </c>
      <c r="T16" t="str">
        <v/>
      </c>
    </row>
    <row r="17">
      <c r="A17">
        <v>14</v>
      </c>
      <c r="B17" t="str">
        <v>إبيكوجيل شراب حموضة ومعدّة Combination (زجاجة 125 مل)</v>
      </c>
      <c r="C17" t="str">
        <v>6225005005165</v>
      </c>
      <c r="D17" t="str">
        <v/>
      </c>
      <c r="E17" t="str">
        <v>قطعة</v>
      </c>
      <c r="F17">
        <v>22</v>
      </c>
      <c r="G17">
        <v>17.16</v>
      </c>
      <c r="H17">
        <v>25</v>
      </c>
      <c r="I17">
        <v>5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MED-0104</v>
      </c>
      <c r="R17" t="str">
        <v/>
      </c>
      <c r="S17" t="str">
        <v>Combination</v>
      </c>
      <c r="T17" t="str">
        <v/>
      </c>
    </row>
    <row r="18">
      <c r="A18">
        <v>15</v>
      </c>
      <c r="B18" t="str">
        <v>كولونا أقراص للقولون العصبي والانتفاخ 100mg/25mg (علبة 3 شريط - 30 قرص)</v>
      </c>
      <c r="C18" t="str">
        <v>6225005005172</v>
      </c>
      <c r="D18" t="str">
        <v/>
      </c>
      <c r="E18" t="str">
        <v>قطعة</v>
      </c>
      <c r="F18">
        <v>45</v>
      </c>
      <c r="G18">
        <v>35.1</v>
      </c>
      <c r="H18">
        <v>25</v>
      </c>
      <c r="I18">
        <v>5</v>
      </c>
      <c r="J18" s="1">
        <f>F18-G18</f>
      </c>
      <c r="K18" s="2">
        <f>IF(G18&gt;0, (F18-G18)/G18, 0)</f>
      </c>
      <c r="L18" s="1">
        <f>H18*G18</f>
      </c>
      <c r="M18" s="1">
        <f>H18*F18</f>
      </c>
      <c r="N18" s="1">
        <f>M18-L18</f>
      </c>
      <c r="O18">
        <f>IF(H18&lt;=0, "نفد من المخزن", IF(H18&lt;=I18, "قارب على النفاد", "متوفر بالمخزن"))</f>
      </c>
      <c r="P18">
        <v>0</v>
      </c>
      <c r="Q18" t="str">
        <v>MED-0105</v>
      </c>
      <c r="R18" t="str">
        <v/>
      </c>
      <c r="S18" t="str">
        <v>100mg/25mg</v>
      </c>
      <c r="T18" t="str">
        <v/>
      </c>
    </row>
    <row r="19">
      <c r="A19">
        <v>16</v>
      </c>
      <c r="B19" t="str">
        <v>كولوفيرين د أقراص للقولون والغازات 135mg/40mg (علبة 3 شريط - 30 قرص)</v>
      </c>
      <c r="C19" t="str">
        <v>6225005005189</v>
      </c>
      <c r="D19" t="str">
        <v/>
      </c>
      <c r="E19" t="str">
        <v>قطعة</v>
      </c>
      <c r="F19">
        <v>52</v>
      </c>
      <c r="G19">
        <v>40.56</v>
      </c>
      <c r="H19">
        <v>25</v>
      </c>
      <c r="I19">
        <v>5</v>
      </c>
      <c r="J19" s="1">
        <f>F19-G19</f>
      </c>
      <c r="K19" s="2">
        <f>IF(G19&gt;0, (F19-G19)/G19, 0)</f>
      </c>
      <c r="L19" s="1">
        <f>H19*G19</f>
      </c>
      <c r="M19" s="1">
        <f>H19*F19</f>
      </c>
      <c r="N19" s="1">
        <f>M19-L19</f>
      </c>
      <c r="O19">
        <f>IF(H19&lt;=0, "نفد من المخزن", IF(H19&lt;=I19, "قارب على النفاد", "متوفر بالمخزن"))</f>
      </c>
      <c r="P19">
        <v>0</v>
      </c>
      <c r="Q19" t="str">
        <v>MED-0106</v>
      </c>
      <c r="R19" t="str">
        <v/>
      </c>
      <c r="S19" t="str">
        <v>135mg/40mg</v>
      </c>
      <c r="T19" t="str">
        <v/>
      </c>
    </row>
    <row r="20">
      <c r="A20">
        <v>17</v>
      </c>
      <c r="B20" t="str">
        <v>كولوفيرين أ أقراص للقولون والتوتر 135mg/5mg (علبة 3 شريط - 30 قرص)</v>
      </c>
      <c r="C20" t="str">
        <v>6225005005196</v>
      </c>
      <c r="D20" t="str">
        <v/>
      </c>
      <c r="E20" t="str">
        <v>قطعة</v>
      </c>
      <c r="F20">
        <v>48</v>
      </c>
      <c r="G20">
        <v>37.44</v>
      </c>
      <c r="H20">
        <v>25</v>
      </c>
      <c r="I20">
        <v>5</v>
      </c>
      <c r="J20" s="1">
        <f>F20-G20</f>
      </c>
      <c r="K20" s="2">
        <f>IF(G20&gt;0, (F20-G20)/G20, 0)</f>
      </c>
      <c r="L20" s="1">
        <f>H20*G20</f>
      </c>
      <c r="M20" s="1">
        <f>H20*F20</f>
      </c>
      <c r="N20" s="1">
        <f>M20-L20</f>
      </c>
      <c r="O20">
        <f>IF(H20&lt;=0, "نفد من المخزن", IF(H20&lt;=I20, "قارب على النفاد", "متوفر بالمخزن"))</f>
      </c>
      <c r="P20">
        <v>0</v>
      </c>
      <c r="Q20" t="str">
        <v>MED-0107</v>
      </c>
      <c r="R20" t="str">
        <v/>
      </c>
      <c r="S20" t="str">
        <v>135mg/5mg</v>
      </c>
      <c r="T20" t="str">
        <v/>
      </c>
    </row>
    <row r="21">
      <c r="A21">
        <v>18</v>
      </c>
      <c r="B21" t="str">
        <v>ليبراكس أقراص لقرحة المعدة والقولون 2.5mg/5mg (علبة 3 شريط - 30 قرص)</v>
      </c>
      <c r="C21" t="str">
        <v>6225005005202</v>
      </c>
      <c r="D21" t="str">
        <v/>
      </c>
      <c r="E21" t="str">
        <v>قطعة</v>
      </c>
      <c r="F21">
        <v>42</v>
      </c>
      <c r="G21">
        <v>32.76</v>
      </c>
      <c r="H21">
        <v>25</v>
      </c>
      <c r="I21">
        <v>5</v>
      </c>
      <c r="J21" s="1">
        <f>F21-G21</f>
      </c>
      <c r="K21" s="2">
        <f>IF(G21&gt;0, (F21-G21)/G21, 0)</f>
      </c>
      <c r="L21" s="1">
        <f>H21*G21</f>
      </c>
      <c r="M21" s="1">
        <f>H21*F21</f>
      </c>
      <c r="N21" s="1">
        <f>M21-L21</f>
      </c>
      <c r="O21">
        <f>IF(H21&lt;=0, "نفد من المخزن", IF(H21&lt;=I21, "قارب على النفاد", "متوفر بالمخزن"))</f>
      </c>
      <c r="P21">
        <v>0</v>
      </c>
      <c r="Q21" t="str">
        <v>MED-0108</v>
      </c>
      <c r="R21" t="str">
        <v/>
      </c>
      <c r="S21" t="str">
        <v>2.5mg/5mg</v>
      </c>
      <c r="T21" t="str">
        <v/>
      </c>
    </row>
    <row r="22">
      <c r="A22">
        <v>19</v>
      </c>
      <c r="B22" t="str">
        <v>ديسباتالين ريتارد 200 مجم كبسولات قولون 200mg (علبة 3 شريط - 30 كبسولة)</v>
      </c>
      <c r="C22" t="str">
        <v>6225005005219</v>
      </c>
      <c r="D22" t="str">
        <v/>
      </c>
      <c r="E22" t="str">
        <v>قطعة</v>
      </c>
      <c r="F22">
        <v>92</v>
      </c>
      <c r="G22">
        <v>71.76</v>
      </c>
      <c r="H22">
        <v>25</v>
      </c>
      <c r="I22">
        <v>5</v>
      </c>
      <c r="J22" s="1">
        <f>F22-G22</f>
      </c>
      <c r="K22" s="2">
        <f>IF(G22&gt;0, (F22-G22)/G22, 0)</f>
      </c>
      <c r="L22" s="1">
        <f>H22*G22</f>
      </c>
      <c r="M22" s="1">
        <f>H22*F22</f>
      </c>
      <c r="N22" s="1">
        <f>M22-L22</f>
      </c>
      <c r="O22">
        <f>IF(H22&lt;=0, "نفد من المخزن", IF(H22&lt;=I22, "قارب على النفاد", "متوفر بالمخزن"))</f>
      </c>
      <c r="P22">
        <v>0</v>
      </c>
      <c r="Q22" t="str">
        <v>MED-0109</v>
      </c>
      <c r="R22" t="str">
        <v/>
      </c>
      <c r="S22" t="str">
        <v>200mg</v>
      </c>
      <c r="T22" t="str">
        <v/>
      </c>
    </row>
    <row r="23">
      <c r="A23">
        <v>20</v>
      </c>
      <c r="B23" t="str">
        <v>سبازموفرين أقراص للمغص والتقلصات 50mg/10mg (علبة 2 شريط - 20 قرص)</v>
      </c>
      <c r="C23" t="str">
        <v>6225005005226</v>
      </c>
      <c r="D23" t="str">
        <v/>
      </c>
      <c r="E23" t="str">
        <v>قطعة</v>
      </c>
      <c r="F23">
        <v>32</v>
      </c>
      <c r="G23">
        <v>24.96</v>
      </c>
      <c r="H23">
        <v>25</v>
      </c>
      <c r="I23">
        <v>5</v>
      </c>
      <c r="J23" s="1">
        <f>F23-G23</f>
      </c>
      <c r="K23" s="2">
        <f>IF(G23&gt;0, (F23-G23)/G23, 0)</f>
      </c>
      <c r="L23" s="1">
        <f>H23*G23</f>
      </c>
      <c r="M23" s="1">
        <f>H23*F23</f>
      </c>
      <c r="N23" s="1">
        <f>M23-L23</f>
      </c>
      <c r="O23">
        <f>IF(H23&lt;=0, "نفد من المخزن", IF(H23&lt;=I23, "قارب على النفاد", "متوفر بالمخزن"))</f>
      </c>
      <c r="P23">
        <v>0</v>
      </c>
      <c r="Q23" t="str">
        <v>MED-0110</v>
      </c>
      <c r="R23" t="str">
        <v/>
      </c>
      <c r="S23" t="str">
        <v>50mg/10mg</v>
      </c>
      <c r="T23" t="str">
        <v/>
      </c>
    </row>
    <row r="24">
      <c r="A24">
        <v>21</v>
      </c>
      <c r="B24" t="str">
        <v>موتيليوم 10 مجم أقراص للغثيان والترجيع 10mg (علبة 3 شريط - 30 قرص)</v>
      </c>
      <c r="C24" t="str">
        <v>6225005005257</v>
      </c>
      <c r="D24" t="str">
        <v/>
      </c>
      <c r="E24" t="str">
        <v>قطعة</v>
      </c>
      <c r="F24">
        <v>58</v>
      </c>
      <c r="G24">
        <v>45.24</v>
      </c>
      <c r="H24">
        <v>25</v>
      </c>
      <c r="I24">
        <v>5</v>
      </c>
      <c r="J24" s="1">
        <f>F24-G24</f>
      </c>
      <c r="K24" s="2">
        <f>IF(G24&gt;0, (F24-G24)/G24, 0)</f>
      </c>
      <c r="L24" s="1">
        <f>H24*G24</f>
      </c>
      <c r="M24" s="1">
        <f>H24*F24</f>
      </c>
      <c r="N24" s="1">
        <f>M24-L24</f>
      </c>
      <c r="O24">
        <f>IF(H24&lt;=0, "نفد من المخزن", IF(H24&lt;=I24, "قارب على النفاد", "متوفر بالمخزن"))</f>
      </c>
      <c r="P24">
        <v>0</v>
      </c>
      <c r="Q24" t="str">
        <v>MED-0113</v>
      </c>
      <c r="R24" t="str">
        <v/>
      </c>
      <c r="S24" t="str">
        <v>10mg</v>
      </c>
      <c r="T24" t="str">
        <v/>
      </c>
    </row>
    <row r="25">
      <c r="A25">
        <v>22</v>
      </c>
      <c r="B25" t="str">
        <v>موتيليوم شراب معلق أطفال 1mg/ml (زجاجة 100 مل)</v>
      </c>
      <c r="C25" t="str">
        <v>6225005005264</v>
      </c>
      <c r="D25" t="str">
        <v/>
      </c>
      <c r="E25" t="str">
        <v>قطعة</v>
      </c>
      <c r="F25">
        <v>32</v>
      </c>
      <c r="G25">
        <v>24.96</v>
      </c>
      <c r="H25">
        <v>25</v>
      </c>
      <c r="I25">
        <v>5</v>
      </c>
      <c r="J25" s="1">
        <f>F25-G25</f>
      </c>
      <c r="K25" s="2">
        <f>IF(G25&gt;0, (F25-G25)/G25, 0)</f>
      </c>
      <c r="L25" s="1">
        <f>H25*G25</f>
      </c>
      <c r="M25" s="1">
        <f>H25*F25</f>
      </c>
      <c r="N25" s="1">
        <f>M25-L25</f>
      </c>
      <c r="O25">
        <f>IF(H25&lt;=0, "نفد من المخزن", IF(H25&lt;=I25, "قارب على النفاد", "متوفر بالمخزن"))</f>
      </c>
      <c r="P25">
        <v>0</v>
      </c>
      <c r="Q25" t="str">
        <v>MED-0114</v>
      </c>
      <c r="R25" t="str">
        <v/>
      </c>
      <c r="S25" t="str">
        <v>1mg/ml</v>
      </c>
      <c r="T25" t="str">
        <v/>
      </c>
    </row>
    <row r="26">
      <c r="A26">
        <v>23</v>
      </c>
      <c r="B26" t="str">
        <v>برمبران 10 مجم أقراص للقيء 10mg (علبة 2 شريط - 20 قرص)</v>
      </c>
      <c r="C26" t="str">
        <v>6225005005271</v>
      </c>
      <c r="D26" t="str">
        <v/>
      </c>
      <c r="E26" t="str">
        <v>قطعة</v>
      </c>
      <c r="F26">
        <v>24</v>
      </c>
      <c r="G26">
        <v>18.72</v>
      </c>
      <c r="H26">
        <v>25</v>
      </c>
      <c r="I26">
        <v>5</v>
      </c>
      <c r="J26" s="1">
        <f>F26-G26</f>
      </c>
      <c r="K26" s="2">
        <f>IF(G26&gt;0, (F26-G26)/G26, 0)</f>
      </c>
      <c r="L26" s="1">
        <f>H26*G26</f>
      </c>
      <c r="M26" s="1">
        <f>H26*F26</f>
      </c>
      <c r="N26" s="1">
        <f>M26-L26</f>
      </c>
      <c r="O26">
        <f>IF(H26&lt;=0, "نفد من المخزن", IF(H26&lt;=I26, "قارب على النفاد", "متوفر بالمخزن"))</f>
      </c>
      <c r="P26">
        <v>0</v>
      </c>
      <c r="Q26" t="str">
        <v>MED-0115</v>
      </c>
      <c r="R26" t="str">
        <v/>
      </c>
      <c r="S26" t="str">
        <v>10mg</v>
      </c>
      <c r="T26" t="str">
        <v/>
      </c>
    </row>
    <row r="27">
      <c r="A27">
        <v>24</v>
      </c>
      <c r="B27" t="str">
        <v>دوفلاك شراب ملين للإمساك 3.33g/5ml (زجاجة 200 مل)</v>
      </c>
      <c r="C27" t="str">
        <v>6225005005288</v>
      </c>
      <c r="D27" t="str">
        <v/>
      </c>
      <c r="E27" t="str">
        <v>قطعة</v>
      </c>
      <c r="F27">
        <v>68</v>
      </c>
      <c r="G27">
        <v>53.04</v>
      </c>
      <c r="H27">
        <v>25</v>
      </c>
      <c r="I27">
        <v>5</v>
      </c>
      <c r="J27" s="1">
        <f>F27-G27</f>
      </c>
      <c r="K27" s="2">
        <f>IF(G27&gt;0, (F27-G27)/G27, 0)</f>
      </c>
      <c r="L27" s="1">
        <f>H27*G27</f>
      </c>
      <c r="M27" s="1">
        <f>H27*F27</f>
      </c>
      <c r="N27" s="1">
        <f>M27-L27</f>
      </c>
      <c r="O27">
        <f>IF(H27&lt;=0, "نفد من المخزن", IF(H27&lt;=I27, "قارب على النفاد", "متوفر بالمخزن"))</f>
      </c>
      <c r="P27">
        <v>0</v>
      </c>
      <c r="Q27" t="str">
        <v>MED-0116</v>
      </c>
      <c r="R27" t="str">
        <v/>
      </c>
      <c r="S27" t="str">
        <v>3.33g/5ml</v>
      </c>
      <c r="T27" t="str">
        <v/>
      </c>
    </row>
    <row r="28">
      <c r="A28">
        <v>25</v>
      </c>
      <c r="B28" t="str">
        <v>دولكولاكس 5 مجم أقراص إمساك 5mg (علبة 3 شريط - 30 قرص)</v>
      </c>
      <c r="C28" t="str">
        <v>6225005005318</v>
      </c>
      <c r="D28" t="str">
        <v/>
      </c>
      <c r="E28" t="str">
        <v>قطعة</v>
      </c>
      <c r="F28">
        <v>36</v>
      </c>
      <c r="G28">
        <v>28.08</v>
      </c>
      <c r="H28">
        <v>25</v>
      </c>
      <c r="I28">
        <v>5</v>
      </c>
      <c r="J28" s="1">
        <f>F28-G28</f>
      </c>
      <c r="K28" s="2">
        <f>IF(G28&gt;0, (F28-G28)/G28, 0)</f>
      </c>
      <c r="L28" s="1">
        <f>H28*G28</f>
      </c>
      <c r="M28" s="1">
        <f>H28*F28</f>
      </c>
      <c r="N28" s="1">
        <f>M28-L28</f>
      </c>
      <c r="O28">
        <f>IF(H28&lt;=0, "نفد من المخزن", IF(H28&lt;=I28, "قارب على النفاد", "متوفر بالمخزن"))</f>
      </c>
      <c r="P28">
        <v>0</v>
      </c>
      <c r="Q28" t="str">
        <v>MED-0119</v>
      </c>
      <c r="R28" t="str">
        <v/>
      </c>
      <c r="S28" t="str">
        <v>5mg</v>
      </c>
      <c r="T28" t="str">
        <v/>
      </c>
    </row>
    <row r="29">
      <c r="A29" t="str">
        <v>الإجمالي</v>
      </c>
      <c r="B29" t="str">
        <v>عدد الأصناف: 25</v>
      </c>
      <c r="C29" t="str">
        <v/>
      </c>
      <c r="D29" t="str">
        <v/>
      </c>
      <c r="E29" t="str">
        <v/>
      </c>
      <c r="F29" s="1">
        <f>AVERAGE(F4:F28)</f>
      </c>
      <c r="G29" s="1">
        <f>AVERAGE(G4:G28)</f>
      </c>
      <c r="H29" s="3">
        <f>SUM(H4:H28)</f>
      </c>
      <c r="I29" s="3">
        <f>SUM(I4:I28)</f>
      </c>
      <c r="J29" s="1">
        <f>AVERAGE(J4:J28)</f>
      </c>
      <c r="K29" s="2">
        <f>AVERAGE(K4:K28)</f>
      </c>
      <c r="L29" s="1">
        <f>SUM(L4:L28)</f>
      </c>
      <c r="M29" s="1">
        <f>SUM(M4:M28)</f>
      </c>
      <c r="N29" s="1">
        <f>SUM(N4:N28)</f>
      </c>
      <c r="O29" t="str">
        <v>محسوب بمعادلات إكسل</v>
      </c>
      <c r="P29" t="str">
        <v/>
      </c>
      <c r="Q29" t="str">
        <v/>
      </c>
      <c r="R29" t="str">
        <v/>
      </c>
      <c r="S29" t="str">
        <v/>
      </c>
      <c r="T29" t="str">
        <v/>
      </c>
    </row>
  </sheetData>
  <mergeCells count="2">
    <mergeCell ref="A1:T1"/>
    <mergeCell ref="A2:T2"/>
  </mergeCells>
  <ignoredErrors>
    <ignoredError numberStoredAsText="1" sqref="A1:T2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T24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[مستلزمات وإسعافات]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كحول طبي معقم إيثيلي 70% بخاخ 120 مل</v>
      </c>
      <c r="C4" t="str">
        <v>6221100020014</v>
      </c>
      <c r="D4" t="str">
        <v/>
      </c>
      <c r="E4" t="str">
        <v>قطعة</v>
      </c>
      <c r="F4">
        <v>25</v>
      </c>
      <c r="G4">
        <v>16</v>
      </c>
      <c r="H4">
        <v>0</v>
      </c>
      <c r="I4">
        <v>12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PHR-0013</v>
      </c>
      <c r="R4" t="str">
        <v/>
      </c>
      <c r="S4" t="str">
        <v/>
      </c>
      <c r="T4" t="str">
        <v/>
      </c>
    </row>
    <row r="5">
      <c r="A5">
        <v>2</v>
      </c>
      <c r="B5" t="str">
        <v>بيتادين مطهر جروح سائل 60 مل</v>
      </c>
      <c r="C5" t="str">
        <v>6221100020021</v>
      </c>
      <c r="D5" t="str">
        <v/>
      </c>
      <c r="E5" t="str">
        <v>قطعة</v>
      </c>
      <c r="F5">
        <v>45</v>
      </c>
      <c r="G5">
        <v>36</v>
      </c>
      <c r="H5">
        <v>0</v>
      </c>
      <c r="I5">
        <v>8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PHR-0014</v>
      </c>
      <c r="R5" t="str">
        <v/>
      </c>
      <c r="S5" t="str">
        <v/>
      </c>
      <c r="T5" t="str">
        <v/>
      </c>
    </row>
    <row r="6">
      <c r="A6">
        <v>3</v>
      </c>
      <c r="B6" t="str">
        <v>قطن طبي ممتص فاخر معقم 100 جم</v>
      </c>
      <c r="C6" t="str">
        <v>6221100020038</v>
      </c>
      <c r="D6" t="str">
        <v/>
      </c>
      <c r="E6" t="str">
        <v>قطعة</v>
      </c>
      <c r="F6">
        <v>22</v>
      </c>
      <c r="G6">
        <v>15</v>
      </c>
      <c r="H6">
        <v>0</v>
      </c>
      <c r="I6">
        <v>10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PHR-0015</v>
      </c>
      <c r="R6" t="str">
        <v/>
      </c>
      <c r="S6" t="str">
        <v/>
      </c>
      <c r="T6" t="str">
        <v/>
      </c>
    </row>
    <row r="7">
      <c r="A7">
        <v>4</v>
      </c>
      <c r="B7" t="str">
        <v>شاش طبي معقم باكت 5 قطع</v>
      </c>
      <c r="C7" t="str">
        <v>6221100020045</v>
      </c>
      <c r="D7" t="str">
        <v/>
      </c>
      <c r="E7" t="str">
        <v>قطعة</v>
      </c>
      <c r="F7">
        <v>15</v>
      </c>
      <c r="G7">
        <v>9.5</v>
      </c>
      <c r="H7">
        <v>0</v>
      </c>
      <c r="I7">
        <v>15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PHR-0016</v>
      </c>
      <c r="R7" t="str">
        <v/>
      </c>
      <c r="S7" t="str">
        <v/>
      </c>
      <c r="T7" t="str">
        <v/>
      </c>
    </row>
    <row r="8">
      <c r="A8">
        <v>5</v>
      </c>
      <c r="B8" t="str">
        <v>بلاستر طبي لاصق جروح علبة 50 قطعة</v>
      </c>
      <c r="C8" t="str">
        <v>6221100020052</v>
      </c>
      <c r="D8" t="str">
        <v/>
      </c>
      <c r="E8" t="str">
        <v>قطعة</v>
      </c>
      <c r="F8">
        <v>30</v>
      </c>
      <c r="G8">
        <v>18</v>
      </c>
      <c r="H8">
        <v>0</v>
      </c>
      <c r="I8">
        <v>8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PHR-0017</v>
      </c>
      <c r="R8" t="str">
        <v/>
      </c>
      <c r="S8" t="str">
        <v/>
      </c>
      <c r="T8" t="str">
        <v/>
      </c>
    </row>
    <row r="9">
      <c r="A9">
        <v>6</v>
      </c>
      <c r="B9" t="str">
        <v>رباط ضاغط طبي مرن مقاس 10 سم</v>
      </c>
      <c r="C9" t="str">
        <v>6221100020069</v>
      </c>
      <c r="D9" t="str">
        <v/>
      </c>
      <c r="E9" t="str">
        <v>قطعة</v>
      </c>
      <c r="F9">
        <v>20</v>
      </c>
      <c r="G9">
        <v>12</v>
      </c>
      <c r="H9">
        <v>0</v>
      </c>
      <c r="I9">
        <v>7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PHR-0018</v>
      </c>
      <c r="R9" t="str">
        <v/>
      </c>
      <c r="S9" t="str">
        <v>10 سم</v>
      </c>
      <c r="T9" t="str">
        <v/>
      </c>
    </row>
    <row r="10">
      <c r="A10">
        <v>7</v>
      </c>
      <c r="B10" t="str">
        <v>ترمومتر رقمي ديجيتال لقياس الحرارة شاشة LCD</v>
      </c>
      <c r="C10" t="str">
        <v>6221100020076</v>
      </c>
      <c r="D10" t="str">
        <v/>
      </c>
      <c r="E10" t="str">
        <v>قطعة</v>
      </c>
      <c r="F10">
        <v>75</v>
      </c>
      <c r="G10">
        <v>48</v>
      </c>
      <c r="H10">
        <v>0</v>
      </c>
      <c r="I10">
        <v>4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PHR-0019</v>
      </c>
      <c r="R10" t="str">
        <v/>
      </c>
      <c r="S10" t="str">
        <v/>
      </c>
      <c r="T10" t="str">
        <v/>
      </c>
    </row>
    <row r="11">
      <c r="A11">
        <v>8</v>
      </c>
      <c r="B11" t="str">
        <v>سرنجة طبية معقمة 3 سم سن دقيق كرتونة 100</v>
      </c>
      <c r="C11" t="str">
        <v>6221100020083</v>
      </c>
      <c r="D11" t="str">
        <v/>
      </c>
      <c r="E11" t="str">
        <v>قطعة</v>
      </c>
      <c r="F11">
        <v>2.5</v>
      </c>
      <c r="G11">
        <v>1.6</v>
      </c>
      <c r="H11">
        <v>0</v>
      </c>
      <c r="I11">
        <v>40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PHR-0020</v>
      </c>
      <c r="R11" t="str">
        <v/>
      </c>
      <c r="S11" t="str">
        <v>3 سم</v>
      </c>
      <c r="T11" t="str">
        <v/>
      </c>
    </row>
    <row r="12">
      <c r="A12">
        <v>9</v>
      </c>
      <c r="B12" t="str">
        <v>سرنجة طبية معقمة 5 سم كرتونة 100</v>
      </c>
      <c r="C12" t="str">
        <v>6221100020090</v>
      </c>
      <c r="D12" t="str">
        <v/>
      </c>
      <c r="E12" t="str">
        <v>قطعة</v>
      </c>
      <c r="F12">
        <v>3</v>
      </c>
      <c r="G12">
        <v>1.9</v>
      </c>
      <c r="H12">
        <v>0</v>
      </c>
      <c r="I12">
        <v>40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PHR-0021</v>
      </c>
      <c r="R12" t="str">
        <v/>
      </c>
      <c r="S12" t="str">
        <v>5 سم</v>
      </c>
      <c r="T12" t="str">
        <v/>
      </c>
    </row>
    <row r="13">
      <c r="A13">
        <v>10</v>
      </c>
      <c r="B13" t="str">
        <v>كمامة طبية 3 طبقات دعامة أنف باكت 50 قطعة</v>
      </c>
      <c r="C13" t="str">
        <v>6221100020106</v>
      </c>
      <c r="D13" t="str">
        <v/>
      </c>
      <c r="E13" t="str">
        <v>قطعة</v>
      </c>
      <c r="F13">
        <v>40</v>
      </c>
      <c r="G13">
        <v>24</v>
      </c>
      <c r="H13">
        <v>0</v>
      </c>
      <c r="I13">
        <v>10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PHR-0022</v>
      </c>
      <c r="R13" t="str">
        <v>أزرق</v>
      </c>
      <c r="S13" t="str">
        <v/>
      </c>
      <c r="T13" t="str">
        <v/>
      </c>
    </row>
    <row r="14">
      <c r="A14">
        <v>11</v>
      </c>
      <c r="B14" t="str">
        <v>جهاز قياس السكر في الدم أكوا شيك إنستانت + 10 شرائط</v>
      </c>
      <c r="C14" t="str">
        <v>4015630012345</v>
      </c>
      <c r="D14" t="str">
        <v/>
      </c>
      <c r="E14" t="str">
        <v>قطعة</v>
      </c>
      <c r="F14">
        <v>550</v>
      </c>
      <c r="G14">
        <v>440</v>
      </c>
      <c r="H14">
        <v>10</v>
      </c>
      <c r="I14">
        <v>2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SUP-0001</v>
      </c>
      <c r="R14" t="str">
        <v/>
      </c>
      <c r="S14" t="str">
        <v/>
      </c>
      <c r="T14" t="str">
        <v/>
      </c>
    </row>
    <row r="15">
      <c r="A15">
        <v>12</v>
      </c>
      <c r="B15" t="str">
        <v>شرائط قياس سكر أكوا شيك إنستانت علبة 50 شريط</v>
      </c>
      <c r="C15" t="str">
        <v>4015630012352</v>
      </c>
      <c r="D15" t="str">
        <v/>
      </c>
      <c r="E15" t="str">
        <v>قطعة</v>
      </c>
      <c r="F15">
        <v>380</v>
      </c>
      <c r="G15">
        <v>310</v>
      </c>
      <c r="H15">
        <v>25</v>
      </c>
      <c r="I15">
        <v>5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SUP-0002</v>
      </c>
      <c r="R15" t="str">
        <v/>
      </c>
      <c r="S15" t="str">
        <v/>
      </c>
      <c r="T15" t="str">
        <v/>
      </c>
    </row>
    <row r="16">
      <c r="A16">
        <v>13</v>
      </c>
      <c r="B16" t="str">
        <v>جهاز قياس ضغط الدم ديجيتال أومرون M2 للذراع</v>
      </c>
      <c r="C16" t="str">
        <v>4015672101234</v>
      </c>
      <c r="D16" t="str">
        <v/>
      </c>
      <c r="E16" t="str">
        <v>قطعة</v>
      </c>
      <c r="F16">
        <v>1650</v>
      </c>
      <c r="G16">
        <v>1350</v>
      </c>
      <c r="H16">
        <v>5</v>
      </c>
      <c r="I16">
        <v>1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SUP-0003</v>
      </c>
      <c r="R16" t="str">
        <v/>
      </c>
      <c r="S16" t="str">
        <v/>
      </c>
      <c r="T16" t="str">
        <v/>
      </c>
    </row>
    <row r="17">
      <c r="A17">
        <v>14</v>
      </c>
      <c r="B17" t="str">
        <v>جهاز استنشاق بخار ونيبولايزر للأطفال والكبار بروسوفت</v>
      </c>
      <c r="C17" t="str">
        <v>6221100020113</v>
      </c>
      <c r="D17" t="str">
        <v/>
      </c>
      <c r="E17" t="str">
        <v>قطعة</v>
      </c>
      <c r="F17">
        <v>850</v>
      </c>
      <c r="G17">
        <v>680</v>
      </c>
      <c r="H17">
        <v>8</v>
      </c>
      <c r="I17">
        <v>2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SUP-0004</v>
      </c>
      <c r="R17" t="str">
        <v/>
      </c>
      <c r="S17" t="str">
        <v/>
      </c>
      <c r="T17" t="str">
        <v/>
      </c>
    </row>
    <row r="18">
      <c r="A18">
        <v>15</v>
      </c>
      <c r="B18" t="str">
        <v>محلول ملح فسيولوجي معقم للوريد 0.9% 500 مل</v>
      </c>
      <c r="C18" t="str">
        <v>6221100020120</v>
      </c>
      <c r="D18" t="str">
        <v/>
      </c>
      <c r="E18" t="str">
        <v>قطعة</v>
      </c>
      <c r="F18">
        <v>20</v>
      </c>
      <c r="G18">
        <v>14</v>
      </c>
      <c r="H18">
        <v>50</v>
      </c>
      <c r="I18">
        <v>10</v>
      </c>
      <c r="J18" s="1">
        <f>F18-G18</f>
      </c>
      <c r="K18" s="2">
        <f>IF(G18&gt;0, (F18-G18)/G18, 0)</f>
      </c>
      <c r="L18" s="1">
        <f>H18*G18</f>
      </c>
      <c r="M18" s="1">
        <f>H18*F18</f>
      </c>
      <c r="N18" s="1">
        <f>M18-L18</f>
      </c>
      <c r="O18">
        <f>IF(H18&lt;=0, "نفد من المخزن", IF(H18&lt;=I18, "قارب على النفاد", "متوفر بالمخزن"))</f>
      </c>
      <c r="P18">
        <v>0</v>
      </c>
      <c r="Q18" t="str">
        <v>SUP-0005</v>
      </c>
      <c r="R18" t="str">
        <v/>
      </c>
      <c r="S18" t="str">
        <v>500 مل</v>
      </c>
      <c r="T18" t="str">
        <v/>
      </c>
    </row>
    <row r="19">
      <c r="A19">
        <v>16</v>
      </c>
      <c r="B19" t="str">
        <v>محلول جلوكوز 5% للوريد معقم 500 مل</v>
      </c>
      <c r="C19" t="str">
        <v>6221100020137</v>
      </c>
      <c r="D19" t="str">
        <v/>
      </c>
      <c r="E19" t="str">
        <v>قطعة</v>
      </c>
      <c r="F19">
        <v>22</v>
      </c>
      <c r="G19">
        <v>15</v>
      </c>
      <c r="H19">
        <v>40</v>
      </c>
      <c r="I19">
        <v>10</v>
      </c>
      <c r="J19" s="1">
        <f>F19-G19</f>
      </c>
      <c r="K19" s="2">
        <f>IF(G19&gt;0, (F19-G19)/G19, 0)</f>
      </c>
      <c r="L19" s="1">
        <f>H19*G19</f>
      </c>
      <c r="M19" s="1">
        <f>H19*F19</f>
      </c>
      <c r="N19" s="1">
        <f>M19-L19</f>
      </c>
      <c r="O19">
        <f>IF(H19&lt;=0, "نفد من المخزن", IF(H19&lt;=I19, "قارب على النفاد", "متوفر بالمخزن"))</f>
      </c>
      <c r="P19">
        <v>0</v>
      </c>
      <c r="Q19" t="str">
        <v>SUP-0006</v>
      </c>
      <c r="R19" t="str">
        <v/>
      </c>
      <c r="S19" t="str">
        <v>500 مل</v>
      </c>
      <c r="T19" t="str">
        <v/>
      </c>
    </row>
    <row r="20">
      <c r="A20">
        <v>17</v>
      </c>
      <c r="B20" t="str">
        <v>كانيولا وريدية مقاس 22 زرقاء كرتونة 50 قطعة</v>
      </c>
      <c r="C20" t="str">
        <v>6221100020144</v>
      </c>
      <c r="D20" t="str">
        <v/>
      </c>
      <c r="E20" t="str">
        <v>قطعة</v>
      </c>
      <c r="F20">
        <v>8</v>
      </c>
      <c r="G20">
        <v>5</v>
      </c>
      <c r="H20">
        <v>100</v>
      </c>
      <c r="I20">
        <v>20</v>
      </c>
      <c r="J20" s="1">
        <f>F20-G20</f>
      </c>
      <c r="K20" s="2">
        <f>IF(G20&gt;0, (F20-G20)/G20, 0)</f>
      </c>
      <c r="L20" s="1">
        <f>H20*G20</f>
      </c>
      <c r="M20" s="1">
        <f>H20*F20</f>
      </c>
      <c r="N20" s="1">
        <f>M20-L20</f>
      </c>
      <c r="O20">
        <f>IF(H20&lt;=0, "نفد من المخزن", IF(H20&lt;=I20, "قارب على النفاد", "متوفر بالمخزن"))</f>
      </c>
      <c r="P20">
        <v>0</v>
      </c>
      <c r="Q20" t="str">
        <v>SUP-0007</v>
      </c>
      <c r="R20" t="str">
        <v/>
      </c>
      <c r="S20" t="str">
        <v>مقاس 22</v>
      </c>
      <c r="T20" t="str">
        <v/>
      </c>
    </row>
    <row r="21">
      <c r="A21">
        <v>18</v>
      </c>
      <c r="B21" t="str">
        <v>جهاز نقل محاليل وريدي معقم</v>
      </c>
      <c r="C21" t="str">
        <v>6221100020151</v>
      </c>
      <c r="D21" t="str">
        <v/>
      </c>
      <c r="E21" t="str">
        <v>قطعة</v>
      </c>
      <c r="F21">
        <v>7</v>
      </c>
      <c r="G21">
        <v>4.5</v>
      </c>
      <c r="H21">
        <v>100</v>
      </c>
      <c r="I21">
        <v>20</v>
      </c>
      <c r="J21" s="1">
        <f>F21-G21</f>
      </c>
      <c r="K21" s="2">
        <f>IF(G21&gt;0, (F21-G21)/G21, 0)</f>
      </c>
      <c r="L21" s="1">
        <f>H21*G21</f>
      </c>
      <c r="M21" s="1">
        <f>H21*F21</f>
      </c>
      <c r="N21" s="1">
        <f>M21-L21</f>
      </c>
      <c r="O21">
        <f>IF(H21&lt;=0, "نفد من المخزن", IF(H21&lt;=I21, "قارب على النفاد", "متوفر بالمخزن"))</f>
      </c>
      <c r="P21">
        <v>0</v>
      </c>
      <c r="Q21" t="str">
        <v>SUP-0008</v>
      </c>
      <c r="R21" t="str">
        <v/>
      </c>
      <c r="S21" t="str">
        <v/>
      </c>
      <c r="T21" t="str">
        <v/>
      </c>
    </row>
    <row r="22">
      <c r="A22">
        <v>19</v>
      </c>
      <c r="B22" t="str">
        <v>قفازات طبية لاتكس معقمة علبة 100 قفاز مقاس وسط M</v>
      </c>
      <c r="C22" t="str">
        <v>6221100020168</v>
      </c>
      <c r="D22" t="str">
        <v/>
      </c>
      <c r="E22" t="str">
        <v>قطعة</v>
      </c>
      <c r="F22">
        <v>160</v>
      </c>
      <c r="G22">
        <v>120</v>
      </c>
      <c r="H22">
        <v>30</v>
      </c>
      <c r="I22">
        <v>6</v>
      </c>
      <c r="J22" s="1">
        <f>F22-G22</f>
      </c>
      <c r="K22" s="2">
        <f>IF(G22&gt;0, (F22-G22)/G22, 0)</f>
      </c>
      <c r="L22" s="1">
        <f>H22*G22</f>
      </c>
      <c r="M22" s="1">
        <f>H22*F22</f>
      </c>
      <c r="N22" s="1">
        <f>M22-L22</f>
      </c>
      <c r="O22">
        <f>IF(H22&lt;=0, "نفد من المخزن", IF(H22&lt;=I22, "قارب على النفاد", "متوفر بالمخزن"))</f>
      </c>
      <c r="P22">
        <v>0</v>
      </c>
      <c r="Q22" t="str">
        <v>SUP-0009</v>
      </c>
      <c r="R22" t="str">
        <v/>
      </c>
      <c r="S22" t="str">
        <v>M</v>
      </c>
      <c r="T22" t="str">
        <v/>
      </c>
    </row>
    <row r="23">
      <c r="A23">
        <v>20</v>
      </c>
      <c r="B23" t="str">
        <v>اختبار حمل منزلي سريع شريط كاشف دقيق بيبي تشيك</v>
      </c>
      <c r="C23" t="str">
        <v>6221100020175</v>
      </c>
      <c r="D23" t="str">
        <v/>
      </c>
      <c r="E23" t="str">
        <v>قطعة</v>
      </c>
      <c r="F23">
        <v>25</v>
      </c>
      <c r="G23">
        <v>14</v>
      </c>
      <c r="H23">
        <v>60</v>
      </c>
      <c r="I23">
        <v>15</v>
      </c>
      <c r="J23" s="1">
        <f>F23-G23</f>
      </c>
      <c r="K23" s="2">
        <f>IF(G23&gt;0, (F23-G23)/G23, 0)</f>
      </c>
      <c r="L23" s="1">
        <f>H23*G23</f>
      </c>
      <c r="M23" s="1">
        <f>H23*F23</f>
      </c>
      <c r="N23" s="1">
        <f>M23-L23</f>
      </c>
      <c r="O23">
        <f>IF(H23&lt;=0, "نفد من المخزن", IF(H23&lt;=I23, "قارب على النفاد", "متوفر بالمخزن"))</f>
      </c>
      <c r="P23">
        <v>0</v>
      </c>
      <c r="Q23" t="str">
        <v>SUP-0010</v>
      </c>
      <c r="R23" t="str">
        <v/>
      </c>
      <c r="S23" t="str">
        <v/>
      </c>
      <c r="T23" t="str">
        <v/>
      </c>
    </row>
    <row r="24">
      <c r="A24" t="str">
        <v>الإجمالي</v>
      </c>
      <c r="B24" t="str">
        <v>عدد الأصناف: 20</v>
      </c>
      <c r="C24" t="str">
        <v/>
      </c>
      <c r="D24" t="str">
        <v/>
      </c>
      <c r="E24" t="str">
        <v/>
      </c>
      <c r="F24" s="1">
        <f>AVERAGE(F4:F23)</f>
      </c>
      <c r="G24" s="1">
        <f>AVERAGE(G4:G23)</f>
      </c>
      <c r="H24" s="3">
        <f>SUM(H4:H23)</f>
      </c>
      <c r="I24" s="3">
        <f>SUM(I4:I23)</f>
      </c>
      <c r="J24" s="1">
        <f>AVERAGE(J4:J23)</f>
      </c>
      <c r="K24" s="2">
        <f>AVERAGE(K4:K23)</f>
      </c>
      <c r="L24" s="1">
        <f>SUM(L4:L23)</f>
      </c>
      <c r="M24" s="1">
        <f>SUM(M4:M23)</f>
      </c>
      <c r="N24" s="1">
        <f>SUM(N4:N23)</f>
      </c>
      <c r="O24" t="str">
        <v>محسوب بمعادلات إكسل</v>
      </c>
      <c r="P24" t="str">
        <v/>
      </c>
      <c r="Q24" t="str">
        <v/>
      </c>
      <c r="R24" t="str">
        <v/>
      </c>
      <c r="S24" t="str">
        <v/>
      </c>
      <c r="T24" t="str">
        <v/>
      </c>
    </row>
  </sheetData>
  <mergeCells count="2">
    <mergeCell ref="A1:T1"/>
    <mergeCell ref="A2:T2"/>
  </mergeCells>
  <ignoredErrors>
    <ignoredError numberStoredAsText="1" sqref="A1:T2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T18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[عناية بالأم والطفل]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حفاضات بامبرز مقاس 3 عبوة التوفير 58 حفاضة</v>
      </c>
      <c r="C4" t="str">
        <v>6221100030013</v>
      </c>
      <c r="D4" t="str">
        <v/>
      </c>
      <c r="E4" t="str">
        <v>قطعة</v>
      </c>
      <c r="F4">
        <v>290</v>
      </c>
      <c r="G4">
        <v>255</v>
      </c>
      <c r="H4">
        <v>0</v>
      </c>
      <c r="I4">
        <v>5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PHR-0023</v>
      </c>
      <c r="R4" t="str">
        <v/>
      </c>
      <c r="S4" t="str">
        <v>مقاس 3</v>
      </c>
      <c r="T4" t="str">
        <v/>
      </c>
    </row>
    <row r="5">
      <c r="A5">
        <v>2</v>
      </c>
      <c r="B5" t="str">
        <v>حفاضات بامبرز مقاس 4 عبوة جامبو 64 حفاضة</v>
      </c>
      <c r="C5" t="str">
        <v>6221100030020</v>
      </c>
      <c r="D5" t="str">
        <v/>
      </c>
      <c r="E5" t="str">
        <v>قطعة</v>
      </c>
      <c r="F5">
        <v>320</v>
      </c>
      <c r="G5">
        <v>280</v>
      </c>
      <c r="H5">
        <v>0</v>
      </c>
      <c r="I5">
        <v>5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PHR-0024</v>
      </c>
      <c r="R5" t="str">
        <v/>
      </c>
      <c r="S5" t="str">
        <v>مقاس 4</v>
      </c>
      <c r="T5" t="str">
        <v/>
      </c>
    </row>
    <row r="6">
      <c r="A6">
        <v>3</v>
      </c>
      <c r="B6" t="str">
        <v>حفاضات مولفيكس مقاس 3 عبوة 58 حفاضة</v>
      </c>
      <c r="C6" t="str">
        <v>6221100030037</v>
      </c>
      <c r="D6" t="str">
        <v/>
      </c>
      <c r="E6" t="str">
        <v>قطعة</v>
      </c>
      <c r="F6">
        <v>260</v>
      </c>
      <c r="G6">
        <v>228</v>
      </c>
      <c r="H6">
        <v>0</v>
      </c>
      <c r="I6">
        <v>5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PHR-0025</v>
      </c>
      <c r="R6" t="str">
        <v/>
      </c>
      <c r="S6" t="str">
        <v>مقاس 3</v>
      </c>
      <c r="T6" t="str">
        <v/>
      </c>
    </row>
    <row r="7">
      <c r="A7">
        <v>4</v>
      </c>
      <c r="B7" t="str">
        <v>مناديل مبللة جونسون للأطفال بدون كحول 72 منديل</v>
      </c>
      <c r="C7" t="str">
        <v>6221100030044</v>
      </c>
      <c r="D7" t="str">
        <v/>
      </c>
      <c r="E7" t="str">
        <v>قطعة</v>
      </c>
      <c r="F7">
        <v>45</v>
      </c>
      <c r="G7">
        <v>35</v>
      </c>
      <c r="H7">
        <v>0</v>
      </c>
      <c r="I7">
        <v>8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PHR-0026</v>
      </c>
      <c r="R7" t="str">
        <v/>
      </c>
      <c r="S7" t="str">
        <v/>
      </c>
      <c r="T7" t="str">
        <v/>
      </c>
    </row>
    <row r="8">
      <c r="A8">
        <v>5</v>
      </c>
      <c r="B8" t="str">
        <v>شامبو جونسون للأطفال لا دموع بعد اليوم 300 مل</v>
      </c>
      <c r="C8" t="str">
        <v>6221100030051</v>
      </c>
      <c r="D8" t="str">
        <v/>
      </c>
      <c r="E8" t="str">
        <v>قطعة</v>
      </c>
      <c r="F8">
        <v>65</v>
      </c>
      <c r="G8">
        <v>52</v>
      </c>
      <c r="H8">
        <v>0</v>
      </c>
      <c r="I8">
        <v>6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PHR-0027</v>
      </c>
      <c r="R8" t="str">
        <v/>
      </c>
      <c r="S8" t="str">
        <v>300 مل</v>
      </c>
      <c r="T8" t="str">
        <v/>
      </c>
    </row>
    <row r="9">
      <c r="A9">
        <v>6</v>
      </c>
      <c r="B9" t="str">
        <v>زيت جونسون للأطفال مرطب ناعم 200 مل</v>
      </c>
      <c r="C9" t="str">
        <v>6221100030068</v>
      </c>
      <c r="D9" t="str">
        <v/>
      </c>
      <c r="E9" t="str">
        <v>قطعة</v>
      </c>
      <c r="F9">
        <v>60</v>
      </c>
      <c r="G9">
        <v>48</v>
      </c>
      <c r="H9">
        <v>0</v>
      </c>
      <c r="I9">
        <v>6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PHR-0028</v>
      </c>
      <c r="R9" t="str">
        <v/>
      </c>
      <c r="S9" t="str">
        <v>200 مل</v>
      </c>
      <c r="T9" t="str">
        <v/>
      </c>
    </row>
    <row r="10">
      <c r="A10">
        <v>7</v>
      </c>
      <c r="B10" t="str">
        <v>بودرة تلك جونسون للأطفال نقية 200 جم</v>
      </c>
      <c r="C10" t="str">
        <v>6221100030075</v>
      </c>
      <c r="D10" t="str">
        <v/>
      </c>
      <c r="E10" t="str">
        <v>قطعة</v>
      </c>
      <c r="F10">
        <v>50</v>
      </c>
      <c r="G10">
        <v>39</v>
      </c>
      <c r="H10">
        <v>0</v>
      </c>
      <c r="I10">
        <v>7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PHR-0029</v>
      </c>
      <c r="R10" t="str">
        <v/>
      </c>
      <c r="S10" t="str">
        <v>200 جم</v>
      </c>
      <c r="T10" t="str">
        <v/>
      </c>
    </row>
    <row r="11">
      <c r="A11">
        <v>8</v>
      </c>
      <c r="B11" t="str">
        <v>كريم سودوكريم لعلاج تسلخات الحفاضات 125 جم</v>
      </c>
      <c r="C11" t="str">
        <v>6221100030082</v>
      </c>
      <c r="D11" t="str">
        <v/>
      </c>
      <c r="E11" t="str">
        <v>قطعة</v>
      </c>
      <c r="F11">
        <v>185</v>
      </c>
      <c r="G11">
        <v>152</v>
      </c>
      <c r="H11">
        <v>0</v>
      </c>
      <c r="I11">
        <v>4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PHR-0030</v>
      </c>
      <c r="R11" t="str">
        <v/>
      </c>
      <c r="S11" t="str">
        <v>125 جم</v>
      </c>
      <c r="T11" t="str">
        <v/>
      </c>
    </row>
    <row r="12">
      <c r="A12">
        <v>9</v>
      </c>
      <c r="B12" t="str">
        <v>ببرونة أطفال شيكو زجاجية حلمة سيليكون 150 مل</v>
      </c>
      <c r="C12" t="str">
        <v>6221100030099</v>
      </c>
      <c r="D12" t="str">
        <v/>
      </c>
      <c r="E12" t="str">
        <v>قطعة</v>
      </c>
      <c r="F12">
        <v>95</v>
      </c>
      <c r="G12">
        <v>72</v>
      </c>
      <c r="H12">
        <v>0</v>
      </c>
      <c r="I12">
        <v>4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PHR-0031</v>
      </c>
      <c r="R12" t="str">
        <v/>
      </c>
      <c r="S12" t="str">
        <v>150 مل</v>
      </c>
      <c r="T12" t="str">
        <v/>
      </c>
    </row>
    <row r="13">
      <c r="A13">
        <v>10</v>
      </c>
      <c r="B13" t="str">
        <v>حليب أطفال نان 1 أوبتي برو من الولادة حتى 6 أشهر 400 جم</v>
      </c>
      <c r="C13" t="str">
        <v>7613035345678</v>
      </c>
      <c r="D13" t="str">
        <v/>
      </c>
      <c r="E13" t="str">
        <v>قطعة</v>
      </c>
      <c r="F13">
        <v>230</v>
      </c>
      <c r="G13">
        <v>195</v>
      </c>
      <c r="H13">
        <v>20</v>
      </c>
      <c r="I13">
        <v>4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BABY-0001</v>
      </c>
      <c r="R13" t="str">
        <v/>
      </c>
      <c r="S13" t="str">
        <v>400 جم</v>
      </c>
      <c r="T13" t="str">
        <v/>
      </c>
    </row>
    <row r="14">
      <c r="A14">
        <v>11</v>
      </c>
      <c r="B14" t="str">
        <v>حليب أطفال بيبيلاك 1 من الولادة حتى 6 أشهر 400 جم</v>
      </c>
      <c r="C14" t="str">
        <v>8712400123456</v>
      </c>
      <c r="D14" t="str">
        <v/>
      </c>
      <c r="E14" t="str">
        <v>قطعة</v>
      </c>
      <c r="F14">
        <v>195</v>
      </c>
      <c r="G14">
        <v>165</v>
      </c>
      <c r="H14">
        <v>20</v>
      </c>
      <c r="I14">
        <v>4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BABY-0002</v>
      </c>
      <c r="R14" t="str">
        <v/>
      </c>
      <c r="S14" t="str">
        <v>400 جم</v>
      </c>
      <c r="T14" t="str">
        <v/>
      </c>
    </row>
    <row r="15">
      <c r="A15">
        <v>12</v>
      </c>
      <c r="B15" t="str">
        <v>سيريلاك أطفال قمح وحليب من عمر 6 أشهر 250 جم</v>
      </c>
      <c r="C15" t="str">
        <v>7613031234567</v>
      </c>
      <c r="D15" t="str">
        <v/>
      </c>
      <c r="E15" t="str">
        <v>قطعة</v>
      </c>
      <c r="F15">
        <v>65</v>
      </c>
      <c r="G15">
        <v>52</v>
      </c>
      <c r="H15">
        <v>30</v>
      </c>
      <c r="I15">
        <v>6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BABY-0003</v>
      </c>
      <c r="R15" t="str">
        <v/>
      </c>
      <c r="S15" t="str">
        <v>250 جم</v>
      </c>
      <c r="T15" t="str">
        <v/>
      </c>
    </row>
    <row r="16">
      <c r="A16">
        <v>13</v>
      </c>
      <c r="B16" t="str">
        <v>لهاية أطفال سيليكون شيكو تقويمية 0-6 أشهر</v>
      </c>
      <c r="C16" t="str">
        <v>8058664012345</v>
      </c>
      <c r="D16" t="str">
        <v/>
      </c>
      <c r="E16" t="str">
        <v>قطعة</v>
      </c>
      <c r="F16">
        <v>85</v>
      </c>
      <c r="G16">
        <v>65</v>
      </c>
      <c r="H16">
        <v>25</v>
      </c>
      <c r="I16">
        <v>5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BABY-0004</v>
      </c>
      <c r="R16" t="str">
        <v/>
      </c>
      <c r="S16" t="str">
        <v>0-6 شهور</v>
      </c>
      <c r="T16" t="str">
        <v/>
      </c>
    </row>
    <row r="17">
      <c r="A17">
        <v>14</v>
      </c>
      <c r="B17" t="str">
        <v>كريم سانوسان لمنطقة الحفاض للأطفال بزيت الزيتون 150 مل</v>
      </c>
      <c r="C17" t="str">
        <v>4006083012345</v>
      </c>
      <c r="D17" t="str">
        <v/>
      </c>
      <c r="E17" t="str">
        <v>قطعة</v>
      </c>
      <c r="F17">
        <v>160</v>
      </c>
      <c r="G17">
        <v>125</v>
      </c>
      <c r="H17">
        <v>20</v>
      </c>
      <c r="I17">
        <v>4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BABY-0005</v>
      </c>
      <c r="R17" t="str">
        <v/>
      </c>
      <c r="S17" t="str">
        <v>150 مل</v>
      </c>
      <c r="T17" t="str">
        <v/>
      </c>
    </row>
    <row r="18">
      <c r="A18" t="str">
        <v>الإجمالي</v>
      </c>
      <c r="B18" t="str">
        <v>عدد الأصناف: 14</v>
      </c>
      <c r="C18" t="str">
        <v/>
      </c>
      <c r="D18" t="str">
        <v/>
      </c>
      <c r="E18" t="str">
        <v/>
      </c>
      <c r="F18" s="1">
        <f>AVERAGE(F4:F17)</f>
      </c>
      <c r="G18" s="1">
        <f>AVERAGE(G4:G17)</f>
      </c>
      <c r="H18" s="3">
        <f>SUM(H4:H17)</f>
      </c>
      <c r="I18" s="3">
        <f>SUM(I4:I17)</f>
      </c>
      <c r="J18" s="1">
        <f>AVERAGE(J4:J17)</f>
      </c>
      <c r="K18" s="2">
        <f>AVERAGE(K4:K17)</f>
      </c>
      <c r="L18" s="1">
        <f>SUM(L4:L17)</f>
      </c>
      <c r="M18" s="1">
        <f>SUM(M4:M17)</f>
      </c>
      <c r="N18" s="1">
        <f>SUM(N4:N17)</f>
      </c>
      <c r="O18" t="str">
        <v>محسوب بمعادلات إكسل</v>
      </c>
      <c r="P18" t="str">
        <v/>
      </c>
      <c r="Q18" t="str">
        <v/>
      </c>
      <c r="R18" t="str">
        <v/>
      </c>
      <c r="S18" t="str">
        <v/>
      </c>
      <c r="T18" t="str">
        <v/>
      </c>
    </row>
  </sheetData>
  <mergeCells count="2">
    <mergeCell ref="A1:T1"/>
    <mergeCell ref="A2:T2"/>
  </mergeCells>
  <ignoredErrors>
    <ignoredError numberStoredAsText="1" sqref="A1:T18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T31"/>
  <sheetViews>
    <sheetView workbookViewId="0"/>
  </sheetViews>
  <cols>
    <col min="1" max="1" width="6.83203125" customWidth="1"/>
    <col min="2" max="2" width="44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5.83203125" customWidth="1"/>
  </cols>
  <sheetData>
    <row r="1">
      <c r="A1" t="str">
        <v>رفيق POS - قائمة أصناف قسم: [تجميل وعناية بالبشرة]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غسول وجه غارنييه سكين أكتيف فيتامين سي 100 مل</v>
      </c>
      <c r="C4" t="str">
        <v>6221100040012</v>
      </c>
      <c r="D4" t="str">
        <v/>
      </c>
      <c r="E4" t="str">
        <v>قطعة</v>
      </c>
      <c r="F4">
        <v>85</v>
      </c>
      <c r="G4">
        <v>68</v>
      </c>
      <c r="H4">
        <v>0</v>
      </c>
      <c r="I4">
        <v>6</v>
      </c>
      <c r="J4" s="1">
        <f>F4-G4</f>
      </c>
      <c r="K4" s="2">
        <f>IF(G4&gt;0, (F4-G4)/G4, 0)</f>
      </c>
      <c r="L4" s="1">
        <f>H4*G4</f>
      </c>
      <c r="M4" s="1">
        <f>H4*F4</f>
      </c>
      <c r="N4" s="1">
        <f>M4-L4</f>
      </c>
      <c r="O4">
        <f>IF(H4&lt;=0, "نفد من المخزن", IF(H4&lt;=I4, "قارب على النفاد", "متوفر بالمخزن"))</f>
      </c>
      <c r="P4">
        <v>0</v>
      </c>
      <c r="Q4" t="str">
        <v>PHR-0032</v>
      </c>
      <c r="R4" t="str">
        <v/>
      </c>
      <c r="S4" t="str">
        <v>100 مل</v>
      </c>
      <c r="T4" t="str">
        <v/>
      </c>
    </row>
    <row r="5">
      <c r="A5">
        <v>2</v>
      </c>
      <c r="B5" t="str">
        <v>ماء ميسيلار منظف ومزيل مكياج غارنييه 400 مل</v>
      </c>
      <c r="C5" t="str">
        <v>6221100040029</v>
      </c>
      <c r="D5" t="str">
        <v/>
      </c>
      <c r="E5" t="str">
        <v>قطعة</v>
      </c>
      <c r="F5">
        <v>110</v>
      </c>
      <c r="G5">
        <v>89</v>
      </c>
      <c r="H5">
        <v>0</v>
      </c>
      <c r="I5">
        <v>5</v>
      </c>
      <c r="J5" s="1">
        <f>F5-G5</f>
      </c>
      <c r="K5" s="2">
        <f>IF(G5&gt;0, (F5-G5)/G5, 0)</f>
      </c>
      <c r="L5" s="1">
        <f>H5*G5</f>
      </c>
      <c r="M5" s="1">
        <f>H5*F5</f>
      </c>
      <c r="N5" s="1">
        <f>M5-L5</f>
      </c>
      <c r="O5">
        <f>IF(H5&lt;=0, "نفد من المخزن", IF(H5&lt;=I5, "قارب على النفاد", "متوفر بالمخزن"))</f>
      </c>
      <c r="P5">
        <v>0</v>
      </c>
      <c r="Q5" t="str">
        <v>PHR-0033</v>
      </c>
      <c r="R5" t="str">
        <v/>
      </c>
      <c r="S5" t="str">
        <v>400 مل</v>
      </c>
      <c r="T5" t="str">
        <v/>
      </c>
    </row>
    <row r="6">
      <c r="A6">
        <v>3</v>
      </c>
      <c r="B6" t="str">
        <v>كريم نيفيا سوفت مرطب منعش للجسم والوجه 200 مل</v>
      </c>
      <c r="C6" t="str">
        <v>6221100040036</v>
      </c>
      <c r="D6" t="str">
        <v/>
      </c>
      <c r="E6" t="str">
        <v>قطعة</v>
      </c>
      <c r="F6">
        <v>75</v>
      </c>
      <c r="G6">
        <v>58</v>
      </c>
      <c r="H6">
        <v>0</v>
      </c>
      <c r="I6">
        <v>7</v>
      </c>
      <c r="J6" s="1">
        <f>F6-G6</f>
      </c>
      <c r="K6" s="2">
        <f>IF(G6&gt;0, (F6-G6)/G6, 0)</f>
      </c>
      <c r="L6" s="1">
        <f>H6*G6</f>
      </c>
      <c r="M6" s="1">
        <f>H6*F6</f>
      </c>
      <c r="N6" s="1">
        <f>M6-L6</f>
      </c>
      <c r="O6">
        <f>IF(H6&lt;=0, "نفد من المخزن", IF(H6&lt;=I6, "قارب على النفاد", "متوفر بالمخزن"))</f>
      </c>
      <c r="P6">
        <v>0</v>
      </c>
      <c r="Q6" t="str">
        <v>PHR-0034</v>
      </c>
      <c r="R6" t="str">
        <v/>
      </c>
      <c r="S6" t="str">
        <v>200 مل</v>
      </c>
      <c r="T6" t="str">
        <v/>
      </c>
    </row>
    <row r="7">
      <c r="A7">
        <v>4</v>
      </c>
      <c r="B7" t="str">
        <v>كريم نيفيا أزرق كلاسيك علبة معدنية 150 مل</v>
      </c>
      <c r="C7" t="str">
        <v>6221100040043</v>
      </c>
      <c r="D7" t="str">
        <v/>
      </c>
      <c r="E7" t="str">
        <v>قطعة</v>
      </c>
      <c r="F7">
        <v>65</v>
      </c>
      <c r="G7">
        <v>51</v>
      </c>
      <c r="H7">
        <v>0</v>
      </c>
      <c r="I7">
        <v>8</v>
      </c>
      <c r="J7" s="1">
        <f>F7-G7</f>
      </c>
      <c r="K7" s="2">
        <f>IF(G7&gt;0, (F7-G7)/G7, 0)</f>
      </c>
      <c r="L7" s="1">
        <f>H7*G7</f>
      </c>
      <c r="M7" s="1">
        <f>H7*F7</f>
      </c>
      <c r="N7" s="1">
        <f>M7-L7</f>
      </c>
      <c r="O7">
        <f>IF(H7&lt;=0, "نفد من المخزن", IF(H7&lt;=I7, "قارب على النفاد", "متوفر بالمخزن"))</f>
      </c>
      <c r="P7">
        <v>0</v>
      </c>
      <c r="Q7" t="str">
        <v>PHR-0035</v>
      </c>
      <c r="R7" t="str">
        <v/>
      </c>
      <c r="S7" t="str">
        <v>150 مل</v>
      </c>
      <c r="T7" t="str">
        <v/>
      </c>
    </row>
    <row r="8">
      <c r="A8">
        <v>5</v>
      </c>
      <c r="B8" t="str">
        <v>صن بلوك واقي شمس بوباي جل SPF50+ 50 جم</v>
      </c>
      <c r="C8" t="str">
        <v>6221100040050</v>
      </c>
      <c r="D8" t="str">
        <v/>
      </c>
      <c r="E8" t="str">
        <v>قطعة</v>
      </c>
      <c r="F8">
        <v>160</v>
      </c>
      <c r="G8">
        <v>128</v>
      </c>
      <c r="H8">
        <v>0</v>
      </c>
      <c r="I8">
        <v>4</v>
      </c>
      <c r="J8" s="1">
        <f>F8-G8</f>
      </c>
      <c r="K8" s="2">
        <f>IF(G8&gt;0, (F8-G8)/G8, 0)</f>
      </c>
      <c r="L8" s="1">
        <f>H8*G8</f>
      </c>
      <c r="M8" s="1">
        <f>H8*F8</f>
      </c>
      <c r="N8" s="1">
        <f>M8-L8</f>
      </c>
      <c r="O8">
        <f>IF(H8&lt;=0, "نفد من المخزن", IF(H8&lt;=I8, "قارب على النفاد", "متوفر بالمخزن"))</f>
      </c>
      <c r="P8">
        <v>0</v>
      </c>
      <c r="Q8" t="str">
        <v>PHR-0036</v>
      </c>
      <c r="R8" t="str">
        <v/>
      </c>
      <c r="S8" t="str">
        <v>50 جم</v>
      </c>
      <c r="T8" t="str">
        <v/>
      </c>
    </row>
    <row r="9">
      <c r="A9">
        <v>6</v>
      </c>
      <c r="B9" t="str">
        <v>سيروم شعر سيروبايب كيراتين مضاد للتساقط 100 مل</v>
      </c>
      <c r="C9" t="str">
        <v>6221100040067</v>
      </c>
      <c r="D9" t="str">
        <v/>
      </c>
      <c r="E9" t="str">
        <v>قطعة</v>
      </c>
      <c r="F9">
        <v>195</v>
      </c>
      <c r="G9">
        <v>155</v>
      </c>
      <c r="H9">
        <v>0</v>
      </c>
      <c r="I9">
        <v>3</v>
      </c>
      <c r="J9" s="1">
        <f>F9-G9</f>
      </c>
      <c r="K9" s="2">
        <f>IF(G9&gt;0, (F9-G9)/G9, 0)</f>
      </c>
      <c r="L9" s="1">
        <f>H9*G9</f>
      </c>
      <c r="M9" s="1">
        <f>H9*F9</f>
      </c>
      <c r="N9" s="1">
        <f>M9-L9</f>
      </c>
      <c r="O9">
        <f>IF(H9&lt;=0, "نفد من المخزن", IF(H9&lt;=I9, "قارب على النفاد", "متوفر بالمخزن"))</f>
      </c>
      <c r="P9">
        <v>0</v>
      </c>
      <c r="Q9" t="str">
        <v>PHR-0037</v>
      </c>
      <c r="R9" t="str">
        <v/>
      </c>
      <c r="S9" t="str">
        <v>100 مل</v>
      </c>
      <c r="T9" t="str">
        <v/>
      </c>
    </row>
    <row r="10">
      <c r="A10">
        <v>7</v>
      </c>
      <c r="B10" t="str">
        <v>حمام كريم شعر فاتيكا بالثوم والنخاع 500 جم</v>
      </c>
      <c r="C10" t="str">
        <v>6221100040074</v>
      </c>
      <c r="D10" t="str">
        <v/>
      </c>
      <c r="E10" t="str">
        <v>قطعة</v>
      </c>
      <c r="F10">
        <v>65</v>
      </c>
      <c r="G10">
        <v>50</v>
      </c>
      <c r="H10">
        <v>0</v>
      </c>
      <c r="I10">
        <v>6</v>
      </c>
      <c r="J10" s="1">
        <f>F10-G10</f>
      </c>
      <c r="K10" s="2">
        <f>IF(G10&gt;0, (F10-G10)/G10, 0)</f>
      </c>
      <c r="L10" s="1">
        <f>H10*G10</f>
      </c>
      <c r="M10" s="1">
        <f>H10*F10</f>
      </c>
      <c r="N10" s="1">
        <f>M10-L10</f>
      </c>
      <c r="O10">
        <f>IF(H10&lt;=0, "نفد من المخزن", IF(H10&lt;=I10, "قارب على النفاد", "متوفر بالمخزن"))</f>
      </c>
      <c r="P10">
        <v>0</v>
      </c>
      <c r="Q10" t="str">
        <v>PHR-0038</v>
      </c>
      <c r="R10" t="str">
        <v/>
      </c>
      <c r="S10" t="str">
        <v>500 جم</v>
      </c>
      <c r="T10" t="str">
        <v/>
      </c>
    </row>
    <row r="11">
      <c r="A11">
        <v>8</v>
      </c>
      <c r="B11" t="str">
        <v>مزيل عرق ريكسونا بخاخ رجالي 150 مل حماية 48 ساعة</v>
      </c>
      <c r="C11" t="str">
        <v>6221100040081</v>
      </c>
      <c r="D11" t="str">
        <v/>
      </c>
      <c r="E11" t="str">
        <v>قطعة</v>
      </c>
      <c r="F11">
        <v>75</v>
      </c>
      <c r="G11">
        <v>59</v>
      </c>
      <c r="H11">
        <v>0</v>
      </c>
      <c r="I11">
        <v>7</v>
      </c>
      <c r="J11" s="1">
        <f>F11-G11</f>
      </c>
      <c r="K11" s="2">
        <f>IF(G11&gt;0, (F11-G11)/G11, 0)</f>
      </c>
      <c r="L11" s="1">
        <f>H11*G11</f>
      </c>
      <c r="M11" s="1">
        <f>H11*F11</f>
      </c>
      <c r="N11" s="1">
        <f>M11-L11</f>
      </c>
      <c r="O11">
        <f>IF(H11&lt;=0, "نفد من المخزن", IF(H11&lt;=I11, "قارب على النفاد", "متوفر بالمخزن"))</f>
      </c>
      <c r="P11">
        <v>0</v>
      </c>
      <c r="Q11" t="str">
        <v>PHR-0039</v>
      </c>
      <c r="R11" t="str">
        <v/>
      </c>
      <c r="S11" t="str">
        <v>150 مل</v>
      </c>
      <c r="T11" t="str">
        <v/>
      </c>
    </row>
    <row r="12">
      <c r="A12">
        <v>9</v>
      </c>
      <c r="B12" t="str">
        <v>مزيل عرق نيفيا رول أون حريمي 50 مل حماية جافة</v>
      </c>
      <c r="C12" t="str">
        <v>6221100040098</v>
      </c>
      <c r="D12" t="str">
        <v/>
      </c>
      <c r="E12" t="str">
        <v>قطعة</v>
      </c>
      <c r="F12">
        <v>55</v>
      </c>
      <c r="G12">
        <v>42</v>
      </c>
      <c r="H12">
        <v>0</v>
      </c>
      <c r="I12">
        <v>8</v>
      </c>
      <c r="J12" s="1">
        <f>F12-G12</f>
      </c>
      <c r="K12" s="2">
        <f>IF(G12&gt;0, (F12-G12)/G12, 0)</f>
      </c>
      <c r="L12" s="1">
        <f>H12*G12</f>
      </c>
      <c r="M12" s="1">
        <f>H12*F12</f>
      </c>
      <c r="N12" s="1">
        <f>M12-L12</f>
      </c>
      <c r="O12">
        <f>IF(H12&lt;=0, "نفد من المخزن", IF(H12&lt;=I12, "قارب على النفاد", "متوفر بالمخزن"))</f>
      </c>
      <c r="P12">
        <v>0</v>
      </c>
      <c r="Q12" t="str">
        <v>PHR-0040</v>
      </c>
      <c r="R12" t="str">
        <v/>
      </c>
      <c r="S12" t="str">
        <v>50 مل</v>
      </c>
      <c r="T12" t="str">
        <v/>
      </c>
    </row>
    <row r="13">
      <c r="A13">
        <v>10</v>
      </c>
      <c r="B13" t="str">
        <v>معجون أسنان سنسوداين للأسنان الحساسة 75 مل</v>
      </c>
      <c r="C13" t="str">
        <v>6221100040104</v>
      </c>
      <c r="D13" t="str">
        <v/>
      </c>
      <c r="E13" t="str">
        <v>قطعة</v>
      </c>
      <c r="F13">
        <v>65</v>
      </c>
      <c r="G13">
        <v>52</v>
      </c>
      <c r="H13">
        <v>0</v>
      </c>
      <c r="I13">
        <v>7</v>
      </c>
      <c r="J13" s="1">
        <f>F13-G13</f>
      </c>
      <c r="K13" s="2">
        <f>IF(G13&gt;0, (F13-G13)/G13, 0)</f>
      </c>
      <c r="L13" s="1">
        <f>H13*G13</f>
      </c>
      <c r="M13" s="1">
        <f>H13*F13</f>
      </c>
      <c r="N13" s="1">
        <f>M13-L13</f>
      </c>
      <c r="O13">
        <f>IF(H13&lt;=0, "نفد من المخزن", IF(H13&lt;=I13, "قارب على النفاد", "متوفر بالمخزن"))</f>
      </c>
      <c r="P13">
        <v>0</v>
      </c>
      <c r="Q13" t="str">
        <v>PHR-0041</v>
      </c>
      <c r="R13" t="str">
        <v/>
      </c>
      <c r="S13" t="str">
        <v>75 مل</v>
      </c>
      <c r="T13" t="str">
        <v/>
      </c>
    </row>
    <row r="14">
      <c r="A14">
        <v>11</v>
      </c>
      <c r="B14" t="str">
        <v>موس حلاقة جيليت بلو 3 شفرات متحركة كيس 4 قطع</v>
      </c>
      <c r="C14" t="str">
        <v>6221100040111</v>
      </c>
      <c r="D14" t="str">
        <v/>
      </c>
      <c r="E14" t="str">
        <v>قطعة</v>
      </c>
      <c r="F14">
        <v>55</v>
      </c>
      <c r="G14">
        <v>42</v>
      </c>
      <c r="H14">
        <v>0</v>
      </c>
      <c r="I14">
        <v>8</v>
      </c>
      <c r="J14" s="1">
        <f>F14-G14</f>
      </c>
      <c r="K14" s="2">
        <f>IF(G14&gt;0, (F14-G14)/G14, 0)</f>
      </c>
      <c r="L14" s="1">
        <f>H14*G14</f>
      </c>
      <c r="M14" s="1">
        <f>H14*F14</f>
      </c>
      <c r="N14" s="1">
        <f>M14-L14</f>
      </c>
      <c r="O14">
        <f>IF(H14&lt;=0, "نفد من المخزن", IF(H14&lt;=I14, "قارب على النفاد", "متوفر بالمخزن"))</f>
      </c>
      <c r="P14">
        <v>0</v>
      </c>
      <c r="Q14" t="str">
        <v>PHR-0042</v>
      </c>
      <c r="R14" t="str">
        <v/>
      </c>
      <c r="S14" t="str">
        <v/>
      </c>
      <c r="T14" t="str">
        <v/>
      </c>
    </row>
    <row r="15">
      <c r="A15">
        <v>12</v>
      </c>
      <c r="B15" t="str">
        <v>غسول لاروش بوزيه إيفاكلار جل للبشرة الدهنية 200 مل</v>
      </c>
      <c r="C15" t="str">
        <v>3337872411083</v>
      </c>
      <c r="D15" t="str">
        <v/>
      </c>
      <c r="E15" t="str">
        <v>قطعة</v>
      </c>
      <c r="F15">
        <v>420</v>
      </c>
      <c r="G15">
        <v>335</v>
      </c>
      <c r="H15">
        <v>15</v>
      </c>
      <c r="I15">
        <v>3</v>
      </c>
      <c r="J15" s="1">
        <f>F15-G15</f>
      </c>
      <c r="K15" s="2">
        <f>IF(G15&gt;0, (F15-G15)/G15, 0)</f>
      </c>
      <c r="L15" s="1">
        <f>H15*G15</f>
      </c>
      <c r="M15" s="1">
        <f>H15*F15</f>
      </c>
      <c r="N15" s="1">
        <f>M15-L15</f>
      </c>
      <c r="O15">
        <f>IF(H15&lt;=0, "نفد من المخزن", IF(H15&lt;=I15, "قارب على النفاد", "متوفر بالمخزن"))</f>
      </c>
      <c r="P15">
        <v>0</v>
      </c>
      <c r="Q15" t="str">
        <v>COS-0001</v>
      </c>
      <c r="R15" t="str">
        <v/>
      </c>
      <c r="S15" t="str">
        <v>200 مل</v>
      </c>
      <c r="T15" t="str">
        <v/>
      </c>
    </row>
    <row r="16">
      <c r="A16">
        <v>13</v>
      </c>
      <c r="B16" t="str">
        <v>واقي شمس لاروش بوزيه أنثيليوس سائل SPF50+ 50 مل</v>
      </c>
      <c r="C16" t="str">
        <v>3337875591058</v>
      </c>
      <c r="D16" t="str">
        <v/>
      </c>
      <c r="E16" t="str">
        <v>قطعة</v>
      </c>
      <c r="F16">
        <v>580</v>
      </c>
      <c r="G16">
        <v>460</v>
      </c>
      <c r="H16">
        <v>12</v>
      </c>
      <c r="I16">
        <v>2</v>
      </c>
      <c r="J16" s="1">
        <f>F16-G16</f>
      </c>
      <c r="K16" s="2">
        <f>IF(G16&gt;0, (F16-G16)/G16, 0)</f>
      </c>
      <c r="L16" s="1">
        <f>H16*G16</f>
      </c>
      <c r="M16" s="1">
        <f>H16*F16</f>
      </c>
      <c r="N16" s="1">
        <f>M16-L16</f>
      </c>
      <c r="O16">
        <f>IF(H16&lt;=0, "نفد من المخزن", IF(H16&lt;=I16, "قارب على النفاد", "متوفر بالمخزن"))</f>
      </c>
      <c r="P16">
        <v>0</v>
      </c>
      <c r="Q16" t="str">
        <v>COS-0002</v>
      </c>
      <c r="R16" t="str">
        <v/>
      </c>
      <c r="S16" t="str">
        <v>50 مل</v>
      </c>
      <c r="T16" t="str">
        <v/>
      </c>
    </row>
    <row r="17">
      <c r="A17">
        <v>14</v>
      </c>
      <c r="B17" t="str">
        <v>سيروم فيشي مينيرال 89 لترطيب البشرة بحمض الهيالورونيك 50 مل</v>
      </c>
      <c r="C17" t="str">
        <v>3337875543248</v>
      </c>
      <c r="D17" t="str">
        <v/>
      </c>
      <c r="E17" t="str">
        <v>قطعة</v>
      </c>
      <c r="F17">
        <v>620</v>
      </c>
      <c r="G17">
        <v>495</v>
      </c>
      <c r="H17">
        <v>10</v>
      </c>
      <c r="I17">
        <v>2</v>
      </c>
      <c r="J17" s="1">
        <f>F17-G17</f>
      </c>
      <c r="K17" s="2">
        <f>IF(G17&gt;0, (F17-G17)/G17, 0)</f>
      </c>
      <c r="L17" s="1">
        <f>H17*G17</f>
      </c>
      <c r="M17" s="1">
        <f>H17*F17</f>
      </c>
      <c r="N17" s="1">
        <f>M17-L17</f>
      </c>
      <c r="O17">
        <f>IF(H17&lt;=0, "نفد من المخزن", IF(H17&lt;=I17, "قارب على النفاد", "متوفر بالمخزن"))</f>
      </c>
      <c r="P17">
        <v>0</v>
      </c>
      <c r="Q17" t="str">
        <v>COS-0003</v>
      </c>
      <c r="R17" t="str">
        <v/>
      </c>
      <c r="S17" t="str">
        <v>50 مل</v>
      </c>
      <c r="T17" t="str">
        <v/>
      </c>
    </row>
    <row r="18">
      <c r="A18">
        <v>15</v>
      </c>
      <c r="B18" t="str">
        <v>كريم سيرافي المرطب للبشرة الجافة إلى شديدة الجفاف 177 مل</v>
      </c>
      <c r="C18" t="str">
        <v>3337875597227</v>
      </c>
      <c r="D18" t="str">
        <v/>
      </c>
      <c r="E18" t="str">
        <v>قطعة</v>
      </c>
      <c r="F18">
        <v>340</v>
      </c>
      <c r="G18">
        <v>270</v>
      </c>
      <c r="H18">
        <v>20</v>
      </c>
      <c r="I18">
        <v>4</v>
      </c>
      <c r="J18" s="1">
        <f>F18-G18</f>
      </c>
      <c r="K18" s="2">
        <f>IF(G18&gt;0, (F18-G18)/G18, 0)</f>
      </c>
      <c r="L18" s="1">
        <f>H18*G18</f>
      </c>
      <c r="M18" s="1">
        <f>H18*F18</f>
      </c>
      <c r="N18" s="1">
        <f>M18-L18</f>
      </c>
      <c r="O18">
        <f>IF(H18&lt;=0, "نفد من المخزن", IF(H18&lt;=I18, "قارب على النفاد", "متوفر بالمخزن"))</f>
      </c>
      <c r="P18">
        <v>0</v>
      </c>
      <c r="Q18" t="str">
        <v>COS-0004</v>
      </c>
      <c r="R18" t="str">
        <v/>
      </c>
      <c r="S18" t="str">
        <v>177 مل</v>
      </c>
      <c r="T18" t="str">
        <v/>
      </c>
    </row>
    <row r="19">
      <c r="A19">
        <v>16</v>
      </c>
      <c r="B19" t="str">
        <v>غسول سيرافي الرغوي للبشرة العادية إلى الدهنية 236 مل</v>
      </c>
      <c r="C19" t="str">
        <v>3337875597180</v>
      </c>
      <c r="D19" t="str">
        <v/>
      </c>
      <c r="E19" t="str">
        <v>قطعة</v>
      </c>
      <c r="F19">
        <v>360</v>
      </c>
      <c r="G19">
        <v>285</v>
      </c>
      <c r="H19">
        <v>18</v>
      </c>
      <c r="I19">
        <v>3</v>
      </c>
      <c r="J19" s="1">
        <f>F19-G19</f>
      </c>
      <c r="K19" s="2">
        <f>IF(G19&gt;0, (F19-G19)/G19, 0)</f>
      </c>
      <c r="L19" s="1">
        <f>H19*G19</f>
      </c>
      <c r="M19" s="1">
        <f>H19*F19</f>
      </c>
      <c r="N19" s="1">
        <f>M19-L19</f>
      </c>
      <c r="O19">
        <f>IF(H19&lt;=0, "نفد من المخزن", IF(H19&lt;=I19, "قارب على النفاد", "متوفر بالمخزن"))</f>
      </c>
      <c r="P19">
        <v>0</v>
      </c>
      <c r="Q19" t="str">
        <v>COS-0005</v>
      </c>
      <c r="R19" t="str">
        <v/>
      </c>
      <c r="S19" t="str">
        <v>236 مل</v>
      </c>
      <c r="T19" t="str">
        <v/>
      </c>
    </row>
    <row r="20">
      <c r="A20">
        <v>17</v>
      </c>
      <c r="B20" t="str">
        <v>بيوديرما سيبيوم جل غسول منقي للبشرة المختلطة 200 مل</v>
      </c>
      <c r="C20" t="str">
        <v>3401578653709</v>
      </c>
      <c r="D20" t="str">
        <v/>
      </c>
      <c r="E20" t="str">
        <v>قطعة</v>
      </c>
      <c r="F20">
        <v>390</v>
      </c>
      <c r="G20">
        <v>310</v>
      </c>
      <c r="H20">
        <v>15</v>
      </c>
      <c r="I20">
        <v>3</v>
      </c>
      <c r="J20" s="1">
        <f>F20-G20</f>
      </c>
      <c r="K20" s="2">
        <f>IF(G20&gt;0, (F20-G20)/G20, 0)</f>
      </c>
      <c r="L20" s="1">
        <f>H20*G20</f>
      </c>
      <c r="M20" s="1">
        <f>H20*F20</f>
      </c>
      <c r="N20" s="1">
        <f>M20-L20</f>
      </c>
      <c r="O20">
        <f>IF(H20&lt;=0, "نفد من المخزن", IF(H20&lt;=I20, "قارب على النفاد", "متوفر بالمخزن"))</f>
      </c>
      <c r="P20">
        <v>0</v>
      </c>
      <c r="Q20" t="str">
        <v>COS-0006</v>
      </c>
      <c r="R20" t="str">
        <v/>
      </c>
      <c r="S20" t="str">
        <v>200 مل</v>
      </c>
      <c r="T20" t="str">
        <v/>
      </c>
    </row>
    <row r="21">
      <c r="A21">
        <v>18</v>
      </c>
      <c r="B21" t="str">
        <v>ماء ميسيلار بيوديرما سينسيبيو الوردي للبشرة الحساسة 500 مل</v>
      </c>
      <c r="C21" t="str">
        <v>3401570498708</v>
      </c>
      <c r="D21" t="str">
        <v/>
      </c>
      <c r="E21" t="str">
        <v>قطعة</v>
      </c>
      <c r="F21">
        <v>410</v>
      </c>
      <c r="G21">
        <v>325</v>
      </c>
      <c r="H21">
        <v>15</v>
      </c>
      <c r="I21">
        <v>3</v>
      </c>
      <c r="J21" s="1">
        <f>F21-G21</f>
      </c>
      <c r="K21" s="2">
        <f>IF(G21&gt;0, (F21-G21)/G21, 0)</f>
      </c>
      <c r="L21" s="1">
        <f>H21*G21</f>
      </c>
      <c r="M21" s="1">
        <f>H21*F21</f>
      </c>
      <c r="N21" s="1">
        <f>M21-L21</f>
      </c>
      <c r="O21">
        <f>IF(H21&lt;=0, "نفد من المخزن", IF(H21&lt;=I21, "قارب على النفاد", "متوفر بالمخزن"))</f>
      </c>
      <c r="P21">
        <v>0</v>
      </c>
      <c r="Q21" t="str">
        <v>COS-0007</v>
      </c>
      <c r="R21" t="str">
        <v/>
      </c>
      <c r="S21" t="str">
        <v>500 مل</v>
      </c>
      <c r="T21" t="str">
        <v/>
      </c>
    </row>
    <row r="22">
      <c r="A22">
        <v>19</v>
      </c>
      <c r="B22" t="str">
        <v>كريم إيفا بي-وايت لتفتيح الهالات السوداء 20 مل</v>
      </c>
      <c r="C22" t="str">
        <v>6221100040128</v>
      </c>
      <c r="D22" t="str">
        <v/>
      </c>
      <c r="E22" t="str">
        <v>قطعة</v>
      </c>
      <c r="F22">
        <v>65</v>
      </c>
      <c r="G22">
        <v>48</v>
      </c>
      <c r="H22">
        <v>30</v>
      </c>
      <c r="I22">
        <v>6</v>
      </c>
      <c r="J22" s="1">
        <f>F22-G22</f>
      </c>
      <c r="K22" s="2">
        <f>IF(G22&gt;0, (F22-G22)/G22, 0)</f>
      </c>
      <c r="L22" s="1">
        <f>H22*G22</f>
      </c>
      <c r="M22" s="1">
        <f>H22*F22</f>
      </c>
      <c r="N22" s="1">
        <f>M22-L22</f>
      </c>
      <c r="O22">
        <f>IF(H22&lt;=0, "نفد من المخزن", IF(H22&lt;=I22, "قارب على النفاد", "متوفر بالمخزن"))</f>
      </c>
      <c r="P22">
        <v>0</v>
      </c>
      <c r="Q22" t="str">
        <v>COS-0008</v>
      </c>
      <c r="R22" t="str">
        <v/>
      </c>
      <c r="S22" t="str">
        <v>20 مل</v>
      </c>
      <c r="T22" t="str">
        <v/>
      </c>
    </row>
    <row r="23">
      <c r="A23">
        <v>20</v>
      </c>
      <c r="B23" t="str">
        <v>كريم إيفا كولاجين لمكافحة التجاعيد ونضارة الوجه 50 مل</v>
      </c>
      <c r="C23" t="str">
        <v>6221100040135</v>
      </c>
      <c r="D23" t="str">
        <v/>
      </c>
      <c r="E23" t="str">
        <v>قطعة</v>
      </c>
      <c r="F23">
        <v>140</v>
      </c>
      <c r="G23">
        <v>105</v>
      </c>
      <c r="H23">
        <v>25</v>
      </c>
      <c r="I23">
        <v>5</v>
      </c>
      <c r="J23" s="1">
        <f>F23-G23</f>
      </c>
      <c r="K23" s="2">
        <f>IF(G23&gt;0, (F23-G23)/G23, 0)</f>
      </c>
      <c r="L23" s="1">
        <f>H23*G23</f>
      </c>
      <c r="M23" s="1">
        <f>H23*F23</f>
      </c>
      <c r="N23" s="1">
        <f>M23-L23</f>
      </c>
      <c r="O23">
        <f>IF(H23&lt;=0, "نفد من المخزن", IF(H23&lt;=I23, "قارب على النفاد", "متوفر بالمخزن"))</f>
      </c>
      <c r="P23">
        <v>0</v>
      </c>
      <c r="Q23" t="str">
        <v>COS-0009</v>
      </c>
      <c r="R23" t="str">
        <v/>
      </c>
      <c r="S23" t="str">
        <v>50 مل</v>
      </c>
      <c r="T23" t="str">
        <v/>
      </c>
    </row>
    <row r="24">
      <c r="A24">
        <v>21</v>
      </c>
      <c r="B24" t="str">
        <v>مرطب شفاه لابيلو كرز لمعان ولون ناعم 4.8 جم</v>
      </c>
      <c r="C24" t="str">
        <v>4005808369904</v>
      </c>
      <c r="D24" t="str">
        <v/>
      </c>
      <c r="E24" t="str">
        <v>قطعة</v>
      </c>
      <c r="F24">
        <v>55</v>
      </c>
      <c r="G24">
        <v>40</v>
      </c>
      <c r="H24">
        <v>40</v>
      </c>
      <c r="I24">
        <v>8</v>
      </c>
      <c r="J24" s="1">
        <f>F24-G24</f>
      </c>
      <c r="K24" s="2">
        <f>IF(G24&gt;0, (F24-G24)/G24, 0)</f>
      </c>
      <c r="L24" s="1">
        <f>H24*G24</f>
      </c>
      <c r="M24" s="1">
        <f>H24*F24</f>
      </c>
      <c r="N24" s="1">
        <f>M24-L24</f>
      </c>
      <c r="O24">
        <f>IF(H24&lt;=0, "نفد من المخزن", IF(H24&lt;=I24, "قارب على النفاد", "متوفر بالمخزن"))</f>
      </c>
      <c r="P24">
        <v>0</v>
      </c>
      <c r="Q24" t="str">
        <v>COS-0010</v>
      </c>
      <c r="R24" t="str">
        <v>كرز</v>
      </c>
      <c r="S24" t="str">
        <v/>
      </c>
      <c r="T24" t="str">
        <v/>
      </c>
    </row>
    <row r="25">
      <c r="A25">
        <v>22</v>
      </c>
      <c r="B25" t="str">
        <v>كريم بانثينول مرطب وملطف طبي للجلد 50 جم</v>
      </c>
      <c r="C25" t="str">
        <v>6221100040142</v>
      </c>
      <c r="D25" t="str">
        <v/>
      </c>
      <c r="E25" t="str">
        <v>قطعة</v>
      </c>
      <c r="F25">
        <v>30</v>
      </c>
      <c r="G25">
        <v>22</v>
      </c>
      <c r="H25">
        <v>60</v>
      </c>
      <c r="I25">
        <v>15</v>
      </c>
      <c r="J25" s="1">
        <f>F25-G25</f>
      </c>
      <c r="K25" s="2">
        <f>IF(G25&gt;0, (F25-G25)/G25, 0)</f>
      </c>
      <c r="L25" s="1">
        <f>H25*G25</f>
      </c>
      <c r="M25" s="1">
        <f>H25*F25</f>
      </c>
      <c r="N25" s="1">
        <f>M25-L25</f>
      </c>
      <c r="O25">
        <f>IF(H25&lt;=0, "نفد من المخزن", IF(H25&lt;=I25, "قارب على النفاد", "متوفر بالمخزن"))</f>
      </c>
      <c r="P25">
        <v>0</v>
      </c>
      <c r="Q25" t="str">
        <v>COS-0011</v>
      </c>
      <c r="R25" t="str">
        <v/>
      </c>
      <c r="S25" t="str">
        <v>50 جم</v>
      </c>
      <c r="T25" t="str">
        <v/>
      </c>
    </row>
    <row r="26">
      <c r="A26">
        <v>23</v>
      </c>
      <c r="B26" t="str">
        <v>زيت شعر دابر أملا الذهبي المغذي 200 مل</v>
      </c>
      <c r="C26" t="str">
        <v>6221100040159</v>
      </c>
      <c r="D26" t="str">
        <v/>
      </c>
      <c r="E26" t="str">
        <v>قطعة</v>
      </c>
      <c r="F26">
        <v>60</v>
      </c>
      <c r="G26">
        <v>45</v>
      </c>
      <c r="H26">
        <v>30</v>
      </c>
      <c r="I26">
        <v>6</v>
      </c>
      <c r="J26" s="1">
        <f>F26-G26</f>
      </c>
      <c r="K26" s="2">
        <f>IF(G26&gt;0, (F26-G26)/G26, 0)</f>
      </c>
      <c r="L26" s="1">
        <f>H26*G26</f>
      </c>
      <c r="M26" s="1">
        <f>H26*F26</f>
      </c>
      <c r="N26" s="1">
        <f>M26-L26</f>
      </c>
      <c r="O26">
        <f>IF(H26&lt;=0, "نفد من المخزن", IF(H26&lt;=I26, "قارب على النفاد", "متوفر بالمخزن"))</f>
      </c>
      <c r="P26">
        <v>0</v>
      </c>
      <c r="Q26" t="str">
        <v>COS-0012</v>
      </c>
      <c r="R26" t="str">
        <v/>
      </c>
      <c r="S26" t="str">
        <v>200 مل</v>
      </c>
      <c r="T26" t="str">
        <v/>
      </c>
    </row>
    <row r="27">
      <c r="A27">
        <v>24</v>
      </c>
      <c r="B27" t="str">
        <v>شامبو لوريال إلفيف للشعر الجاف والتالف بالزيوت الثمينة 400 مل</v>
      </c>
      <c r="C27" t="str">
        <v>3600522851508</v>
      </c>
      <c r="D27" t="str">
        <v/>
      </c>
      <c r="E27" t="str">
        <v>قطعة</v>
      </c>
      <c r="F27">
        <v>120</v>
      </c>
      <c r="G27">
        <v>95</v>
      </c>
      <c r="H27">
        <v>25</v>
      </c>
      <c r="I27">
        <v>5</v>
      </c>
      <c r="J27" s="1">
        <f>F27-G27</f>
      </c>
      <c r="K27" s="2">
        <f>IF(G27&gt;0, (F27-G27)/G27, 0)</f>
      </c>
      <c r="L27" s="1">
        <f>H27*G27</f>
      </c>
      <c r="M27" s="1">
        <f>H27*F27</f>
      </c>
      <c r="N27" s="1">
        <f>M27-L27</f>
      </c>
      <c r="O27">
        <f>IF(H27&lt;=0, "نفد من المخزن", IF(H27&lt;=I27, "قارب على النفاد", "متوفر بالمخزن"))</f>
      </c>
      <c r="P27">
        <v>0</v>
      </c>
      <c r="Q27" t="str">
        <v>COS-0013</v>
      </c>
      <c r="R27" t="str">
        <v/>
      </c>
      <c r="S27" t="str">
        <v>400 مل</v>
      </c>
      <c r="T27" t="str">
        <v/>
      </c>
    </row>
    <row r="28">
      <c r="A28">
        <v>25</v>
      </c>
      <c r="B28" t="str">
        <v>بديل الزيت بانتين برو-في للشعر المصبوغ 350 مل</v>
      </c>
      <c r="C28" t="str">
        <v>8001090123456</v>
      </c>
      <c r="D28" t="str">
        <v/>
      </c>
      <c r="E28" t="str">
        <v>قطعة</v>
      </c>
      <c r="F28">
        <v>95</v>
      </c>
      <c r="G28">
        <v>75</v>
      </c>
      <c r="H28">
        <v>25</v>
      </c>
      <c r="I28">
        <v>5</v>
      </c>
      <c r="J28" s="1">
        <f>F28-G28</f>
      </c>
      <c r="K28" s="2">
        <f>IF(G28&gt;0, (F28-G28)/G28, 0)</f>
      </c>
      <c r="L28" s="1">
        <f>H28*G28</f>
      </c>
      <c r="M28" s="1">
        <f>H28*F28</f>
      </c>
      <c r="N28" s="1">
        <f>M28-L28</f>
      </c>
      <c r="O28">
        <f>IF(H28&lt;=0, "نفد من المخزن", IF(H28&lt;=I28, "قارب على النفاد", "متوفر بالمخزن"))</f>
      </c>
      <c r="P28">
        <v>0</v>
      </c>
      <c r="Q28" t="str">
        <v>COS-0014</v>
      </c>
      <c r="R28" t="str">
        <v/>
      </c>
      <c r="S28" t="str">
        <v>350 مل</v>
      </c>
      <c r="T28" t="str">
        <v/>
      </c>
    </row>
    <row r="29">
      <c r="A29">
        <v>26</v>
      </c>
      <c r="B29" t="str">
        <v>شامبو نيزابكس مضاد للقشرة والفطريات 80 مل</v>
      </c>
      <c r="C29" t="str">
        <v>6221100040166</v>
      </c>
      <c r="D29" t="str">
        <v/>
      </c>
      <c r="E29" t="str">
        <v>قطعة</v>
      </c>
      <c r="F29">
        <v>45</v>
      </c>
      <c r="G29">
        <v>35</v>
      </c>
      <c r="H29">
        <v>35</v>
      </c>
      <c r="I29">
        <v>7</v>
      </c>
      <c r="J29" s="1">
        <f>F29-G29</f>
      </c>
      <c r="K29" s="2">
        <f>IF(G29&gt;0, (F29-G29)/G29, 0)</f>
      </c>
      <c r="L29" s="1">
        <f>H29*G29</f>
      </c>
      <c r="M29" s="1">
        <f>H29*F29</f>
      </c>
      <c r="N29" s="1">
        <f>M29-L29</f>
      </c>
      <c r="O29">
        <f>IF(H29&lt;=0, "نفد من المخزن", IF(H29&lt;=I29, "قارب على النفاد", "متوفر بالمخزن"))</f>
      </c>
      <c r="P29">
        <v>0</v>
      </c>
      <c r="Q29" t="str">
        <v>COS-0015</v>
      </c>
      <c r="R29" t="str">
        <v/>
      </c>
      <c r="S29" t="str">
        <v>80 مل</v>
      </c>
      <c r="T29" t="str">
        <v/>
      </c>
    </row>
    <row r="30">
      <c r="A30">
        <v>27</v>
      </c>
      <c r="B30" t="str">
        <v>شامبو كيتوديرم مضاد للقشرة والحكة 100 مل</v>
      </c>
      <c r="C30" t="str">
        <v>6221100040173</v>
      </c>
      <c r="D30" t="str">
        <v/>
      </c>
      <c r="E30" t="str">
        <v>قطعة</v>
      </c>
      <c r="F30">
        <v>50</v>
      </c>
      <c r="G30">
        <v>38</v>
      </c>
      <c r="H30">
        <v>30</v>
      </c>
      <c r="I30">
        <v>6</v>
      </c>
      <c r="J30" s="1">
        <f>F30-G30</f>
      </c>
      <c r="K30" s="2">
        <f>IF(G30&gt;0, (F30-G30)/G30, 0)</f>
      </c>
      <c r="L30" s="1">
        <f>H30*G30</f>
      </c>
      <c r="M30" s="1">
        <f>H30*F30</f>
      </c>
      <c r="N30" s="1">
        <f>M30-L30</f>
      </c>
      <c r="O30">
        <f>IF(H30&lt;=0, "نفد من المخزن", IF(H30&lt;=I30, "قارب على النفاد", "متوفر بالمخزن"))</f>
      </c>
      <c r="P30">
        <v>0</v>
      </c>
      <c r="Q30" t="str">
        <v>COS-0016</v>
      </c>
      <c r="R30" t="str">
        <v/>
      </c>
      <c r="S30" t="str">
        <v>100 مل</v>
      </c>
      <c r="T30" t="str">
        <v/>
      </c>
    </row>
    <row r="31">
      <c r="A31" t="str">
        <v>الإجمالي</v>
      </c>
      <c r="B31" t="str">
        <v>عدد الأصناف: 27</v>
      </c>
      <c r="C31" t="str">
        <v/>
      </c>
      <c r="D31" t="str">
        <v/>
      </c>
      <c r="E31" t="str">
        <v/>
      </c>
      <c r="F31" s="1">
        <f>AVERAGE(F4:F30)</f>
      </c>
      <c r="G31" s="1">
        <f>AVERAGE(G4:G30)</f>
      </c>
      <c r="H31" s="3">
        <f>SUM(H4:H30)</f>
      </c>
      <c r="I31" s="3">
        <f>SUM(I4:I30)</f>
      </c>
      <c r="J31" s="1">
        <f>AVERAGE(J4:J30)</f>
      </c>
      <c r="K31" s="2">
        <f>AVERAGE(K4:K30)</f>
      </c>
      <c r="L31" s="1">
        <f>SUM(L4:L30)</f>
      </c>
      <c r="M31" s="1">
        <f>SUM(M4:M30)</f>
      </c>
      <c r="N31" s="1">
        <f>SUM(N4:N30)</f>
      </c>
      <c r="O31" t="str">
        <v>محسوب بمعادلات إكسل</v>
      </c>
      <c r="P31" t="str">
        <v/>
      </c>
      <c r="Q31" t="str">
        <v/>
      </c>
      <c r="R31" t="str">
        <v/>
      </c>
      <c r="S31" t="str">
        <v/>
      </c>
      <c r="T31" t="str">
        <v/>
      </c>
    </row>
  </sheetData>
  <mergeCells count="2">
    <mergeCell ref="A1:T1"/>
    <mergeCell ref="A2:T2"/>
  </mergeCells>
  <ignoredErrors>
    <ignoredError numberStoredAsText="1" sqref="A1:T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أدوية ومسكنات شائعة وفيتامينات</vt:lpstr>
      <vt:lpstr>أدوية الأطفال والرضع</vt:lpstr>
      <vt:lpstr>أدوية الأمراض المزمنة والضغط وا</vt:lpstr>
      <vt:lpstr>مضادات حيوية ومطهرات بكتيرية</vt:lpstr>
      <vt:lpstr>أدوية الجهاز الهضمي والمعدة وال</vt:lpstr>
      <vt:lpstr>مستلزمات وإسعافات</vt:lpstr>
      <vt:lpstr>عناية بالأم والطفل</vt:lpstr>
      <vt:lpstr>تجميل وعناية بالبشرة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