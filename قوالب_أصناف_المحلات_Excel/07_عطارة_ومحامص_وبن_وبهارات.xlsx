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بن ومشروبات ساخنة" sheetId="1" r:id="rId1"/>
    <sheet name="توابل وبهارات" sheetId="2" r:id="rId2"/>
    <sheet name="مكسرات ومحامص" sheetId="3" r:id="rId3"/>
    <sheet name="أعشاب طبيعية" sheetId="4" r:id="rId4"/>
    <sheet name="ياميش وتمور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[بن ومشروبات ساخنة]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ثمن بن محوج وسط حبشي مطحون طازج 125 جم</v>
      </c>
      <c r="C4" t="str">
        <v>6224401100013</v>
      </c>
      <c r="D4" t="str">
        <v/>
      </c>
      <c r="E4" t="str">
        <v>قطعة</v>
      </c>
      <c r="F4">
        <v>45</v>
      </c>
      <c r="G4">
        <v>34</v>
      </c>
      <c r="H4">
        <v>0</v>
      </c>
      <c r="I4">
        <v>7</v>
      </c>
      <c r="J4">
        <f>F4-G4</f>
        <v>11</v>
      </c>
      <c r="K4" s="1">
        <f>IF(G4&gt;0, (F4-G4)/G4, 0)</f>
        <v>0.3235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SKU-0001</v>
      </c>
      <c r="R4" t="str">
        <v/>
      </c>
      <c r="S4" t="str">
        <v/>
      </c>
      <c r="T4" t="str">
        <v/>
      </c>
    </row>
    <row r="5">
      <c r="A5">
        <v>2</v>
      </c>
      <c r="B5" t="str">
        <v>ثمن بن سادة فاتح كولومبي 125 جم</v>
      </c>
      <c r="C5" t="str">
        <v>6224401100020</v>
      </c>
      <c r="D5" t="str">
        <v/>
      </c>
      <c r="E5" t="str">
        <v>قطعة</v>
      </c>
      <c r="F5">
        <v>38</v>
      </c>
      <c r="G5">
        <v>28</v>
      </c>
      <c r="H5">
        <v>0</v>
      </c>
      <c r="I5">
        <v>6</v>
      </c>
      <c r="J5">
        <f>F5-G5</f>
        <v>10</v>
      </c>
      <c r="K5" s="1">
        <f>IF(G5&gt;0, (F5-G5)/G5, 0)</f>
        <v>0.3571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SKU-0002</v>
      </c>
      <c r="R5" t="str">
        <v/>
      </c>
      <c r="S5" t="str">
        <v/>
      </c>
      <c r="T5" t="str">
        <v/>
      </c>
    </row>
    <row r="6">
      <c r="A6">
        <v>3</v>
      </c>
      <c r="B6" t="str">
        <v>ربع بن محوج مخصوص دبل هيل ومستكة 250 جم</v>
      </c>
      <c r="C6" t="str">
        <v>6224401100037</v>
      </c>
      <c r="D6" t="str">
        <v/>
      </c>
      <c r="E6" t="str">
        <v>قطعة</v>
      </c>
      <c r="F6">
        <v>95</v>
      </c>
      <c r="G6">
        <v>72</v>
      </c>
      <c r="H6">
        <v>0</v>
      </c>
      <c r="I6">
        <v>5</v>
      </c>
      <c r="J6">
        <f>F6-G6</f>
        <v>23</v>
      </c>
      <c r="K6" s="1">
        <f>IF(G6&gt;0, (F6-G6)/G6, 0)</f>
        <v>0.3194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SKU-0003</v>
      </c>
      <c r="R6" t="str">
        <v/>
      </c>
      <c r="S6" t="str">
        <v/>
      </c>
      <c r="T6" t="str">
        <v/>
      </c>
    </row>
    <row r="7">
      <c r="A7">
        <v>4</v>
      </c>
      <c r="B7" t="str">
        <v>ربع بن سادة وسط أرابيكا برازيلي 250 جم</v>
      </c>
      <c r="C7" t="str">
        <v>6224401100044</v>
      </c>
      <c r="D7" t="str">
        <v/>
      </c>
      <c r="E7" t="str">
        <v>قطعة</v>
      </c>
      <c r="F7">
        <v>75</v>
      </c>
      <c r="G7">
        <v>55</v>
      </c>
      <c r="H7">
        <v>0</v>
      </c>
      <c r="I7">
        <v>6</v>
      </c>
      <c r="J7">
        <f>F7-G7</f>
        <v>20</v>
      </c>
      <c r="K7" s="1">
        <f>IF(G7&gt;0, (F7-G7)/G7, 0)</f>
        <v>0.3636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SKU-0004</v>
      </c>
      <c r="R7" t="str">
        <v/>
      </c>
      <c r="S7" t="str">
        <v/>
      </c>
      <c r="T7" t="str">
        <v/>
      </c>
    </row>
    <row r="8">
      <c r="A8">
        <v>5</v>
      </c>
      <c r="B8" t="str">
        <v>بن فرنساوي بالبندق مطحون جاهز 200 جم</v>
      </c>
      <c r="C8" t="str">
        <v>6224401100051</v>
      </c>
      <c r="D8" t="str">
        <v/>
      </c>
      <c r="E8" t="str">
        <v>قطعة</v>
      </c>
      <c r="F8">
        <v>65</v>
      </c>
      <c r="G8">
        <v>48</v>
      </c>
      <c r="H8">
        <v>0</v>
      </c>
      <c r="I8">
        <v>4</v>
      </c>
      <c r="J8">
        <f>F8-G8</f>
        <v>17</v>
      </c>
      <c r="K8" s="1">
        <f>IF(G8&gt;0, (F8-G8)/G8, 0)</f>
        <v>0.3542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SKU-0005</v>
      </c>
      <c r="R8" t="str">
        <v/>
      </c>
      <c r="S8" t="str">
        <v/>
      </c>
      <c r="T8" t="str">
        <v/>
      </c>
    </row>
    <row r="9">
      <c r="A9">
        <v>6</v>
      </c>
      <c r="B9" t="str">
        <v>بن محوج شوكولاتة وكريمة 200 جم</v>
      </c>
      <c r="C9" t="str">
        <v>6224401100068</v>
      </c>
      <c r="D9" t="str">
        <v/>
      </c>
      <c r="E9" t="str">
        <v>قطعة</v>
      </c>
      <c r="F9">
        <v>65</v>
      </c>
      <c r="G9">
        <v>48</v>
      </c>
      <c r="H9">
        <v>0</v>
      </c>
      <c r="I9">
        <v>3</v>
      </c>
      <c r="J9">
        <f>F9-G9</f>
        <v>17</v>
      </c>
      <c r="K9" s="1">
        <f>IF(G9&gt;0, (F9-G9)/G9, 0)</f>
        <v>0.3542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SKU-0006</v>
      </c>
      <c r="R9" t="str">
        <v/>
      </c>
      <c r="S9" t="str">
        <v/>
      </c>
      <c r="T9" t="str">
        <v/>
      </c>
    </row>
    <row r="10">
      <c r="A10">
        <v>7</v>
      </c>
      <c r="B10" t="str">
        <v>بودرة كاكاو إسباني خام نقي 100 جم</v>
      </c>
      <c r="C10" t="str">
        <v>6224401100075</v>
      </c>
      <c r="D10" t="str">
        <v/>
      </c>
      <c r="E10" t="str">
        <v>قطعة</v>
      </c>
      <c r="F10">
        <v>35</v>
      </c>
      <c r="G10">
        <v>24</v>
      </c>
      <c r="H10">
        <v>0</v>
      </c>
      <c r="I10">
        <v>5</v>
      </c>
      <c r="J10">
        <f>F10-G10</f>
        <v>11</v>
      </c>
      <c r="K10" s="1">
        <f>IF(G10&gt;0, (F10-G10)/G10, 0)</f>
        <v>0.4583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SKU-0007</v>
      </c>
      <c r="R10" t="str">
        <v/>
      </c>
      <c r="S10" t="str">
        <v/>
      </c>
      <c r="T10" t="str">
        <v/>
      </c>
    </row>
    <row r="11">
      <c r="A11">
        <v>8</v>
      </c>
      <c r="B11" t="str">
        <v>خلطة سحلب مكسرات فاخرة بالسمسم 250 جم</v>
      </c>
      <c r="C11" t="str">
        <v>6224401100082</v>
      </c>
      <c r="D11" t="str">
        <v/>
      </c>
      <c r="E11" t="str">
        <v>قطعة</v>
      </c>
      <c r="F11">
        <v>45</v>
      </c>
      <c r="G11">
        <v>30</v>
      </c>
      <c r="H11">
        <v>0</v>
      </c>
      <c r="I11">
        <v>6</v>
      </c>
      <c r="J11">
        <f>F11-G11</f>
        <v>15</v>
      </c>
      <c r="K11" s="1">
        <f>IF(G11&gt;0, (F11-G11)/G11, 0)</f>
        <v>0.5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SKU-0008</v>
      </c>
      <c r="R11" t="str">
        <v/>
      </c>
      <c r="S11" t="str">
        <v/>
      </c>
      <c r="T11" t="str">
        <v/>
      </c>
    </row>
    <row r="12">
      <c r="A12" t="str">
        <v>الإجمالي</v>
      </c>
      <c r="B12" t="str">
        <v>إجمالي 8 صنف مسجل</v>
      </c>
      <c r="C12" t="str">
        <v/>
      </c>
      <c r="D12" t="str">
        <v/>
      </c>
      <c r="E12" t="str">
        <v/>
      </c>
      <c r="F12" s="2">
        <f>AVERAGE(F4:F11)</f>
      </c>
      <c r="G12" s="2">
        <f>AVERAGE(G4:G11)</f>
      </c>
      <c r="H12" s="3">
        <f>SUM(H4:H11)</f>
      </c>
      <c r="I12" t="str">
        <v/>
      </c>
      <c r="J12" s="2">
        <f>AVERAGE(J4:J11)</f>
      </c>
      <c r="K12" s="1">
        <f>IF(L12&gt;0, N12/L12, 0)</f>
      </c>
      <c r="L12" s="2">
        <f>SUM(L4:L11)</f>
      </c>
      <c r="M12" s="2">
        <f>SUM(M4:M11)</f>
      </c>
      <c r="N12" s="2">
        <f>SUM(N4:N11)</f>
      </c>
      <c r="O12" t="str">
        <v>محسوب بمعادلات إكسل</v>
      </c>
      <c r="P12" t="str">
        <v/>
      </c>
      <c r="Q12" t="str">
        <v/>
      </c>
      <c r="R12" t="str">
        <v/>
      </c>
      <c r="S12" t="str">
        <v/>
      </c>
      <c r="T12" t="str">
        <v/>
      </c>
    </row>
  </sheetData>
  <mergeCells count="2">
    <mergeCell ref="A1:T1"/>
    <mergeCell ref="A2:T2"/>
  </mergeCells>
  <ignoredErrors>
    <ignoredError numberStoredAsText="1" sqref="A1:T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[توابل وبهارات]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كمون بلدي مطحون منخول 100 جم</v>
      </c>
      <c r="C4" t="str">
        <v>6224402200019</v>
      </c>
      <c r="D4" t="str">
        <v/>
      </c>
      <c r="E4" t="str">
        <v>قطعة</v>
      </c>
      <c r="F4">
        <v>25</v>
      </c>
      <c r="G4">
        <v>17.5</v>
      </c>
      <c r="H4">
        <v>0</v>
      </c>
      <c r="I4">
        <v>8</v>
      </c>
      <c r="J4">
        <f>F4-G4</f>
        <v>7.5</v>
      </c>
      <c r="K4" s="1">
        <f>IF(G4&gt;0, (F4-G4)/G4, 0)</f>
        <v>0.4286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SKU-0009</v>
      </c>
      <c r="R4" t="str">
        <v/>
      </c>
      <c r="S4" t="str">
        <v/>
      </c>
      <c r="T4" t="str">
        <v/>
      </c>
    </row>
    <row r="5">
      <c r="A5">
        <v>2</v>
      </c>
      <c r="B5" t="str">
        <v>كمون بلدي حب حصى نقي 100 جم</v>
      </c>
      <c r="C5" t="str">
        <v>6224402200026</v>
      </c>
      <c r="D5" t="str">
        <v/>
      </c>
      <c r="E5" t="str">
        <v>قطعة</v>
      </c>
      <c r="F5">
        <v>23</v>
      </c>
      <c r="G5">
        <v>16</v>
      </c>
      <c r="H5">
        <v>0</v>
      </c>
      <c r="I5">
        <v>6</v>
      </c>
      <c r="J5">
        <f>F5-G5</f>
        <v>7</v>
      </c>
      <c r="K5" s="1">
        <f>IF(G5&gt;0, (F5-G5)/G5, 0)</f>
        <v>0.4375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SKU-0010</v>
      </c>
      <c r="R5" t="str">
        <v/>
      </c>
      <c r="S5" t="str">
        <v/>
      </c>
      <c r="T5" t="str">
        <v/>
      </c>
    </row>
    <row r="6">
      <c r="A6">
        <v>3</v>
      </c>
      <c r="B6" t="str">
        <v>فلفل أسود حب برازيلي فاخر 100 جم</v>
      </c>
      <c r="C6" t="str">
        <v>6224402200033</v>
      </c>
      <c r="D6" t="str">
        <v/>
      </c>
      <c r="E6" t="str">
        <v>قطعة</v>
      </c>
      <c r="F6">
        <v>35</v>
      </c>
      <c r="G6">
        <v>24</v>
      </c>
      <c r="H6">
        <v>0</v>
      </c>
      <c r="I6">
        <v>7</v>
      </c>
      <c r="J6">
        <f>F6-G6</f>
        <v>11</v>
      </c>
      <c r="K6" s="1">
        <f>IF(G6&gt;0, (F6-G6)/G6, 0)</f>
        <v>0.4583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SKU-0011</v>
      </c>
      <c r="R6" t="str">
        <v/>
      </c>
      <c r="S6" t="str">
        <v/>
      </c>
      <c r="T6" t="str">
        <v/>
      </c>
    </row>
    <row r="7">
      <c r="A7">
        <v>4</v>
      </c>
      <c r="B7" t="str">
        <v>فلفل أسود ناعم مطحون نقي 100 جم</v>
      </c>
      <c r="C7" t="str">
        <v>6224402200040</v>
      </c>
      <c r="D7" t="str">
        <v/>
      </c>
      <c r="E7" t="str">
        <v>قطعة</v>
      </c>
      <c r="F7">
        <v>35</v>
      </c>
      <c r="G7">
        <v>24</v>
      </c>
      <c r="H7">
        <v>0</v>
      </c>
      <c r="I7">
        <v>7</v>
      </c>
      <c r="J7">
        <f>F7-G7</f>
        <v>11</v>
      </c>
      <c r="K7" s="1">
        <f>IF(G7&gt;0, (F7-G7)/G7, 0)</f>
        <v>0.4583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SKU-0012</v>
      </c>
      <c r="R7" t="str">
        <v/>
      </c>
      <c r="S7" t="str">
        <v/>
      </c>
      <c r="T7" t="str">
        <v/>
      </c>
    </row>
    <row r="8">
      <c r="A8">
        <v>5</v>
      </c>
      <c r="B8" t="str">
        <v>كزبرة بلدي مطحونة ريحة قوية 100 جم</v>
      </c>
      <c r="C8" t="str">
        <v>6224402200057</v>
      </c>
      <c r="D8" t="str">
        <v/>
      </c>
      <c r="E8" t="str">
        <v>قطعة</v>
      </c>
      <c r="F8">
        <v>15</v>
      </c>
      <c r="G8">
        <v>9.5</v>
      </c>
      <c r="H8">
        <v>0</v>
      </c>
      <c r="I8">
        <v>9</v>
      </c>
      <c r="J8">
        <f>F8-G8</f>
        <v>5.5</v>
      </c>
      <c r="K8" s="1">
        <f>IF(G8&gt;0, (F8-G8)/G8, 0)</f>
        <v>0.5789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SKU-0013</v>
      </c>
      <c r="R8" t="str">
        <v/>
      </c>
      <c r="S8" t="str">
        <v/>
      </c>
      <c r="T8" t="str">
        <v/>
      </c>
    </row>
    <row r="9">
      <c r="A9">
        <v>6</v>
      </c>
      <c r="B9" t="str">
        <v>بابريكا مدخنة إسبانية درجة أولى 100 جم</v>
      </c>
      <c r="C9" t="str">
        <v>6224402200064</v>
      </c>
      <c r="D9" t="str">
        <v/>
      </c>
      <c r="E9" t="str">
        <v>قطعة</v>
      </c>
      <c r="F9">
        <v>25</v>
      </c>
      <c r="G9">
        <v>16.5</v>
      </c>
      <c r="H9">
        <v>0</v>
      </c>
      <c r="I9">
        <v>6</v>
      </c>
      <c r="J9">
        <f>F9-G9</f>
        <v>8.5</v>
      </c>
      <c r="K9" s="1">
        <f>IF(G9&gt;0, (F9-G9)/G9, 0)</f>
        <v>0.5152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SKU-0014</v>
      </c>
      <c r="R9" t="str">
        <v/>
      </c>
      <c r="S9" t="str">
        <v/>
      </c>
      <c r="T9" t="str">
        <v/>
      </c>
    </row>
    <row r="10">
      <c r="A10">
        <v>7</v>
      </c>
      <c r="B10" t="str">
        <v>شطة سودانية حمراء حارة ناعمة 100 جم</v>
      </c>
      <c r="C10" t="str">
        <v>6224402200071</v>
      </c>
      <c r="D10" t="str">
        <v/>
      </c>
      <c r="E10" t="str">
        <v>قطعة</v>
      </c>
      <c r="F10">
        <v>18</v>
      </c>
      <c r="G10">
        <v>11</v>
      </c>
      <c r="H10">
        <v>0</v>
      </c>
      <c r="I10">
        <v>7</v>
      </c>
      <c r="J10">
        <f>F10-G10</f>
        <v>7</v>
      </c>
      <c r="K10" s="1">
        <f>IF(G10&gt;0, (F10-G10)/G10, 0)</f>
        <v>0.6364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SKU-0015</v>
      </c>
      <c r="R10" t="str">
        <v/>
      </c>
      <c r="S10" t="str">
        <v/>
      </c>
      <c r="T10" t="str">
        <v/>
      </c>
    </row>
    <row r="11">
      <c r="A11">
        <v>8</v>
      </c>
      <c r="B11" t="str">
        <v>بهارات لحمة مشكلة السبع بهارات العطار 100 جم</v>
      </c>
      <c r="C11" t="str">
        <v>6224402200088</v>
      </c>
      <c r="D11" t="str">
        <v/>
      </c>
      <c r="E11" t="str">
        <v>قطعة</v>
      </c>
      <c r="F11">
        <v>30</v>
      </c>
      <c r="G11">
        <v>19</v>
      </c>
      <c r="H11">
        <v>0</v>
      </c>
      <c r="I11">
        <v>6</v>
      </c>
      <c r="J11">
        <f>F11-G11</f>
        <v>11</v>
      </c>
      <c r="K11" s="1">
        <f>IF(G11&gt;0, (F11-G11)/G11, 0)</f>
        <v>0.5789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SKU-0016</v>
      </c>
      <c r="R11" t="str">
        <v/>
      </c>
      <c r="S11" t="str">
        <v/>
      </c>
      <c r="T11" t="str">
        <v/>
      </c>
    </row>
    <row r="12">
      <c r="A12">
        <v>9</v>
      </c>
      <c r="B12" t="str">
        <v>بهارات فراخ وتتبيلة شوي شيش 100 جم</v>
      </c>
      <c r="C12" t="str">
        <v>6224402200095</v>
      </c>
      <c r="D12" t="str">
        <v/>
      </c>
      <c r="E12" t="str">
        <v>قطعة</v>
      </c>
      <c r="F12">
        <v>28</v>
      </c>
      <c r="G12">
        <v>18</v>
      </c>
      <c r="H12">
        <v>0</v>
      </c>
      <c r="I12">
        <v>6</v>
      </c>
      <c r="J12">
        <f>F12-G12</f>
        <v>10</v>
      </c>
      <c r="K12" s="1">
        <f>IF(G12&gt;0, (F12-G12)/G12, 0)</f>
        <v>0.5556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SKU-0017</v>
      </c>
      <c r="R12" t="str">
        <v/>
      </c>
      <c r="S12" t="str">
        <v/>
      </c>
      <c r="T12" t="str">
        <v/>
      </c>
    </row>
    <row r="13">
      <c r="A13">
        <v>10</v>
      </c>
      <c r="B13" t="str">
        <v>قرفة سيلاني خشب عيدان 100 جم</v>
      </c>
      <c r="C13" t="str">
        <v>6224402200101</v>
      </c>
      <c r="D13" t="str">
        <v/>
      </c>
      <c r="E13" t="str">
        <v>قطعة</v>
      </c>
      <c r="F13">
        <v>35</v>
      </c>
      <c r="G13">
        <v>22</v>
      </c>
      <c r="H13">
        <v>0</v>
      </c>
      <c r="I13">
        <v>5</v>
      </c>
      <c r="J13">
        <f>F13-G13</f>
        <v>13</v>
      </c>
      <c r="K13" s="1">
        <f>IF(G13&gt;0, (F13-G13)/G13, 0)</f>
        <v>0.5909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SKU-0018</v>
      </c>
      <c r="R13" t="str">
        <v/>
      </c>
      <c r="S13" t="str">
        <v/>
      </c>
      <c r="T13" t="str">
        <v/>
      </c>
    </row>
    <row r="14">
      <c r="A14">
        <v>11</v>
      </c>
      <c r="B14" t="str">
        <v>قرفة ناعمة مطحونة سيلاني 100 جم</v>
      </c>
      <c r="C14" t="str">
        <v>6224402200118</v>
      </c>
      <c r="D14" t="str">
        <v/>
      </c>
      <c r="E14" t="str">
        <v>قطعة</v>
      </c>
      <c r="F14">
        <v>30</v>
      </c>
      <c r="G14">
        <v>19</v>
      </c>
      <c r="H14">
        <v>0</v>
      </c>
      <c r="I14">
        <v>5</v>
      </c>
      <c r="J14">
        <f>F14-G14</f>
        <v>11</v>
      </c>
      <c r="K14" s="1">
        <f>IF(G14&gt;0, (F14-G14)/G14, 0)</f>
        <v>0.5789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SKU-0019</v>
      </c>
      <c r="R14" t="str">
        <v/>
      </c>
      <c r="S14" t="str">
        <v/>
      </c>
      <c r="T14" t="str">
        <v/>
      </c>
    </row>
    <row r="15">
      <c r="A15">
        <v>12</v>
      </c>
      <c r="B15" t="str">
        <v>حبهان أخضر جامبو رقم واحد حب 50 جم</v>
      </c>
      <c r="C15" t="str">
        <v>6224402200125</v>
      </c>
      <c r="D15" t="str">
        <v/>
      </c>
      <c r="E15" t="str">
        <v>قطعة</v>
      </c>
      <c r="F15">
        <v>50</v>
      </c>
      <c r="G15">
        <v>36</v>
      </c>
      <c r="H15">
        <v>0</v>
      </c>
      <c r="I15">
        <v>4</v>
      </c>
      <c r="J15">
        <f>F15-G15</f>
        <v>14</v>
      </c>
      <c r="K15" s="1">
        <f>IF(G15&gt;0, (F15-G15)/G15, 0)</f>
        <v>0.3889</v>
      </c>
      <c r="L15" s="2">
        <f>H15*G15</f>
        <v>0</v>
      </c>
      <c r="M15" s="2">
        <f>H15*F15</f>
        <v>0</v>
      </c>
      <c r="N15" s="2">
        <f>M15-L15</f>
        <v>0</v>
      </c>
      <c r="O15" t="str">
        <f>IF(H15&lt;=0, "نفد من المخزن", IF(H15&lt;=I15, "قارب على النفاد", "متوفر بالمخزن"))</f>
        <v>نفد من المخزن</v>
      </c>
      <c r="P15">
        <v>0</v>
      </c>
      <c r="Q15" t="str">
        <v>SKU-0020</v>
      </c>
      <c r="R15" t="str">
        <v/>
      </c>
      <c r="S15" t="str">
        <v/>
      </c>
      <c r="T15" t="str">
        <v/>
      </c>
    </row>
    <row r="16">
      <c r="A16">
        <v>13</v>
      </c>
      <c r="B16" t="str">
        <v>زنجبيل ناعم مطحون بيور 100 جم</v>
      </c>
      <c r="C16" t="str">
        <v>6224402200132</v>
      </c>
      <c r="D16" t="str">
        <v/>
      </c>
      <c r="E16" t="str">
        <v>قطعة</v>
      </c>
      <c r="F16">
        <v>25</v>
      </c>
      <c r="G16">
        <v>16</v>
      </c>
      <c r="H16">
        <v>0</v>
      </c>
      <c r="I16">
        <v>6</v>
      </c>
      <c r="J16">
        <f>F16-G16</f>
        <v>9</v>
      </c>
      <c r="K16" s="1">
        <f>IF(G16&gt;0, (F16-G16)/G16, 0)</f>
        <v>0.5625</v>
      </c>
      <c r="L16" s="2">
        <f>H16*G16</f>
        <v>0</v>
      </c>
      <c r="M16" s="2">
        <f>H16*F16</f>
        <v>0</v>
      </c>
      <c r="N16" s="2">
        <f>M16-L16</f>
        <v>0</v>
      </c>
      <c r="O16" t="str">
        <f>IF(H16&lt;=0, "نفد من المخزن", IF(H16&lt;=I16, "قارب على النفاد", "متوفر بالمخزن"))</f>
        <v>نفد من المخزن</v>
      </c>
      <c r="P16">
        <v>0</v>
      </c>
      <c r="Q16" t="str">
        <v>SKU-0021</v>
      </c>
      <c r="R16" t="str">
        <v/>
      </c>
      <c r="S16" t="str">
        <v/>
      </c>
      <c r="T16" t="str">
        <v/>
      </c>
    </row>
    <row r="17">
      <c r="A17">
        <v>14</v>
      </c>
      <c r="B17" t="str">
        <v>كركم هندي نقي للطبخ والأرز 100 جم</v>
      </c>
      <c r="C17" t="str">
        <v>6224402200149</v>
      </c>
      <c r="D17" t="str">
        <v/>
      </c>
      <c r="E17" t="str">
        <v>قطعة</v>
      </c>
      <c r="F17">
        <v>20</v>
      </c>
      <c r="G17">
        <v>12.5</v>
      </c>
      <c r="H17">
        <v>0</v>
      </c>
      <c r="I17">
        <v>7</v>
      </c>
      <c r="J17">
        <f>F17-G17</f>
        <v>7.5</v>
      </c>
      <c r="K17" s="1">
        <f>IF(G17&gt;0, (F17-G17)/G17, 0)</f>
        <v>0.6</v>
      </c>
      <c r="L17" s="2">
        <f>H17*G17</f>
        <v>0</v>
      </c>
      <c r="M17" s="2">
        <f>H17*F17</f>
        <v>0</v>
      </c>
      <c r="N17" s="2">
        <f>M17-L17</f>
        <v>0</v>
      </c>
      <c r="O17" t="str">
        <f>IF(H17&lt;=0, "نفد من المخزن", IF(H17&lt;=I17, "قارب على النفاد", "متوفر بالمخزن"))</f>
        <v>نفد من المخزن</v>
      </c>
      <c r="P17">
        <v>0</v>
      </c>
      <c r="Q17" t="str">
        <v>SKU-0022</v>
      </c>
      <c r="R17" t="str">
        <v/>
      </c>
      <c r="S17" t="str">
        <v/>
      </c>
      <c r="T17" t="str">
        <v/>
      </c>
    </row>
    <row r="18">
      <c r="A18" t="str">
        <v>الإجمالي</v>
      </c>
      <c r="B18" t="str">
        <v>إجمالي 14 صنف مسجل</v>
      </c>
      <c r="C18" t="str">
        <v/>
      </c>
      <c r="D18" t="str">
        <v/>
      </c>
      <c r="E18" t="str">
        <v/>
      </c>
      <c r="F18" s="2">
        <f>AVERAGE(F4:F17)</f>
      </c>
      <c r="G18" s="2">
        <f>AVERAGE(G4:G17)</f>
      </c>
      <c r="H18" s="3">
        <f>SUM(H4:H17)</f>
      </c>
      <c r="I18" t="str">
        <v/>
      </c>
      <c r="J18" s="2">
        <f>AVERAGE(J4:J17)</f>
      </c>
      <c r="K18" s="1">
        <f>IF(L18&gt;0, N18/L18, 0)</f>
      </c>
      <c r="L18" s="2">
        <f>SUM(L4:L17)</f>
      </c>
      <c r="M18" s="2">
        <f>SUM(M4:M17)</f>
      </c>
      <c r="N18" s="2">
        <f>SUM(N4:N17)</f>
      </c>
      <c r="O18" t="str">
        <v>محسوب بمعادلات إكسل</v>
      </c>
      <c r="P18" t="str">
        <v/>
      </c>
      <c r="Q18" t="str">
        <v/>
      </c>
      <c r="R18" t="str">
        <v/>
      </c>
      <c r="S18" t="str">
        <v/>
      </c>
      <c r="T18" t="str">
        <v/>
      </c>
    </row>
  </sheetData>
  <mergeCells count="2">
    <mergeCell ref="A1:T1"/>
    <mergeCell ref="A2:T2"/>
  </mergeCells>
  <ignoredErrors>
    <ignoredError numberStoredAsText="1" sqref="A1:T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[مكسرات ومحامص]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لب سوبر أسمر محمص مقرمش 250 جم</v>
      </c>
      <c r="C4" t="str">
        <v>6224403300015</v>
      </c>
      <c r="D4" t="str">
        <v/>
      </c>
      <c r="E4" t="str">
        <v>قطعة</v>
      </c>
      <c r="F4">
        <v>35</v>
      </c>
      <c r="G4">
        <v>25</v>
      </c>
      <c r="H4">
        <v>0</v>
      </c>
      <c r="I4">
        <v>8</v>
      </c>
      <c r="J4">
        <f>F4-G4</f>
        <v>10</v>
      </c>
      <c r="K4" s="1">
        <f>IF(G4&gt;0, (F4-G4)/G4, 0)</f>
        <v>0.4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SKU-0023</v>
      </c>
      <c r="R4" t="str">
        <v/>
      </c>
      <c r="S4" t="str">
        <v/>
      </c>
      <c r="T4" t="str">
        <v/>
      </c>
    </row>
    <row r="5">
      <c r="A5">
        <v>2</v>
      </c>
      <c r="B5" t="str">
        <v>لب سوري دوار الشمس محمص مالح 250 جم</v>
      </c>
      <c r="C5" t="str">
        <v>6224403300022</v>
      </c>
      <c r="D5" t="str">
        <v/>
      </c>
      <c r="E5" t="str">
        <v>قطعة</v>
      </c>
      <c r="F5">
        <v>25</v>
      </c>
      <c r="G5">
        <v>17</v>
      </c>
      <c r="H5">
        <v>0</v>
      </c>
      <c r="I5">
        <v>10</v>
      </c>
      <c r="J5">
        <f>F5-G5</f>
        <v>8</v>
      </c>
      <c r="K5" s="1">
        <f>IF(G5&gt;0, (F5-G5)/G5, 0)</f>
        <v>0.4706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SKU-0024</v>
      </c>
      <c r="R5" t="str">
        <v/>
      </c>
      <c r="S5" t="str">
        <v/>
      </c>
      <c r="T5" t="str">
        <v/>
      </c>
    </row>
    <row r="6">
      <c r="A6">
        <v>3</v>
      </c>
      <c r="B6" t="str">
        <v>لب أبيض قرع محمص ممتاز 250 جم</v>
      </c>
      <c r="C6" t="str">
        <v>6224403300039</v>
      </c>
      <c r="D6" t="str">
        <v/>
      </c>
      <c r="E6" t="str">
        <v>قطعة</v>
      </c>
      <c r="F6">
        <v>55</v>
      </c>
      <c r="G6">
        <v>39</v>
      </c>
      <c r="H6">
        <v>0</v>
      </c>
      <c r="I6">
        <v>6</v>
      </c>
      <c r="J6">
        <f>F6-G6</f>
        <v>16</v>
      </c>
      <c r="K6" s="1">
        <f>IF(G6&gt;0, (F6-G6)/G6, 0)</f>
        <v>0.4103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SKU-0025</v>
      </c>
      <c r="R6" t="str">
        <v/>
      </c>
      <c r="S6" t="str">
        <v/>
      </c>
      <c r="T6" t="str">
        <v/>
      </c>
    </row>
    <row r="7">
      <c r="A7">
        <v>4</v>
      </c>
      <c r="B7" t="str">
        <v>فول سوداني محمص بقشره بلدي 250 جم</v>
      </c>
      <c r="C7" t="str">
        <v>6224403300046</v>
      </c>
      <c r="D7" t="str">
        <v/>
      </c>
      <c r="E7" t="str">
        <v>قطعة</v>
      </c>
      <c r="F7">
        <v>20</v>
      </c>
      <c r="G7">
        <v>13.5</v>
      </c>
      <c r="H7">
        <v>0</v>
      </c>
      <c r="I7">
        <v>9</v>
      </c>
      <c r="J7">
        <f>F7-G7</f>
        <v>6.5</v>
      </c>
      <c r="K7" s="1">
        <f>IF(G7&gt;0, (F7-G7)/G7, 0)</f>
        <v>0.4815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SKU-0026</v>
      </c>
      <c r="R7" t="str">
        <v/>
      </c>
      <c r="S7" t="str">
        <v/>
      </c>
      <c r="T7" t="str">
        <v/>
      </c>
    </row>
    <row r="8">
      <c r="A8">
        <v>5</v>
      </c>
      <c r="B8" t="str">
        <v>فول سوداني مقشر محمص مملح 250 جم</v>
      </c>
      <c r="C8" t="str">
        <v>6224403300053</v>
      </c>
      <c r="D8" t="str">
        <v/>
      </c>
      <c r="E8" t="str">
        <v>قطعة</v>
      </c>
      <c r="F8">
        <v>25</v>
      </c>
      <c r="G8">
        <v>16.5</v>
      </c>
      <c r="H8">
        <v>0</v>
      </c>
      <c r="I8">
        <v>8</v>
      </c>
      <c r="J8">
        <f>F8-G8</f>
        <v>8.5</v>
      </c>
      <c r="K8" s="1">
        <f>IF(G8&gt;0, (F8-G8)/G8, 0)</f>
        <v>0.5152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SKU-0027</v>
      </c>
      <c r="R8" t="str">
        <v/>
      </c>
      <c r="S8" t="str">
        <v/>
      </c>
      <c r="T8" t="str">
        <v/>
      </c>
    </row>
    <row r="9">
      <c r="A9">
        <v>6</v>
      </c>
      <c r="B9" t="str">
        <v>كاجو جامبو محمص مملح مستورد 250 جم</v>
      </c>
      <c r="C9" t="str">
        <v>6224403300060</v>
      </c>
      <c r="D9" t="str">
        <v/>
      </c>
      <c r="E9" t="str">
        <v>قطعة</v>
      </c>
      <c r="F9">
        <v>145</v>
      </c>
      <c r="G9">
        <v>110</v>
      </c>
      <c r="H9">
        <v>0</v>
      </c>
      <c r="I9">
        <v>3</v>
      </c>
      <c r="J9">
        <f>F9-G9</f>
        <v>35</v>
      </c>
      <c r="K9" s="1">
        <f>IF(G9&gt;0, (F9-G9)/G9, 0)</f>
        <v>0.3182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SKU-0028</v>
      </c>
      <c r="R9" t="str">
        <v/>
      </c>
      <c r="S9" t="str">
        <v/>
      </c>
      <c r="T9" t="str">
        <v/>
      </c>
    </row>
    <row r="10">
      <c r="A10">
        <v>7</v>
      </c>
      <c r="B10" t="str">
        <v>فستق أمريكي محمص مملح مفتوح 250 جم</v>
      </c>
      <c r="C10" t="str">
        <v>6224403300077</v>
      </c>
      <c r="D10" t="str">
        <v/>
      </c>
      <c r="E10" t="str">
        <v>قطعة</v>
      </c>
      <c r="F10">
        <v>165</v>
      </c>
      <c r="G10">
        <v>125</v>
      </c>
      <c r="H10">
        <v>0</v>
      </c>
      <c r="I10">
        <v>3</v>
      </c>
      <c r="J10">
        <f>F10-G10</f>
        <v>40</v>
      </c>
      <c r="K10" s="1">
        <f>IF(G10&gt;0, (F10-G10)/G10, 0)</f>
        <v>0.32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SKU-0029</v>
      </c>
      <c r="R10" t="str">
        <v/>
      </c>
      <c r="S10" t="str">
        <v/>
      </c>
      <c r="T10" t="str">
        <v/>
      </c>
    </row>
    <row r="11">
      <c r="A11">
        <v>8</v>
      </c>
      <c r="B11" t="str">
        <v>لوز إسباني محمص مملح مقرمش 250 جم</v>
      </c>
      <c r="C11" t="str">
        <v>6224403300084</v>
      </c>
      <c r="D11" t="str">
        <v/>
      </c>
      <c r="E11" t="str">
        <v>قطعة</v>
      </c>
      <c r="F11">
        <v>135</v>
      </c>
      <c r="G11">
        <v>100</v>
      </c>
      <c r="H11">
        <v>0</v>
      </c>
      <c r="I11">
        <v>3</v>
      </c>
      <c r="J11">
        <f>F11-G11</f>
        <v>35</v>
      </c>
      <c r="K11" s="1">
        <f>IF(G11&gt;0, (F11-G11)/G11, 0)</f>
        <v>0.35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SKU-0030</v>
      </c>
      <c r="R11" t="str">
        <v/>
      </c>
      <c r="S11" t="str">
        <v/>
      </c>
      <c r="T11" t="str">
        <v/>
      </c>
    </row>
    <row r="12">
      <c r="A12">
        <v>9</v>
      </c>
      <c r="B12" t="str">
        <v>عين جمل أمريكي مقشر نصين 250 جم</v>
      </c>
      <c r="C12" t="str">
        <v>6224403300091</v>
      </c>
      <c r="D12" t="str">
        <v/>
      </c>
      <c r="E12" t="str">
        <v>قطعة</v>
      </c>
      <c r="F12">
        <v>120</v>
      </c>
      <c r="G12">
        <v>90</v>
      </c>
      <c r="H12">
        <v>0</v>
      </c>
      <c r="I12">
        <v>3</v>
      </c>
      <c r="J12">
        <f>F12-G12</f>
        <v>30</v>
      </c>
      <c r="K12" s="1">
        <f>IF(G12&gt;0, (F12-G12)/G12, 0)</f>
        <v>0.3333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SKU-0031</v>
      </c>
      <c r="R12" t="str">
        <v/>
      </c>
      <c r="S12" t="str">
        <v/>
      </c>
      <c r="T12" t="str">
        <v/>
      </c>
    </row>
    <row r="13">
      <c r="A13">
        <v>10</v>
      </c>
      <c r="B13" t="str">
        <v>بندق تركي مقشر محمص 250 جم</v>
      </c>
      <c r="C13" t="str">
        <v>6224403300107</v>
      </c>
      <c r="D13" t="str">
        <v/>
      </c>
      <c r="E13" t="str">
        <v>قطعة</v>
      </c>
      <c r="F13">
        <v>140</v>
      </c>
      <c r="G13">
        <v>105</v>
      </c>
      <c r="H13">
        <v>0</v>
      </c>
      <c r="I13">
        <v>3</v>
      </c>
      <c r="J13">
        <f>F13-G13</f>
        <v>35</v>
      </c>
      <c r="K13" s="1">
        <f>IF(G13&gt;0, (F13-G13)/G13, 0)</f>
        <v>0.3333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SKU-0032</v>
      </c>
      <c r="R13" t="str">
        <v/>
      </c>
      <c r="S13" t="str">
        <v/>
      </c>
      <c r="T13" t="str">
        <v/>
      </c>
    </row>
    <row r="14">
      <c r="A14">
        <v>11</v>
      </c>
      <c r="B14" t="str">
        <v>ذرة مقرمشة إسبانية بنكهة الجبنة 250 جم</v>
      </c>
      <c r="C14" t="str">
        <v>6224403300114</v>
      </c>
      <c r="D14" t="str">
        <v/>
      </c>
      <c r="E14" t="str">
        <v>قطعة</v>
      </c>
      <c r="F14">
        <v>25</v>
      </c>
      <c r="G14">
        <v>16</v>
      </c>
      <c r="H14">
        <v>0</v>
      </c>
      <c r="I14">
        <v>6</v>
      </c>
      <c r="J14">
        <f>F14-G14</f>
        <v>9</v>
      </c>
      <c r="K14" s="1">
        <f>IF(G14&gt;0, (F14-G14)/G14, 0)</f>
        <v>0.5625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SKU-0033</v>
      </c>
      <c r="R14" t="str">
        <v/>
      </c>
      <c r="S14" t="str">
        <v/>
      </c>
      <c r="T14" t="str">
        <v/>
      </c>
    </row>
    <row r="15">
      <c r="A15" t="str">
        <v>الإجمالي</v>
      </c>
      <c r="B15" t="str">
        <v>إجمالي 11 صنف مسجل</v>
      </c>
      <c r="C15" t="str">
        <v/>
      </c>
      <c r="D15" t="str">
        <v/>
      </c>
      <c r="E15" t="str">
        <v/>
      </c>
      <c r="F15" s="2">
        <f>AVERAGE(F4:F14)</f>
      </c>
      <c r="G15" s="2">
        <f>AVERAGE(G4:G14)</f>
      </c>
      <c r="H15" s="3">
        <f>SUM(H4:H14)</f>
      </c>
      <c r="I15" t="str">
        <v/>
      </c>
      <c r="J15" s="2">
        <f>AVERAGE(J4:J14)</f>
      </c>
      <c r="K15" s="1">
        <f>IF(L15&gt;0, N15/L15, 0)</f>
      </c>
      <c r="L15" s="2">
        <f>SUM(L4:L14)</f>
      </c>
      <c r="M15" s="2">
        <f>SUM(M4:M14)</f>
      </c>
      <c r="N15" s="2">
        <f>SUM(N4:N14)</f>
      </c>
      <c r="O15" t="str">
        <v>محسوب بمعادلات إكسل</v>
      </c>
      <c r="P15" t="str">
        <v/>
      </c>
      <c r="Q15" t="str">
        <v/>
      </c>
      <c r="R15" t="str">
        <v/>
      </c>
      <c r="S15" t="str">
        <v/>
      </c>
      <c r="T15" t="str">
        <v/>
      </c>
    </row>
  </sheetData>
  <mergeCells count="2">
    <mergeCell ref="A1:T1"/>
    <mergeCell ref="A2:T2"/>
  </mergeCells>
  <ignoredErrors>
    <ignoredError numberStoredAsText="1" sqref="A1:T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[أعشاب طبيعية]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كركديه أسواني لوزة أحمر فاخر 250 جم</v>
      </c>
      <c r="C4" t="str">
        <v>6224404400011</v>
      </c>
      <c r="D4" t="str">
        <v/>
      </c>
      <c r="E4" t="str">
        <v>قطعة</v>
      </c>
      <c r="F4">
        <v>45</v>
      </c>
      <c r="G4">
        <v>30</v>
      </c>
      <c r="H4">
        <v>0</v>
      </c>
      <c r="I4">
        <v>6</v>
      </c>
      <c r="J4">
        <f>F4-G4</f>
        <v>15</v>
      </c>
      <c r="K4" s="1">
        <f>IF(G4&gt;0, (F4-G4)/G4, 0)</f>
        <v>0.5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SKU-0034</v>
      </c>
      <c r="R4" t="str">
        <v/>
      </c>
      <c r="S4" t="str">
        <v/>
      </c>
      <c r="T4" t="str">
        <v/>
      </c>
    </row>
    <row r="5">
      <c r="A5">
        <v>2</v>
      </c>
      <c r="B5" t="str">
        <v>يانسون بلدي نقي منقى 100 جم</v>
      </c>
      <c r="C5" t="str">
        <v>6224404400028</v>
      </c>
      <c r="D5" t="str">
        <v/>
      </c>
      <c r="E5" t="str">
        <v>قطعة</v>
      </c>
      <c r="F5">
        <v>20</v>
      </c>
      <c r="G5">
        <v>13</v>
      </c>
      <c r="H5">
        <v>0</v>
      </c>
      <c r="I5">
        <v>7</v>
      </c>
      <c r="J5">
        <f>F5-G5</f>
        <v>7</v>
      </c>
      <c r="K5" s="1">
        <f>IF(G5&gt;0, (F5-G5)/G5, 0)</f>
        <v>0.5385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SKU-0035</v>
      </c>
      <c r="R5" t="str">
        <v/>
      </c>
      <c r="S5" t="str">
        <v/>
      </c>
      <c r="T5" t="str">
        <v/>
      </c>
    </row>
    <row r="6">
      <c r="A6">
        <v>3</v>
      </c>
      <c r="B6" t="str">
        <v>حلبة حصى بلدي منقاة 250 جم</v>
      </c>
      <c r="C6" t="str">
        <v>6224404400035</v>
      </c>
      <c r="D6" t="str">
        <v/>
      </c>
      <c r="E6" t="str">
        <v>قطعة</v>
      </c>
      <c r="F6">
        <v>18</v>
      </c>
      <c r="G6">
        <v>11.5</v>
      </c>
      <c r="H6">
        <v>0</v>
      </c>
      <c r="I6">
        <v>6</v>
      </c>
      <c r="J6">
        <f>F6-G6</f>
        <v>6.5</v>
      </c>
      <c r="K6" s="1">
        <f>IF(G6&gt;0, (F6-G6)/G6, 0)</f>
        <v>0.5652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SKU-0036</v>
      </c>
      <c r="R6" t="str">
        <v/>
      </c>
      <c r="S6" t="str">
        <v/>
      </c>
      <c r="T6" t="str">
        <v/>
      </c>
    </row>
    <row r="7">
      <c r="A7">
        <v>4</v>
      </c>
      <c r="B7" t="str">
        <v>نعناع بلدي مجفف ريحة منعشة 100 جم</v>
      </c>
      <c r="C7" t="str">
        <v>6224404400042</v>
      </c>
      <c r="D7" t="str">
        <v/>
      </c>
      <c r="E7" t="str">
        <v>قطعة</v>
      </c>
      <c r="F7">
        <v>15</v>
      </c>
      <c r="G7">
        <v>9</v>
      </c>
      <c r="H7">
        <v>0</v>
      </c>
      <c r="I7">
        <v>8</v>
      </c>
      <c r="J7">
        <f>F7-G7</f>
        <v>6</v>
      </c>
      <c r="K7" s="1">
        <f>IF(G7&gt;0, (F7-G7)/G7, 0)</f>
        <v>0.6667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SKU-0037</v>
      </c>
      <c r="R7" t="str">
        <v/>
      </c>
      <c r="S7" t="str">
        <v/>
      </c>
      <c r="T7" t="str">
        <v/>
      </c>
    </row>
    <row r="8">
      <c r="A8">
        <v>5</v>
      </c>
      <c r="B8" t="str">
        <v>بابونج زهور طبيعية نقية 100 جم</v>
      </c>
      <c r="C8" t="str">
        <v>6224404400059</v>
      </c>
      <c r="D8" t="str">
        <v/>
      </c>
      <c r="E8" t="str">
        <v>قطعة</v>
      </c>
      <c r="F8">
        <v>25</v>
      </c>
      <c r="G8">
        <v>16</v>
      </c>
      <c r="H8">
        <v>0</v>
      </c>
      <c r="I8">
        <v>4</v>
      </c>
      <c r="J8">
        <f>F8-G8</f>
        <v>9</v>
      </c>
      <c r="K8" s="1">
        <f>IF(G8&gt;0, (F8-G8)/G8, 0)</f>
        <v>0.5625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SKU-0038</v>
      </c>
      <c r="R8" t="str">
        <v/>
      </c>
      <c r="S8" t="str">
        <v/>
      </c>
      <c r="T8" t="str">
        <v/>
      </c>
    </row>
    <row r="9">
      <c r="A9">
        <v>6</v>
      </c>
      <c r="B9" t="str">
        <v>حبة البركة بلدي نقية 100 جم</v>
      </c>
      <c r="C9" t="str">
        <v>6224404400066</v>
      </c>
      <c r="D9" t="str">
        <v/>
      </c>
      <c r="E9" t="str">
        <v>قطعة</v>
      </c>
      <c r="F9">
        <v>20</v>
      </c>
      <c r="G9">
        <v>13</v>
      </c>
      <c r="H9">
        <v>0</v>
      </c>
      <c r="I9">
        <v>5</v>
      </c>
      <c r="J9">
        <f>F9-G9</f>
        <v>7</v>
      </c>
      <c r="K9" s="1">
        <f>IF(G9&gt;0, (F9-G9)/G9, 0)</f>
        <v>0.5385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SKU-0039</v>
      </c>
      <c r="R9" t="str">
        <v/>
      </c>
      <c r="S9" t="str">
        <v/>
      </c>
      <c r="T9" t="str">
        <v/>
      </c>
    </row>
    <row r="10">
      <c r="A10" t="str">
        <v>الإجمالي</v>
      </c>
      <c r="B10" t="str">
        <v>إجمالي 6 صنف مسجل</v>
      </c>
      <c r="C10" t="str">
        <v/>
      </c>
      <c r="D10" t="str">
        <v/>
      </c>
      <c r="E10" t="str">
        <v/>
      </c>
      <c r="F10" s="2">
        <f>AVERAGE(F4:F9)</f>
      </c>
      <c r="G10" s="2">
        <f>AVERAGE(G4:G9)</f>
      </c>
      <c r="H10" s="3">
        <f>SUM(H4:H9)</f>
      </c>
      <c r="I10" t="str">
        <v/>
      </c>
      <c r="J10" s="2">
        <f>AVERAGE(J4:J9)</f>
      </c>
      <c r="K10" s="1">
        <f>IF(L10&gt;0, N10/L10, 0)</f>
      </c>
      <c r="L10" s="2">
        <f>SUM(L4:L9)</f>
      </c>
      <c r="M10" s="2">
        <f>SUM(M4:M9)</f>
      </c>
      <c r="N10" s="2">
        <f>SUM(N4:N9)</f>
      </c>
      <c r="O10" t="str">
        <v>محسوب بمعادلات إكسل</v>
      </c>
      <c r="P10" t="str">
        <v/>
      </c>
      <c r="Q10" t="str">
        <v/>
      </c>
      <c r="R10" t="str">
        <v/>
      </c>
      <c r="S10" t="str">
        <v/>
      </c>
      <c r="T10" t="str">
        <v/>
      </c>
    </row>
  </sheetData>
  <mergeCells count="2">
    <mergeCell ref="A1:T1"/>
    <mergeCell ref="A2:T2"/>
  </mergeCells>
  <ignoredErrors>
    <ignoredError numberStoredAsText="1" sqref="A1:T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[ياميش وتمور]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تمر مجدول فاخر سعودي علبة 1 كجم</v>
      </c>
      <c r="C4" t="str">
        <v>6224405500017</v>
      </c>
      <c r="D4" t="str">
        <v/>
      </c>
      <c r="E4" t="str">
        <v>قطعة</v>
      </c>
      <c r="F4">
        <v>120</v>
      </c>
      <c r="G4">
        <v>85</v>
      </c>
      <c r="H4">
        <v>0</v>
      </c>
      <c r="I4">
        <v>4</v>
      </c>
      <c r="J4">
        <f>F4-G4</f>
        <v>35</v>
      </c>
      <c r="K4" s="1">
        <f>IF(G4&gt;0, (F4-G4)/G4, 0)</f>
        <v>0.4118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SKU-0040</v>
      </c>
      <c r="R4" t="str">
        <v/>
      </c>
      <c r="S4" t="str">
        <v/>
      </c>
      <c r="T4" t="str">
        <v/>
      </c>
    </row>
    <row r="5">
      <c r="A5">
        <v>2</v>
      </c>
      <c r="B5" t="str">
        <v>تمر سكري رطب القصيم علبة 1 كجم</v>
      </c>
      <c r="C5" t="str">
        <v>6224405500024</v>
      </c>
      <c r="D5" t="str">
        <v/>
      </c>
      <c r="E5" t="str">
        <v>قطعة</v>
      </c>
      <c r="F5">
        <v>100</v>
      </c>
      <c r="G5">
        <v>72</v>
      </c>
      <c r="H5">
        <v>0</v>
      </c>
      <c r="I5">
        <v>4</v>
      </c>
      <c r="J5">
        <f>F5-G5</f>
        <v>28</v>
      </c>
      <c r="K5" s="1">
        <f>IF(G5&gt;0, (F5-G5)/G5, 0)</f>
        <v>0.3889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SKU-0041</v>
      </c>
      <c r="R5" t="str">
        <v/>
      </c>
      <c r="S5" t="str">
        <v/>
      </c>
      <c r="T5" t="str">
        <v/>
      </c>
    </row>
    <row r="6">
      <c r="A6">
        <v>3</v>
      </c>
      <c r="B6" t="str">
        <v>تين مجفف سوري باكت 400 جم</v>
      </c>
      <c r="C6" t="str">
        <v>6224405500031</v>
      </c>
      <c r="D6" t="str">
        <v/>
      </c>
      <c r="E6" t="str">
        <v>قطعة</v>
      </c>
      <c r="F6">
        <v>75</v>
      </c>
      <c r="G6">
        <v>55</v>
      </c>
      <c r="H6">
        <v>0</v>
      </c>
      <c r="I6">
        <v>3</v>
      </c>
      <c r="J6">
        <f>F6-G6</f>
        <v>20</v>
      </c>
      <c r="K6" s="1">
        <f>IF(G6&gt;0, (F6-G6)/G6, 0)</f>
        <v>0.3636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SKU-0042</v>
      </c>
      <c r="R6" t="str">
        <v/>
      </c>
      <c r="S6" t="str">
        <v/>
      </c>
      <c r="T6" t="str">
        <v/>
      </c>
    </row>
    <row r="7">
      <c r="A7">
        <v>4</v>
      </c>
      <c r="B7" t="str">
        <v>مشمشية تركي جامبو 250 جم</v>
      </c>
      <c r="C7" t="str">
        <v>6224405500048</v>
      </c>
      <c r="D7" t="str">
        <v/>
      </c>
      <c r="E7" t="str">
        <v>قطعة</v>
      </c>
      <c r="F7">
        <v>65</v>
      </c>
      <c r="G7">
        <v>48</v>
      </c>
      <c r="H7">
        <v>0</v>
      </c>
      <c r="I7">
        <v>3</v>
      </c>
      <c r="J7">
        <f>F7-G7</f>
        <v>17</v>
      </c>
      <c r="K7" s="1">
        <f>IF(G7&gt;0, (F7-G7)/G7, 0)</f>
        <v>0.3542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SKU-0043</v>
      </c>
      <c r="R7" t="str">
        <v/>
      </c>
      <c r="S7" t="str">
        <v/>
      </c>
      <c r="T7" t="str">
        <v/>
      </c>
    </row>
    <row r="8">
      <c r="A8">
        <v>5</v>
      </c>
      <c r="B8" t="str">
        <v>قراصيا مجففة بدون نوى 250 جم</v>
      </c>
      <c r="C8" t="str">
        <v>6224405500055</v>
      </c>
      <c r="D8" t="str">
        <v/>
      </c>
      <c r="E8" t="str">
        <v>قطعة</v>
      </c>
      <c r="F8">
        <v>55</v>
      </c>
      <c r="G8">
        <v>40</v>
      </c>
      <c r="H8">
        <v>0</v>
      </c>
      <c r="I8">
        <v>4</v>
      </c>
      <c r="J8">
        <f>F8-G8</f>
        <v>15</v>
      </c>
      <c r="K8" s="1">
        <f>IF(G8&gt;0, (F8-G8)/G8, 0)</f>
        <v>0.375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SKU-0044</v>
      </c>
      <c r="R8" t="str">
        <v/>
      </c>
      <c r="S8" t="str">
        <v/>
      </c>
      <c r="T8" t="str">
        <v/>
      </c>
    </row>
    <row r="9">
      <c r="A9">
        <v>6</v>
      </c>
      <c r="B9" t="str">
        <v>قمر الدين سوري فاخر لفة 400 جم</v>
      </c>
      <c r="C9" t="str">
        <v>6224405500062</v>
      </c>
      <c r="D9" t="str">
        <v/>
      </c>
      <c r="E9" t="str">
        <v>قطعة</v>
      </c>
      <c r="F9">
        <v>45</v>
      </c>
      <c r="G9">
        <v>32</v>
      </c>
      <c r="H9">
        <v>0</v>
      </c>
      <c r="I9">
        <v>5</v>
      </c>
      <c r="J9">
        <f>F9-G9</f>
        <v>13</v>
      </c>
      <c r="K9" s="1">
        <f>IF(G9&gt;0, (F9-G9)/G9, 0)</f>
        <v>0.4063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SKU-0045</v>
      </c>
      <c r="R9" t="str">
        <v/>
      </c>
      <c r="S9" t="str">
        <v/>
      </c>
      <c r="T9" t="str">
        <v/>
      </c>
    </row>
    <row r="10">
      <c r="A10" t="str">
        <v>الإجمالي</v>
      </c>
      <c r="B10" t="str">
        <v>إجمالي 6 صنف مسجل</v>
      </c>
      <c r="C10" t="str">
        <v/>
      </c>
      <c r="D10" t="str">
        <v/>
      </c>
      <c r="E10" t="str">
        <v/>
      </c>
      <c r="F10" s="2">
        <f>AVERAGE(F4:F9)</f>
      </c>
      <c r="G10" s="2">
        <f>AVERAGE(G4:G9)</f>
      </c>
      <c r="H10" s="3">
        <f>SUM(H4:H9)</f>
      </c>
      <c r="I10" t="str">
        <v/>
      </c>
      <c r="J10" s="2">
        <f>AVERAGE(J4:J9)</f>
      </c>
      <c r="K10" s="1">
        <f>IF(L10&gt;0, N10/L10, 0)</f>
      </c>
      <c r="L10" s="2">
        <f>SUM(L4:L9)</f>
      </c>
      <c r="M10" s="2">
        <f>SUM(M4:M9)</f>
      </c>
      <c r="N10" s="2">
        <f>SUM(N4:N9)</f>
      </c>
      <c r="O10" t="str">
        <v>محسوب بمعادلات إكسل</v>
      </c>
      <c r="P10" t="str">
        <v/>
      </c>
      <c r="Q10" t="str">
        <v/>
      </c>
      <c r="R10" t="str">
        <v/>
      </c>
      <c r="S10" t="str">
        <v/>
      </c>
      <c r="T10" t="str">
        <v/>
      </c>
    </row>
  </sheetData>
  <mergeCells count="2">
    <mergeCell ref="A1:T1"/>
    <mergeCell ref="A2:T2"/>
  </mergeCells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بن ومشروبات ساخنة</vt:lpstr>
      <vt:lpstr>توابل وبهارات</vt:lpstr>
      <vt:lpstr>مكسرات ومحامص</vt:lpstr>
      <vt:lpstr>أعشاب طبيعية</vt:lpstr>
      <vt:lpstr>ياميش وتمور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