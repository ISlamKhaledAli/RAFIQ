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أغذية ومشروبات" sheetId="1" r:id="rId1"/>
    <sheet name="حلويات وتسالي" sheetId="2" r:id="rId2"/>
    <sheet name="منظفات" sheetId="3" r:id="rId3"/>
    <sheet name="دخان وسجائر" sheetId="4" r:id="rId4"/>
    <sheet name="عا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%"/>
    <numFmt numFmtId="61" formatCode="#,##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[أغذية ومشروبات]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لبن جهينة كامل الدسم 1 لتر</v>
      </c>
      <c r="C4" t="str">
        <v>6223000350089</v>
      </c>
      <c r="D4" t="str">
        <v/>
      </c>
      <c r="E4" t="str">
        <v>قطعة</v>
      </c>
      <c r="F4">
        <v>45</v>
      </c>
      <c r="G4">
        <v>38</v>
      </c>
      <c r="H4">
        <v>0</v>
      </c>
      <c r="I4">
        <v>8</v>
      </c>
      <c r="J4">
        <f>F4-G4</f>
        <v>7</v>
      </c>
      <c r="K4" s="1">
        <f>IF(G4&gt;0, (F4-G4)/G4, 0)</f>
        <v>0.1842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SKU-0001</v>
      </c>
      <c r="R4" t="str">
        <v/>
      </c>
      <c r="S4" t="str">
        <v/>
      </c>
      <c r="T4" t="str">
        <v/>
      </c>
    </row>
    <row r="5">
      <c r="A5">
        <v>2</v>
      </c>
      <c r="B5" t="str">
        <v>جبنة دومتي بلس فيتا 500 جم</v>
      </c>
      <c r="C5" t="str">
        <v>6223000756652</v>
      </c>
      <c r="D5" t="str">
        <v/>
      </c>
      <c r="E5" t="str">
        <v>قطعة</v>
      </c>
      <c r="F5">
        <v>42</v>
      </c>
      <c r="G5">
        <v>35</v>
      </c>
      <c r="H5">
        <v>0</v>
      </c>
      <c r="I5">
        <v>7</v>
      </c>
      <c r="J5">
        <f>F5-G5</f>
        <v>7</v>
      </c>
      <c r="K5" s="1">
        <f>IF(G5&gt;0, (F5-G5)/G5, 0)</f>
        <v>0.2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SKU-0002</v>
      </c>
      <c r="R5" t="str">
        <v/>
      </c>
      <c r="S5" t="str">
        <v/>
      </c>
      <c r="T5" t="str">
        <v/>
      </c>
    </row>
    <row r="6">
      <c r="A6">
        <v>3</v>
      </c>
      <c r="B6" t="str">
        <v>جبنة عبور لاند تتراباك 250 جم</v>
      </c>
      <c r="C6" t="str">
        <v>6224001021015</v>
      </c>
      <c r="D6" t="str">
        <v/>
      </c>
      <c r="E6" t="str">
        <v>قطعة</v>
      </c>
      <c r="F6">
        <v>22</v>
      </c>
      <c r="G6">
        <v>18.5</v>
      </c>
      <c r="H6">
        <v>0</v>
      </c>
      <c r="I6">
        <v>10</v>
      </c>
      <c r="J6">
        <f>F6-G6</f>
        <v>3.5</v>
      </c>
      <c r="K6" s="1">
        <f>IF(G6&gt;0, (F6-G6)/G6, 0)</f>
        <v>0.1892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SKU-0003</v>
      </c>
      <c r="R6" t="str">
        <v/>
      </c>
      <c r="S6" t="str">
        <v/>
      </c>
      <c r="T6" t="str">
        <v/>
      </c>
    </row>
    <row r="7">
      <c r="A7">
        <v>4</v>
      </c>
      <c r="B7" t="str">
        <v>زبادي جهينة طبيعي 105 جم</v>
      </c>
      <c r="C7" t="str">
        <v>6223000351482</v>
      </c>
      <c r="D7" t="str">
        <v/>
      </c>
      <c r="E7" t="str">
        <v>قطعة</v>
      </c>
      <c r="F7">
        <v>10</v>
      </c>
      <c r="G7">
        <v>7.8</v>
      </c>
      <c r="H7">
        <v>0</v>
      </c>
      <c r="I7">
        <v>12</v>
      </c>
      <c r="J7">
        <f>F7-G7</f>
        <v>2.2</v>
      </c>
      <c r="K7" s="1">
        <f>IF(G7&gt;0, (F7-G7)/G7, 0)</f>
        <v>0.2821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SKU-0004</v>
      </c>
      <c r="R7" t="str">
        <v/>
      </c>
      <c r="S7" t="str">
        <v/>
      </c>
      <c r="T7" t="str">
        <v/>
      </c>
    </row>
    <row r="8">
      <c r="A8">
        <v>5</v>
      </c>
      <c r="B8" t="str">
        <v>أرز مصري فاخر الضحى 1 كجم</v>
      </c>
      <c r="C8" t="str">
        <v>6223000660010</v>
      </c>
      <c r="D8" t="str">
        <v/>
      </c>
      <c r="E8" t="str">
        <v>قطعة</v>
      </c>
      <c r="F8">
        <v>38</v>
      </c>
      <c r="G8">
        <v>32</v>
      </c>
      <c r="H8">
        <v>0</v>
      </c>
      <c r="I8">
        <v>10</v>
      </c>
      <c r="J8">
        <f>F8-G8</f>
        <v>6</v>
      </c>
      <c r="K8" s="1">
        <f>IF(G8&gt;0, (F8-G8)/G8, 0)</f>
        <v>0.1875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SKU-0005</v>
      </c>
      <c r="R8" t="str">
        <v/>
      </c>
      <c r="S8" t="str">
        <v/>
      </c>
      <c r="T8" t="str">
        <v/>
      </c>
    </row>
    <row r="9">
      <c r="A9">
        <v>6</v>
      </c>
      <c r="B9" t="str">
        <v>سكر حر بلدي معبأ 1 كجم</v>
      </c>
      <c r="C9" t="str">
        <v>6224005544039</v>
      </c>
      <c r="D9" t="str">
        <v/>
      </c>
      <c r="E9" t="str">
        <v>قطعة</v>
      </c>
      <c r="F9">
        <v>35</v>
      </c>
      <c r="G9">
        <v>31</v>
      </c>
      <c r="H9">
        <v>0</v>
      </c>
      <c r="I9">
        <v>15</v>
      </c>
      <c r="J9">
        <f>F9-G9</f>
        <v>4</v>
      </c>
      <c r="K9" s="1">
        <f>IF(G9&gt;0, (F9-G9)/G9, 0)</f>
        <v>0.129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SKU-0006</v>
      </c>
      <c r="R9" t="str">
        <v/>
      </c>
      <c r="S9" t="str">
        <v/>
      </c>
      <c r="T9" t="str">
        <v/>
      </c>
    </row>
    <row r="10">
      <c r="A10">
        <v>7</v>
      </c>
      <c r="B10" t="str">
        <v>زيت خليط قلية / هلا 700 مل</v>
      </c>
      <c r="C10" t="str">
        <v>6221054003012</v>
      </c>
      <c r="D10" t="str">
        <v/>
      </c>
      <c r="E10" t="str">
        <v>قطعة</v>
      </c>
      <c r="F10">
        <v>58</v>
      </c>
      <c r="G10">
        <v>49</v>
      </c>
      <c r="H10">
        <v>0</v>
      </c>
      <c r="I10">
        <v>8</v>
      </c>
      <c r="J10">
        <f>F10-G10</f>
        <v>9</v>
      </c>
      <c r="K10" s="1">
        <f>IF(G10&gt;0, (F10-G10)/G10, 0)</f>
        <v>0.1837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SKU-0007</v>
      </c>
      <c r="R10" t="str">
        <v/>
      </c>
      <c r="S10" t="str">
        <v/>
      </c>
      <c r="T10" t="str">
        <v/>
      </c>
    </row>
    <row r="11">
      <c r="A11">
        <v>8</v>
      </c>
      <c r="B11" t="str">
        <v>سمن كريستال أبيض 700 جم</v>
      </c>
      <c r="C11" t="str">
        <v>6221054004019</v>
      </c>
      <c r="D11" t="str">
        <v/>
      </c>
      <c r="E11" t="str">
        <v>قطعة</v>
      </c>
      <c r="F11">
        <v>85</v>
      </c>
      <c r="G11">
        <v>73</v>
      </c>
      <c r="H11">
        <v>0</v>
      </c>
      <c r="I11">
        <v>5</v>
      </c>
      <c r="J11">
        <f>F11-G11</f>
        <v>12</v>
      </c>
      <c r="K11" s="1">
        <f>IF(G11&gt;0, (F11-G11)/G11, 0)</f>
        <v>0.1644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SKU-0008</v>
      </c>
      <c r="R11" t="str">
        <v/>
      </c>
      <c r="S11" t="str">
        <v/>
      </c>
      <c r="T11" t="str">
        <v/>
      </c>
    </row>
    <row r="12">
      <c r="A12">
        <v>9</v>
      </c>
      <c r="B12" t="str">
        <v>شاي العروسة ناعم 250 جم</v>
      </c>
      <c r="C12" t="str">
        <v>6223002561018</v>
      </c>
      <c r="D12" t="str">
        <v/>
      </c>
      <c r="E12" t="str">
        <v>قطعة</v>
      </c>
      <c r="F12">
        <v>60</v>
      </c>
      <c r="G12">
        <v>52</v>
      </c>
      <c r="H12">
        <v>0</v>
      </c>
      <c r="I12">
        <v>7</v>
      </c>
      <c r="J12">
        <f>F12-G12</f>
        <v>8</v>
      </c>
      <c r="K12" s="1">
        <f>IF(G12&gt;0, (F12-G12)/G12, 0)</f>
        <v>0.1538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SKU-0009</v>
      </c>
      <c r="R12" t="str">
        <v/>
      </c>
      <c r="S12" t="str">
        <v/>
      </c>
      <c r="T12" t="str">
        <v/>
      </c>
    </row>
    <row r="13">
      <c r="A13">
        <v>10</v>
      </c>
      <c r="B13" t="str">
        <v>شاي العروسة 40 جم</v>
      </c>
      <c r="C13" t="str">
        <v>6223002561032</v>
      </c>
      <c r="D13" t="str">
        <v/>
      </c>
      <c r="E13" t="str">
        <v>قطعة</v>
      </c>
      <c r="F13">
        <v>12</v>
      </c>
      <c r="G13">
        <v>9.5</v>
      </c>
      <c r="H13">
        <v>0</v>
      </c>
      <c r="I13">
        <v>15</v>
      </c>
      <c r="J13">
        <f>F13-G13</f>
        <v>2.5</v>
      </c>
      <c r="K13" s="1">
        <f>IF(G13&gt;0, (F13-G13)/G13, 0)</f>
        <v>0.2632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SKU-0010</v>
      </c>
      <c r="R13" t="str">
        <v/>
      </c>
      <c r="S13" t="str">
        <v/>
      </c>
      <c r="T13" t="str">
        <v/>
      </c>
    </row>
    <row r="14">
      <c r="A14">
        <v>11</v>
      </c>
      <c r="B14" t="str">
        <v>شاي ليبتون أحمر 100 فتلة</v>
      </c>
      <c r="C14" t="str">
        <v>6221155010025</v>
      </c>
      <c r="D14" t="str">
        <v/>
      </c>
      <c r="E14" t="str">
        <v>قطعة</v>
      </c>
      <c r="F14">
        <v>90</v>
      </c>
      <c r="G14">
        <v>77</v>
      </c>
      <c r="H14">
        <v>0</v>
      </c>
      <c r="I14">
        <v>4</v>
      </c>
      <c r="J14">
        <f>F14-G14</f>
        <v>13</v>
      </c>
      <c r="K14" s="1">
        <f>IF(G14&gt;0, (F14-G14)/G14, 0)</f>
        <v>0.1688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SKU-0011</v>
      </c>
      <c r="R14" t="str">
        <v/>
      </c>
      <c r="S14" t="str">
        <v/>
      </c>
      <c r="T14" t="str">
        <v/>
      </c>
    </row>
    <row r="15">
      <c r="A15">
        <v>12</v>
      </c>
      <c r="B15" t="str">
        <v>مكرونة الملكة خواتم 400 جم</v>
      </c>
      <c r="C15" t="str">
        <v>6221133001014</v>
      </c>
      <c r="D15" t="str">
        <v/>
      </c>
      <c r="E15" t="str">
        <v>قطعة</v>
      </c>
      <c r="F15">
        <v>16</v>
      </c>
      <c r="G15">
        <v>12.5</v>
      </c>
      <c r="H15">
        <v>0</v>
      </c>
      <c r="I15">
        <v>12</v>
      </c>
      <c r="J15">
        <f>F15-G15</f>
        <v>3.5</v>
      </c>
      <c r="K15" s="1">
        <f>IF(G15&gt;0, (F15-G15)/G15, 0)</f>
        <v>0.28</v>
      </c>
      <c r="L15" s="2">
        <f>H15*G15</f>
        <v>0</v>
      </c>
      <c r="M15" s="2">
        <f>H15*F15</f>
        <v>0</v>
      </c>
      <c r="N15" s="2">
        <f>M15-L15</f>
        <v>0</v>
      </c>
      <c r="O15" t="str">
        <f>IF(H15&lt;=0, "نفد من المخزن", IF(H15&lt;=I15, "قارب على النفاد", "متوفر بالمخزن"))</f>
        <v>نفد من المخزن</v>
      </c>
      <c r="P15">
        <v>0</v>
      </c>
      <c r="Q15" t="str">
        <v>SKU-0012</v>
      </c>
      <c r="R15" t="str">
        <v/>
      </c>
      <c r="S15" t="str">
        <v/>
      </c>
      <c r="T15" t="str">
        <v/>
      </c>
    </row>
    <row r="16">
      <c r="A16">
        <v>13</v>
      </c>
      <c r="B16" t="str">
        <v>مكرونة الملكة فرن (قلم) 400 جم</v>
      </c>
      <c r="C16" t="str">
        <v>6221133001021</v>
      </c>
      <c r="D16" t="str">
        <v/>
      </c>
      <c r="E16" t="str">
        <v>قطعة</v>
      </c>
      <c r="F16">
        <v>16</v>
      </c>
      <c r="G16">
        <v>12.5</v>
      </c>
      <c r="H16">
        <v>0</v>
      </c>
      <c r="I16">
        <v>12</v>
      </c>
      <c r="J16">
        <f>F16-G16</f>
        <v>3.5</v>
      </c>
      <c r="K16" s="1">
        <f>IF(G16&gt;0, (F16-G16)/G16, 0)</f>
        <v>0.28</v>
      </c>
      <c r="L16" s="2">
        <f>H16*G16</f>
        <v>0</v>
      </c>
      <c r="M16" s="2">
        <f>H16*F16</f>
        <v>0</v>
      </c>
      <c r="N16" s="2">
        <f>M16-L16</f>
        <v>0</v>
      </c>
      <c r="O16" t="str">
        <f>IF(H16&lt;=0, "نفد من المخزن", IF(H16&lt;=I16, "قارب على النفاد", "متوفر بالمخزن"))</f>
        <v>نفد من المخزن</v>
      </c>
      <c r="P16">
        <v>0</v>
      </c>
      <c r="Q16" t="str">
        <v>SKU-0013</v>
      </c>
      <c r="R16" t="str">
        <v/>
      </c>
      <c r="S16" t="str">
        <v/>
      </c>
      <c r="T16" t="str">
        <v/>
      </c>
    </row>
    <row r="17">
      <c r="A17">
        <v>14</v>
      </c>
      <c r="B17" t="str">
        <v>صلصة طماطم هاينز ظرف 35 جم</v>
      </c>
      <c r="C17" t="str">
        <v>6221007001027</v>
      </c>
      <c r="D17" t="str">
        <v/>
      </c>
      <c r="E17" t="str">
        <v>قطعة</v>
      </c>
      <c r="F17">
        <v>4.5</v>
      </c>
      <c r="G17">
        <v>3.2</v>
      </c>
      <c r="H17">
        <v>0</v>
      </c>
      <c r="I17">
        <v>15</v>
      </c>
      <c r="J17">
        <f>F17-G17</f>
        <v>1.3</v>
      </c>
      <c r="K17" s="1">
        <f>IF(G17&gt;0, (F17-G17)/G17, 0)</f>
        <v>0.4062</v>
      </c>
      <c r="L17" s="2">
        <f>H17*G17</f>
        <v>0</v>
      </c>
      <c r="M17" s="2">
        <f>H17*F17</f>
        <v>0</v>
      </c>
      <c r="N17" s="2">
        <f>M17-L17</f>
        <v>0</v>
      </c>
      <c r="O17" t="str">
        <f>IF(H17&lt;=0, "نفد من المخزن", IF(H17&lt;=I17, "قارب على النفاد", "متوفر بالمخزن"))</f>
        <v>نفد من المخزن</v>
      </c>
      <c r="P17">
        <v>0</v>
      </c>
      <c r="Q17" t="str">
        <v>SKU-0014</v>
      </c>
      <c r="R17" t="str">
        <v/>
      </c>
      <c r="S17" t="str">
        <v/>
      </c>
      <c r="T17" t="str">
        <v/>
      </c>
    </row>
    <row r="18">
      <c r="A18">
        <v>15</v>
      </c>
      <c r="B18" t="str">
        <v>تونة دولفين مفتتة سهلة الفتح 140 جم</v>
      </c>
      <c r="C18" t="str">
        <v>6223001850021</v>
      </c>
      <c r="D18" t="str">
        <v/>
      </c>
      <c r="E18" t="str">
        <v>قطعة</v>
      </c>
      <c r="F18">
        <v>40</v>
      </c>
      <c r="G18">
        <v>32</v>
      </c>
      <c r="H18">
        <v>0</v>
      </c>
      <c r="I18">
        <v>7</v>
      </c>
      <c r="J18">
        <f>F18-G18</f>
        <v>8</v>
      </c>
      <c r="K18" s="1">
        <f>IF(G18&gt;0, (F18-G18)/G18, 0)</f>
        <v>0.25</v>
      </c>
      <c r="L18" s="2">
        <f>H18*G18</f>
        <v>0</v>
      </c>
      <c r="M18" s="2">
        <f>H18*F18</f>
        <v>0</v>
      </c>
      <c r="N18" s="2">
        <f>M18-L18</f>
        <v>0</v>
      </c>
      <c r="O18" t="str">
        <f>IF(H18&lt;=0, "نفد من المخزن", IF(H18&lt;=I18, "قارب على النفاد", "متوفر بالمخزن"))</f>
        <v>نفد من المخزن</v>
      </c>
      <c r="P18">
        <v>0</v>
      </c>
      <c r="Q18" t="str">
        <v>SKU-0015</v>
      </c>
      <c r="R18" t="str">
        <v/>
      </c>
      <c r="S18" t="str">
        <v/>
      </c>
      <c r="T18" t="str">
        <v/>
      </c>
    </row>
    <row r="19">
      <c r="A19">
        <v>16</v>
      </c>
      <c r="B19" t="str">
        <v>فول مدمس حدائق كاليفورنيا سادة 400 جم</v>
      </c>
      <c r="C19" t="str">
        <v>6221033001015</v>
      </c>
      <c r="D19" t="str">
        <v/>
      </c>
      <c r="E19" t="str">
        <v>قطعة</v>
      </c>
      <c r="F19">
        <v>25</v>
      </c>
      <c r="G19">
        <v>19.5</v>
      </c>
      <c r="H19">
        <v>0</v>
      </c>
      <c r="I19">
        <v>8</v>
      </c>
      <c r="J19">
        <f>F19-G19</f>
        <v>5.5</v>
      </c>
      <c r="K19" s="1">
        <f>IF(G19&gt;0, (F19-G19)/G19, 0)</f>
        <v>0.2821</v>
      </c>
      <c r="L19" s="2">
        <f>H19*G19</f>
        <v>0</v>
      </c>
      <c r="M19" s="2">
        <f>H19*F19</f>
        <v>0</v>
      </c>
      <c r="N19" s="2">
        <f>M19-L19</f>
        <v>0</v>
      </c>
      <c r="O19" t="str">
        <f>IF(H19&lt;=0, "نفد من المخزن", IF(H19&lt;=I19, "قارب على النفاد", "متوفر بالمخزن"))</f>
        <v>نفد من المخزن</v>
      </c>
      <c r="P19">
        <v>0</v>
      </c>
      <c r="Q19" t="str">
        <v>SKU-0016</v>
      </c>
      <c r="R19" t="str">
        <v/>
      </c>
      <c r="S19" t="str">
        <v/>
      </c>
      <c r="T19" t="str">
        <v/>
      </c>
    </row>
    <row r="20">
      <c r="A20">
        <v>17</v>
      </c>
      <c r="B20" t="str">
        <v>نودلز إندومي لحم بقري 70 جم</v>
      </c>
      <c r="C20" t="str">
        <v>5285000395140</v>
      </c>
      <c r="D20" t="str">
        <v/>
      </c>
      <c r="E20" t="str">
        <v>قطعة</v>
      </c>
      <c r="F20">
        <v>10</v>
      </c>
      <c r="G20">
        <v>7.8</v>
      </c>
      <c r="H20">
        <v>0</v>
      </c>
      <c r="I20">
        <v>12</v>
      </c>
      <c r="J20">
        <f>F20-G20</f>
        <v>2.2</v>
      </c>
      <c r="K20" s="1">
        <f>IF(G20&gt;0, (F20-G20)/G20, 0)</f>
        <v>0.2821</v>
      </c>
      <c r="L20" s="2">
        <f>H20*G20</f>
        <v>0</v>
      </c>
      <c r="M20" s="2">
        <f>H20*F20</f>
        <v>0</v>
      </c>
      <c r="N20" s="2">
        <f>M20-L20</f>
        <v>0</v>
      </c>
      <c r="O20" t="str">
        <f>IF(H20&lt;=0, "نفد من المخزن", IF(H20&lt;=I20, "قارب على النفاد", "متوفر بالمخزن"))</f>
        <v>نفد من المخزن</v>
      </c>
      <c r="P20">
        <v>0</v>
      </c>
      <c r="Q20" t="str">
        <v>SKU-0017</v>
      </c>
      <c r="R20" t="str">
        <v/>
      </c>
      <c r="S20" t="str">
        <v/>
      </c>
      <c r="T20" t="str">
        <v/>
      </c>
    </row>
    <row r="21">
      <c r="A21">
        <v>18</v>
      </c>
      <c r="B21" t="str">
        <v>مياه معدنية بركة 1.5 لتر</v>
      </c>
      <c r="C21" t="str">
        <v>6221001001016</v>
      </c>
      <c r="D21" t="str">
        <v/>
      </c>
      <c r="E21" t="str">
        <v>قطعة</v>
      </c>
      <c r="F21">
        <v>9</v>
      </c>
      <c r="G21">
        <v>6.5</v>
      </c>
      <c r="H21">
        <v>0</v>
      </c>
      <c r="I21">
        <v>15</v>
      </c>
      <c r="J21">
        <f>F21-G21</f>
        <v>2.5</v>
      </c>
      <c r="K21" s="1">
        <f>IF(G21&gt;0, (F21-G21)/G21, 0)</f>
        <v>0.3846</v>
      </c>
      <c r="L21" s="2">
        <f>H21*G21</f>
        <v>0</v>
      </c>
      <c r="M21" s="2">
        <f>H21*F21</f>
        <v>0</v>
      </c>
      <c r="N21" s="2">
        <f>M21-L21</f>
        <v>0</v>
      </c>
      <c r="O21" t="str">
        <f>IF(H21&lt;=0, "نفد من المخزن", IF(H21&lt;=I21, "قارب على النفاد", "متوفر بالمخزن"))</f>
        <v>نفد من المخزن</v>
      </c>
      <c r="P21">
        <v>0</v>
      </c>
      <c r="Q21" t="str">
        <v>SKU-0018</v>
      </c>
      <c r="R21" t="str">
        <v/>
      </c>
      <c r="S21" t="str">
        <v/>
      </c>
      <c r="T21" t="str">
        <v/>
      </c>
    </row>
    <row r="22">
      <c r="A22">
        <v>19</v>
      </c>
      <c r="B22" t="str">
        <v>مياه معدنية دساني 600 مل</v>
      </c>
      <c r="C22" t="str">
        <v>6221001002020</v>
      </c>
      <c r="D22" t="str">
        <v/>
      </c>
      <c r="E22" t="str">
        <v>قطعة</v>
      </c>
      <c r="F22">
        <v>6</v>
      </c>
      <c r="G22">
        <v>4.2</v>
      </c>
      <c r="H22">
        <v>0</v>
      </c>
      <c r="I22">
        <v>18</v>
      </c>
      <c r="J22">
        <f>F22-G22</f>
        <v>1.8</v>
      </c>
      <c r="K22" s="1">
        <f>IF(G22&gt;0, (F22-G22)/G22, 0)</f>
        <v>0.4286</v>
      </c>
      <c r="L22" s="2">
        <f>H22*G22</f>
        <v>0</v>
      </c>
      <c r="M22" s="2">
        <f>H22*F22</f>
        <v>0</v>
      </c>
      <c r="N22" s="2">
        <f>M22-L22</f>
        <v>0</v>
      </c>
      <c r="O22" t="str">
        <f>IF(H22&lt;=0, "نفد من المخزن", IF(H22&lt;=I22, "قارب على النفاد", "متوفر بالمخزن"))</f>
        <v>نفد من المخزن</v>
      </c>
      <c r="P22">
        <v>0</v>
      </c>
      <c r="Q22" t="str">
        <v>SKU-0019</v>
      </c>
      <c r="R22" t="str">
        <v/>
      </c>
      <c r="S22" t="str">
        <v/>
      </c>
      <c r="T22" t="str">
        <v/>
      </c>
    </row>
    <row r="23">
      <c r="A23">
        <v>20</v>
      </c>
      <c r="B23" t="str">
        <v>كوكاكولا كانز 330 مل</v>
      </c>
      <c r="C23" t="str">
        <v>5449000000996</v>
      </c>
      <c r="D23" t="str">
        <v/>
      </c>
      <c r="E23" t="str">
        <v>قطعة</v>
      </c>
      <c r="F23">
        <v>15</v>
      </c>
      <c r="G23">
        <v>11.8</v>
      </c>
      <c r="H23">
        <v>0</v>
      </c>
      <c r="I23">
        <v>10</v>
      </c>
      <c r="J23">
        <f>F23-G23</f>
        <v>3.2</v>
      </c>
      <c r="K23" s="1">
        <f>IF(G23&gt;0, (F23-G23)/G23, 0)</f>
        <v>0.2712</v>
      </c>
      <c r="L23" s="2">
        <f>H23*G23</f>
        <v>0</v>
      </c>
      <c r="M23" s="2">
        <f>H23*F23</f>
        <v>0</v>
      </c>
      <c r="N23" s="2">
        <f>M23-L23</f>
        <v>0</v>
      </c>
      <c r="O23" t="str">
        <f>IF(H23&lt;=0, "نفد من المخزن", IF(H23&lt;=I23, "قارب على النفاد", "متوفر بالمخزن"))</f>
        <v>نفد من المخزن</v>
      </c>
      <c r="P23">
        <v>0</v>
      </c>
      <c r="Q23" t="str">
        <v>SKU-0020</v>
      </c>
      <c r="R23" t="str">
        <v/>
      </c>
      <c r="S23" t="str">
        <v/>
      </c>
      <c r="T23" t="str">
        <v/>
      </c>
    </row>
    <row r="24">
      <c r="A24">
        <v>21</v>
      </c>
      <c r="B24" t="str">
        <v>بيبسي كانز 330 مل</v>
      </c>
      <c r="C24" t="str">
        <v>4060800108913</v>
      </c>
      <c r="D24" t="str">
        <v/>
      </c>
      <c r="E24" t="str">
        <v>قطعة</v>
      </c>
      <c r="F24">
        <v>15</v>
      </c>
      <c r="G24">
        <v>11.8</v>
      </c>
      <c r="H24">
        <v>0</v>
      </c>
      <c r="I24">
        <v>10</v>
      </c>
      <c r="J24">
        <f>F24-G24</f>
        <v>3.2</v>
      </c>
      <c r="K24" s="1">
        <f>IF(G24&gt;0, (F24-G24)/G24, 0)</f>
        <v>0.2712</v>
      </c>
      <c r="L24" s="2">
        <f>H24*G24</f>
        <v>0</v>
      </c>
      <c r="M24" s="2">
        <f>H24*F24</f>
        <v>0</v>
      </c>
      <c r="N24" s="2">
        <f>M24-L24</f>
        <v>0</v>
      </c>
      <c r="O24" t="str">
        <f>IF(H24&lt;=0, "نفد من المخزن", IF(H24&lt;=I24, "قارب على النفاد", "متوفر بالمخزن"))</f>
        <v>نفد من المخزن</v>
      </c>
      <c r="P24">
        <v>0</v>
      </c>
      <c r="Q24" t="str">
        <v>SKU-0021</v>
      </c>
      <c r="R24" t="str">
        <v/>
      </c>
      <c r="S24" t="str">
        <v/>
      </c>
      <c r="T24" t="str">
        <v/>
      </c>
    </row>
    <row r="25">
      <c r="A25">
        <v>22</v>
      </c>
      <c r="B25" t="str">
        <v>عصير بيتي مانجو 200 مل</v>
      </c>
      <c r="C25" t="str">
        <v>6222004001010</v>
      </c>
      <c r="D25" t="str">
        <v/>
      </c>
      <c r="E25" t="str">
        <v>قطعة</v>
      </c>
      <c r="F25">
        <v>8</v>
      </c>
      <c r="G25">
        <v>5.8</v>
      </c>
      <c r="H25">
        <v>0</v>
      </c>
      <c r="I25">
        <v>10</v>
      </c>
      <c r="J25">
        <f>F25-G25</f>
        <v>2.2</v>
      </c>
      <c r="K25" s="1">
        <f>IF(G25&gt;0, (F25-G25)/G25, 0)</f>
        <v>0.3793</v>
      </c>
      <c r="L25" s="2">
        <f>H25*G25</f>
        <v>0</v>
      </c>
      <c r="M25" s="2">
        <f>H25*F25</f>
        <v>0</v>
      </c>
      <c r="N25" s="2">
        <f>M25-L25</f>
        <v>0</v>
      </c>
      <c r="O25" t="str">
        <f>IF(H25&lt;=0, "نفد من المخزن", IF(H25&lt;=I25, "قارب على النفاد", "متوفر بالمخزن"))</f>
        <v>نفد من المخزن</v>
      </c>
      <c r="P25">
        <v>0</v>
      </c>
      <c r="Q25" t="str">
        <v>SKU-0022</v>
      </c>
      <c r="R25" t="str">
        <v/>
      </c>
      <c r="S25" t="str">
        <v/>
      </c>
      <c r="T25" t="str">
        <v/>
      </c>
    </row>
    <row r="26">
      <c r="A26" t="str">
        <v>الإجمالي</v>
      </c>
      <c r="B26" t="str">
        <v>إجمالي 22 صنف مسجل</v>
      </c>
      <c r="C26" t="str">
        <v/>
      </c>
      <c r="D26" t="str">
        <v/>
      </c>
      <c r="E26" t="str">
        <v/>
      </c>
      <c r="F26" s="2">
        <f>AVERAGE(F4:F25)</f>
      </c>
      <c r="G26" s="2">
        <f>AVERAGE(G4:G25)</f>
      </c>
      <c r="H26" s="3">
        <f>SUM(H4:H25)</f>
      </c>
      <c r="I26" t="str">
        <v/>
      </c>
      <c r="J26" s="2">
        <f>AVERAGE(J4:J25)</f>
      </c>
      <c r="K26" s="1">
        <f>IF(L26&gt;0, N26/L26, 0)</f>
      </c>
      <c r="L26" s="2">
        <f>SUM(L4:L25)</f>
      </c>
      <c r="M26" s="2">
        <f>SUM(M4:M25)</f>
      </c>
      <c r="N26" s="2">
        <f>SUM(N4:N25)</f>
      </c>
      <c r="O26" t="str">
        <v>محسوب بمعادلات إكسل</v>
      </c>
      <c r="P26" t="str">
        <v/>
      </c>
      <c r="Q26" t="str">
        <v/>
      </c>
      <c r="R26" t="str">
        <v/>
      </c>
      <c r="S26" t="str">
        <v/>
      </c>
      <c r="T26" t="str">
        <v/>
      </c>
    </row>
  </sheetData>
  <mergeCells count="2">
    <mergeCell ref="A1:T1"/>
    <mergeCell ref="A2:T2"/>
  </mergeCells>
  <ignoredErrors>
    <ignoredError numberStoredAsText="1" sqref="A1:T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[حلويات وتسالي]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شيبسي بطاطس عائلي طماطم 85 جم</v>
      </c>
      <c r="C4" t="str">
        <v>6221044001011</v>
      </c>
      <c r="D4" t="str">
        <v/>
      </c>
      <c r="E4" t="str">
        <v>قطعة</v>
      </c>
      <c r="F4">
        <v>15</v>
      </c>
      <c r="G4">
        <v>11.8</v>
      </c>
      <c r="H4">
        <v>0</v>
      </c>
      <c r="I4">
        <v>10</v>
      </c>
      <c r="J4">
        <f>F4-G4</f>
        <v>3.2</v>
      </c>
      <c r="K4" s="1">
        <f>IF(G4&gt;0, (F4-G4)/G4, 0)</f>
        <v>0.2712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SKU-0023</v>
      </c>
      <c r="R4" t="str">
        <v/>
      </c>
      <c r="S4" t="str">
        <v/>
      </c>
      <c r="T4" t="str">
        <v/>
      </c>
    </row>
    <row r="5">
      <c r="A5">
        <v>2</v>
      </c>
      <c r="B5" t="str">
        <v>شيبسي بطاطس عائلي جبنة متبلة 85 جم</v>
      </c>
      <c r="C5" t="str">
        <v>6221044001028</v>
      </c>
      <c r="D5" t="str">
        <v/>
      </c>
      <c r="E5" t="str">
        <v>قطعة</v>
      </c>
      <c r="F5">
        <v>15</v>
      </c>
      <c r="G5">
        <v>11.8</v>
      </c>
      <c r="H5">
        <v>0</v>
      </c>
      <c r="I5">
        <v>10</v>
      </c>
      <c r="J5">
        <f>F5-G5</f>
        <v>3.2</v>
      </c>
      <c r="K5" s="1">
        <f>IF(G5&gt;0, (F5-G5)/G5, 0)</f>
        <v>0.2712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SKU-0024</v>
      </c>
      <c r="R5" t="str">
        <v/>
      </c>
      <c r="S5" t="str">
        <v/>
      </c>
      <c r="T5" t="str">
        <v/>
      </c>
    </row>
    <row r="6">
      <c r="A6">
        <v>3</v>
      </c>
      <c r="B6" t="str">
        <v>دوريتوس جبنة ناتشو 75 جم</v>
      </c>
      <c r="C6" t="str">
        <v>6221044002018</v>
      </c>
      <c r="D6" t="str">
        <v/>
      </c>
      <c r="E6" t="str">
        <v>قطعة</v>
      </c>
      <c r="F6">
        <v>15</v>
      </c>
      <c r="G6">
        <v>11.8</v>
      </c>
      <c r="H6">
        <v>0</v>
      </c>
      <c r="I6">
        <v>8</v>
      </c>
      <c r="J6">
        <f>F6-G6</f>
        <v>3.2</v>
      </c>
      <c r="K6" s="1">
        <f>IF(G6&gt;0, (F6-G6)/G6, 0)</f>
        <v>0.2712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SKU-0025</v>
      </c>
      <c r="R6" t="str">
        <v/>
      </c>
      <c r="S6" t="str">
        <v/>
      </c>
      <c r="T6" t="str">
        <v/>
      </c>
    </row>
    <row r="7">
      <c r="A7">
        <v>4</v>
      </c>
      <c r="B7" t="str">
        <v>بسكويت أوريو كلاسيك 6 قطع</v>
      </c>
      <c r="C7" t="str">
        <v>7622210010018</v>
      </c>
      <c r="D7" t="str">
        <v/>
      </c>
      <c r="E7" t="str">
        <v>قطعة</v>
      </c>
      <c r="F7">
        <v>10</v>
      </c>
      <c r="G7">
        <v>7.8</v>
      </c>
      <c r="H7">
        <v>0</v>
      </c>
      <c r="I7">
        <v>12</v>
      </c>
      <c r="J7">
        <f>F7-G7</f>
        <v>2.2</v>
      </c>
      <c r="K7" s="1">
        <f>IF(G7&gt;0, (F7-G7)/G7, 0)</f>
        <v>0.2821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SKU-0026</v>
      </c>
      <c r="R7" t="str">
        <v/>
      </c>
      <c r="S7" t="str">
        <v/>
      </c>
      <c r="T7" t="str">
        <v/>
      </c>
    </row>
    <row r="8">
      <c r="A8">
        <v>5</v>
      </c>
      <c r="B8" t="str">
        <v>بسكويت لوكس شاي 12 قطعة</v>
      </c>
      <c r="C8" t="str">
        <v>6221155040015</v>
      </c>
      <c r="D8" t="str">
        <v/>
      </c>
      <c r="E8" t="str">
        <v>قطعة</v>
      </c>
      <c r="F8">
        <v>6</v>
      </c>
      <c r="G8">
        <v>4.4</v>
      </c>
      <c r="H8">
        <v>0</v>
      </c>
      <c r="I8">
        <v>12</v>
      </c>
      <c r="J8">
        <f>F8-G8</f>
        <v>1.6</v>
      </c>
      <c r="K8" s="1">
        <f>IF(G8&gt;0, (F8-G8)/G8, 0)</f>
        <v>0.3636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SKU-0027</v>
      </c>
      <c r="R8" t="str">
        <v/>
      </c>
      <c r="S8" t="str">
        <v/>
      </c>
      <c r="T8" t="str">
        <v/>
      </c>
    </row>
    <row r="9">
      <c r="A9">
        <v>6</v>
      </c>
      <c r="B9" t="str">
        <v>مولتو XXL شيكولاتة وبندق</v>
      </c>
      <c r="C9" t="str">
        <v>6223000553855</v>
      </c>
      <c r="D9" t="str">
        <v/>
      </c>
      <c r="E9" t="str">
        <v>قطعة</v>
      </c>
      <c r="F9">
        <v>15</v>
      </c>
      <c r="G9">
        <v>11.5</v>
      </c>
      <c r="H9">
        <v>0</v>
      </c>
      <c r="I9">
        <v>10</v>
      </c>
      <c r="J9">
        <f>F9-G9</f>
        <v>3.5</v>
      </c>
      <c r="K9" s="1">
        <f>IF(G9&gt;0, (F9-G9)/G9, 0)</f>
        <v>0.3043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SKU-0028</v>
      </c>
      <c r="R9" t="str">
        <v/>
      </c>
      <c r="S9" t="str">
        <v/>
      </c>
      <c r="T9" t="str">
        <v/>
      </c>
    </row>
    <row r="10">
      <c r="A10">
        <v>7</v>
      </c>
      <c r="B10" t="str">
        <v>شيكولاتة كادبوري ديري ميلك 37 جم</v>
      </c>
      <c r="C10" t="str">
        <v>7622210287113</v>
      </c>
      <c r="D10" t="str">
        <v/>
      </c>
      <c r="E10" t="str">
        <v>قطعة</v>
      </c>
      <c r="F10">
        <v>35</v>
      </c>
      <c r="G10">
        <v>27.5</v>
      </c>
      <c r="H10">
        <v>0</v>
      </c>
      <c r="I10">
        <v>7</v>
      </c>
      <c r="J10">
        <f>F10-G10</f>
        <v>7.5</v>
      </c>
      <c r="K10" s="1">
        <f>IF(G10&gt;0, (F10-G10)/G10, 0)</f>
        <v>0.2727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SKU-0029</v>
      </c>
      <c r="R10" t="str">
        <v/>
      </c>
      <c r="S10" t="str">
        <v/>
      </c>
      <c r="T10" t="str">
        <v/>
      </c>
    </row>
    <row r="11">
      <c r="A11">
        <v>8</v>
      </c>
      <c r="B11" t="str">
        <v>شيكولاتة جالاكسي ناعمة بالحليب 40 جم</v>
      </c>
      <c r="C11" t="str">
        <v>5000159461122</v>
      </c>
      <c r="D11" t="str">
        <v/>
      </c>
      <c r="E11" t="str">
        <v>قطعة</v>
      </c>
      <c r="F11">
        <v>35</v>
      </c>
      <c r="G11">
        <v>27.5</v>
      </c>
      <c r="H11">
        <v>0</v>
      </c>
      <c r="I11">
        <v>7</v>
      </c>
      <c r="J11">
        <f>F11-G11</f>
        <v>7.5</v>
      </c>
      <c r="K11" s="1">
        <f>IF(G11&gt;0, (F11-G11)/G11, 0)</f>
        <v>0.2727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SKU-0030</v>
      </c>
      <c r="R11" t="str">
        <v/>
      </c>
      <c r="S11" t="str">
        <v/>
      </c>
      <c r="T11" t="str">
        <v/>
      </c>
    </row>
    <row r="12">
      <c r="A12">
        <v>9</v>
      </c>
      <c r="B12" t="str">
        <v>لبان كلورتس نعناع حار</v>
      </c>
      <c r="C12" t="str">
        <v>7622210101013</v>
      </c>
      <c r="D12" t="str">
        <v/>
      </c>
      <c r="E12" t="str">
        <v>قطعة</v>
      </c>
      <c r="F12">
        <v>10</v>
      </c>
      <c r="G12">
        <v>7.5</v>
      </c>
      <c r="H12">
        <v>0</v>
      </c>
      <c r="I12">
        <v>10</v>
      </c>
      <c r="J12">
        <f>F12-G12</f>
        <v>2.5</v>
      </c>
      <c r="K12" s="1">
        <f>IF(G12&gt;0, (F12-G12)/G12, 0)</f>
        <v>0.3333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SKU-0031</v>
      </c>
      <c r="R12" t="str">
        <v/>
      </c>
      <c r="S12" t="str">
        <v/>
      </c>
      <c r="T12" t="str">
        <v/>
      </c>
    </row>
    <row r="13">
      <c r="A13">
        <v>10</v>
      </c>
      <c r="B13" t="str">
        <v>لوليتا وعصائر مثلجة للأطفال</v>
      </c>
      <c r="C13" t="str">
        <v>6228004455082</v>
      </c>
      <c r="D13" t="str">
        <v/>
      </c>
      <c r="E13" t="str">
        <v>قطعة</v>
      </c>
      <c r="F13">
        <v>3</v>
      </c>
      <c r="G13">
        <v>1.5</v>
      </c>
      <c r="H13">
        <v>0</v>
      </c>
      <c r="I13">
        <v>10</v>
      </c>
      <c r="J13">
        <f>F13-G13</f>
        <v>1.5</v>
      </c>
      <c r="K13" s="1">
        <f>IF(G13&gt;0, (F13-G13)/G13, 0)</f>
        <v>1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SKU-0032</v>
      </c>
      <c r="R13" t="str">
        <v/>
      </c>
      <c r="S13" t="str">
        <v/>
      </c>
      <c r="T13" t="str">
        <v/>
      </c>
    </row>
    <row r="14">
      <c r="A14" t="str">
        <v>الإجمالي</v>
      </c>
      <c r="B14" t="str">
        <v>إجمالي 10 صنف مسجل</v>
      </c>
      <c r="C14" t="str">
        <v/>
      </c>
      <c r="D14" t="str">
        <v/>
      </c>
      <c r="E14" t="str">
        <v/>
      </c>
      <c r="F14" s="2">
        <f>AVERAGE(F4:F13)</f>
      </c>
      <c r="G14" s="2">
        <f>AVERAGE(G4:G13)</f>
      </c>
      <c r="H14" s="3">
        <f>SUM(H4:H13)</f>
      </c>
      <c r="I14" t="str">
        <v/>
      </c>
      <c r="J14" s="2">
        <f>AVERAGE(J4:J13)</f>
      </c>
      <c r="K14" s="1">
        <f>IF(L14&gt;0, N14/L14, 0)</f>
      </c>
      <c r="L14" s="2">
        <f>SUM(L4:L13)</f>
      </c>
      <c r="M14" s="2">
        <f>SUM(M4:M13)</f>
      </c>
      <c r="N14" s="2">
        <f>SUM(N4:N13)</f>
      </c>
      <c r="O14" t="str">
        <v>محسوب بمعادلات إكسل</v>
      </c>
      <c r="P14" t="str">
        <v/>
      </c>
      <c r="Q14" t="str">
        <v/>
      </c>
      <c r="R14" t="str">
        <v/>
      </c>
      <c r="S14" t="str">
        <v/>
      </c>
      <c r="T14" t="str">
        <v/>
      </c>
    </row>
  </sheetData>
  <mergeCells count="2">
    <mergeCell ref="A1:T1"/>
    <mergeCell ref="A2:T2"/>
  </mergeCells>
  <ignoredErrors>
    <ignoredError numberStoredAsText="1" sqref="A1:T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[منظفات]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مسحوق إريال أوتوماتيك لافندر 2.5 كجم</v>
      </c>
      <c r="C4" t="str">
        <v>6221155050014</v>
      </c>
      <c r="D4" t="str">
        <v/>
      </c>
      <c r="E4" t="str">
        <v>قطعة</v>
      </c>
      <c r="F4">
        <v>195</v>
      </c>
      <c r="G4">
        <v>165</v>
      </c>
      <c r="H4">
        <v>0</v>
      </c>
      <c r="I4">
        <v>4</v>
      </c>
      <c r="J4">
        <f>F4-G4</f>
        <v>30</v>
      </c>
      <c r="K4" s="1">
        <f>IF(G4&gt;0, (F4-G4)/G4, 0)</f>
        <v>0.1818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SKU-0033</v>
      </c>
      <c r="R4" t="str">
        <v/>
      </c>
      <c r="S4" t="str">
        <v/>
      </c>
      <c r="T4" t="str">
        <v/>
      </c>
    </row>
    <row r="5">
      <c r="A5">
        <v>2</v>
      </c>
      <c r="B5" t="str">
        <v>مسحوق تايد يدوي كيس 500 جم</v>
      </c>
      <c r="C5" t="str">
        <v>6221155060013</v>
      </c>
      <c r="D5" t="str">
        <v/>
      </c>
      <c r="E5" t="str">
        <v>قطعة</v>
      </c>
      <c r="F5">
        <v>28</v>
      </c>
      <c r="G5">
        <v>22</v>
      </c>
      <c r="H5">
        <v>0</v>
      </c>
      <c r="I5">
        <v>6</v>
      </c>
      <c r="J5">
        <f>F5-G5</f>
        <v>6</v>
      </c>
      <c r="K5" s="1">
        <f>IF(G5&gt;0, (F5-G5)/G5, 0)</f>
        <v>0.2727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SKU-0034</v>
      </c>
      <c r="R5" t="str">
        <v/>
      </c>
      <c r="S5" t="str">
        <v/>
      </c>
      <c r="T5" t="str">
        <v/>
      </c>
    </row>
    <row r="6">
      <c r="A6">
        <v>3</v>
      </c>
      <c r="B6" t="str">
        <v>صابون سائل بريل ليمون 1 لتر</v>
      </c>
      <c r="C6" t="str">
        <v>6221122002015</v>
      </c>
      <c r="D6" t="str">
        <v/>
      </c>
      <c r="E6" t="str">
        <v>قطعة</v>
      </c>
      <c r="F6">
        <v>42</v>
      </c>
      <c r="G6">
        <v>33.5</v>
      </c>
      <c r="H6">
        <v>0</v>
      </c>
      <c r="I6">
        <v>7</v>
      </c>
      <c r="J6">
        <f>F6-G6</f>
        <v>8.5</v>
      </c>
      <c r="K6" s="1">
        <f>IF(G6&gt;0, (F6-G6)/G6, 0)</f>
        <v>0.2537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SKU-0035</v>
      </c>
      <c r="R6" t="str">
        <v/>
      </c>
      <c r="S6" t="str">
        <v/>
      </c>
      <c r="T6" t="str">
        <v/>
      </c>
    </row>
    <row r="7">
      <c r="A7">
        <v>4</v>
      </c>
      <c r="B7" t="str">
        <v>كلوركس مبيض أبيض 950 مل</v>
      </c>
      <c r="C7" t="str">
        <v>6221099001011</v>
      </c>
      <c r="D7" t="str">
        <v/>
      </c>
      <c r="E7" t="str">
        <v>قطعة</v>
      </c>
      <c r="F7">
        <v>28</v>
      </c>
      <c r="G7">
        <v>21.5</v>
      </c>
      <c r="H7">
        <v>0</v>
      </c>
      <c r="I7">
        <v>6</v>
      </c>
      <c r="J7">
        <f>F7-G7</f>
        <v>6.5</v>
      </c>
      <c r="K7" s="1">
        <f>IF(G7&gt;0, (F7-G7)/G7, 0)</f>
        <v>0.3023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SKU-0036</v>
      </c>
      <c r="R7" t="str">
        <v/>
      </c>
      <c r="S7" t="str">
        <v/>
      </c>
      <c r="T7" t="str">
        <v/>
      </c>
    </row>
    <row r="8">
      <c r="A8">
        <v>5</v>
      </c>
      <c r="B8" t="str">
        <v>صابون تواليت لوكس ورد 120 جم</v>
      </c>
      <c r="C8" t="str">
        <v>6221155080011</v>
      </c>
      <c r="D8" t="str">
        <v/>
      </c>
      <c r="E8" t="str">
        <v>قطعة</v>
      </c>
      <c r="F8">
        <v>18</v>
      </c>
      <c r="G8">
        <v>13.5</v>
      </c>
      <c r="H8">
        <v>0</v>
      </c>
      <c r="I8">
        <v>9</v>
      </c>
      <c r="J8">
        <f>F8-G8</f>
        <v>4.5</v>
      </c>
      <c r="K8" s="1">
        <f>IF(G8&gt;0, (F8-G8)/G8, 0)</f>
        <v>0.3333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SKU-0037</v>
      </c>
      <c r="R8" t="str">
        <v/>
      </c>
      <c r="S8" t="str">
        <v/>
      </c>
      <c r="T8" t="str">
        <v/>
      </c>
    </row>
    <row r="9">
      <c r="A9">
        <v>6</v>
      </c>
      <c r="B9" t="str">
        <v>مناديل جيب زينة 3 طبقات باكت</v>
      </c>
      <c r="C9" t="str">
        <v>6221144001010</v>
      </c>
      <c r="D9" t="str">
        <v/>
      </c>
      <c r="E9" t="str">
        <v>قطعة</v>
      </c>
      <c r="F9">
        <v>5</v>
      </c>
      <c r="G9">
        <v>3.3</v>
      </c>
      <c r="H9">
        <v>0</v>
      </c>
      <c r="I9">
        <v>15</v>
      </c>
      <c r="J9">
        <f>F9-G9</f>
        <v>1.7</v>
      </c>
      <c r="K9" s="1">
        <f>IF(G9&gt;0, (F9-G9)/G9, 0)</f>
        <v>0.5152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SKU-0038</v>
      </c>
      <c r="R9" t="str">
        <v/>
      </c>
      <c r="S9" t="str">
        <v/>
      </c>
      <c r="T9" t="str">
        <v/>
      </c>
    </row>
    <row r="10">
      <c r="A10" t="str">
        <v>الإجمالي</v>
      </c>
      <c r="B10" t="str">
        <v>إجمالي 6 صنف مسجل</v>
      </c>
      <c r="C10" t="str">
        <v/>
      </c>
      <c r="D10" t="str">
        <v/>
      </c>
      <c r="E10" t="str">
        <v/>
      </c>
      <c r="F10" s="2">
        <f>AVERAGE(F4:F9)</f>
      </c>
      <c r="G10" s="2">
        <f>AVERAGE(G4:G9)</f>
      </c>
      <c r="H10" s="3">
        <f>SUM(H4:H9)</f>
      </c>
      <c r="I10" t="str">
        <v/>
      </c>
      <c r="J10" s="2">
        <f>AVERAGE(J4:J9)</f>
      </c>
      <c r="K10" s="1">
        <f>IF(L10&gt;0, N10/L10, 0)</f>
      </c>
      <c r="L10" s="2">
        <f>SUM(L4:L9)</f>
      </c>
      <c r="M10" s="2">
        <f>SUM(M4:M9)</f>
      </c>
      <c r="N10" s="2">
        <f>SUM(N4:N9)</f>
      </c>
      <c r="O10" t="str">
        <v>محسوب بمعادلات إكسل</v>
      </c>
      <c r="P10" t="str">
        <v/>
      </c>
      <c r="Q10" t="str">
        <v/>
      </c>
      <c r="R10" t="str">
        <v/>
      </c>
      <c r="S10" t="str">
        <v/>
      </c>
      <c r="T10" t="str">
        <v/>
      </c>
    </row>
  </sheetData>
  <mergeCells count="2">
    <mergeCell ref="A1:T1"/>
    <mergeCell ref="A2:T2"/>
  </mergeCells>
  <ignoredErrors>
    <ignoredError numberStoredAsText="1" sqref="A1:T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[دخان وسجائر]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علبة سجائر كليوباترا بوكس أبيض</v>
      </c>
      <c r="C4" t="str">
        <v>6229900010016</v>
      </c>
      <c r="D4" t="str">
        <v/>
      </c>
      <c r="E4" t="str">
        <v>قطعة</v>
      </c>
      <c r="F4">
        <v>40</v>
      </c>
      <c r="G4">
        <v>36</v>
      </c>
      <c r="H4">
        <v>0</v>
      </c>
      <c r="I4">
        <v>10</v>
      </c>
      <c r="J4">
        <f>F4-G4</f>
        <v>4</v>
      </c>
      <c r="K4" s="1">
        <f>IF(G4&gt;0, (F4-G4)/G4, 0)</f>
        <v>0.1111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SKU-0039</v>
      </c>
      <c r="R4" t="str">
        <v/>
      </c>
      <c r="S4" t="str">
        <v/>
      </c>
      <c r="T4" t="str">
        <v/>
      </c>
    </row>
    <row r="5">
      <c r="A5">
        <v>2</v>
      </c>
      <c r="B5" t="str">
        <v>علبة سجائر كليوباترا كينج سايز أحمر</v>
      </c>
      <c r="C5" t="str">
        <v>6229900010061</v>
      </c>
      <c r="D5" t="str">
        <v/>
      </c>
      <c r="E5" t="str">
        <v>قطعة</v>
      </c>
      <c r="F5">
        <v>40</v>
      </c>
      <c r="G5">
        <v>36</v>
      </c>
      <c r="H5">
        <v>0</v>
      </c>
      <c r="I5">
        <v>10</v>
      </c>
      <c r="J5">
        <f>F5-G5</f>
        <v>4</v>
      </c>
      <c r="K5" s="1">
        <f>IF(G5&gt;0, (F5-G5)/G5, 0)</f>
        <v>0.1111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SKU-0040</v>
      </c>
      <c r="R5" t="str">
        <v/>
      </c>
      <c r="S5" t="str">
        <v/>
      </c>
      <c r="T5" t="str">
        <v/>
      </c>
    </row>
    <row r="6">
      <c r="A6">
        <v>3</v>
      </c>
      <c r="B6" t="str">
        <v>علبة سجائر إل إم أزرق</v>
      </c>
      <c r="C6" t="str">
        <v>7622100800019</v>
      </c>
      <c r="D6" t="str">
        <v/>
      </c>
      <c r="E6" t="str">
        <v>قطعة</v>
      </c>
      <c r="F6">
        <v>74</v>
      </c>
      <c r="G6">
        <v>69</v>
      </c>
      <c r="H6">
        <v>0</v>
      </c>
      <c r="I6">
        <v>8</v>
      </c>
      <c r="J6">
        <f>F6-G6</f>
        <v>5</v>
      </c>
      <c r="K6" s="1">
        <f>IF(G6&gt;0, (F6-G6)/G6, 0)</f>
        <v>0.0725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SKU-0041</v>
      </c>
      <c r="R6" t="str">
        <v/>
      </c>
      <c r="S6" t="str">
        <v/>
      </c>
      <c r="T6" t="str">
        <v/>
      </c>
    </row>
    <row r="7">
      <c r="A7">
        <v>4</v>
      </c>
      <c r="B7" t="str">
        <v>علبة سجائر إل إم أحمر</v>
      </c>
      <c r="C7" t="str">
        <v>7622100800026</v>
      </c>
      <c r="D7" t="str">
        <v/>
      </c>
      <c r="E7" t="str">
        <v>قطعة</v>
      </c>
      <c r="F7">
        <v>74</v>
      </c>
      <c r="G7">
        <v>69</v>
      </c>
      <c r="H7">
        <v>0</v>
      </c>
      <c r="I7">
        <v>8</v>
      </c>
      <c r="J7">
        <f>F7-G7</f>
        <v>5</v>
      </c>
      <c r="K7" s="1">
        <f>IF(G7&gt;0, (F7-G7)/G7, 0)</f>
        <v>0.0725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SKU-0042</v>
      </c>
      <c r="R7" t="str">
        <v/>
      </c>
      <c r="S7" t="str">
        <v/>
      </c>
      <c r="T7" t="str">
        <v/>
      </c>
    </row>
    <row r="8">
      <c r="A8">
        <v>5</v>
      </c>
      <c r="B8" t="str">
        <v>علبة سجائر مارلبورو أحمر</v>
      </c>
      <c r="C8" t="str">
        <v>7622100900016</v>
      </c>
      <c r="D8" t="str">
        <v/>
      </c>
      <c r="E8" t="str">
        <v>قطعة</v>
      </c>
      <c r="F8">
        <v>94</v>
      </c>
      <c r="G8">
        <v>88</v>
      </c>
      <c r="H8">
        <v>0</v>
      </c>
      <c r="I8">
        <v>5</v>
      </c>
      <c r="J8">
        <f>F8-G8</f>
        <v>6</v>
      </c>
      <c r="K8" s="1">
        <f>IF(G8&gt;0, (F8-G8)/G8, 0)</f>
        <v>0.0682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SKU-0043</v>
      </c>
      <c r="R8" t="str">
        <v/>
      </c>
      <c r="S8" t="str">
        <v/>
      </c>
      <c r="T8" t="str">
        <v/>
      </c>
    </row>
    <row r="9">
      <c r="A9">
        <v>6</v>
      </c>
      <c r="B9" t="str">
        <v>علبة سجائر وينستون أزرق</v>
      </c>
      <c r="C9" t="str">
        <v>6229900020015</v>
      </c>
      <c r="D9" t="str">
        <v/>
      </c>
      <c r="E9" t="str">
        <v>قطعة</v>
      </c>
      <c r="F9">
        <v>62</v>
      </c>
      <c r="G9">
        <v>57</v>
      </c>
      <c r="H9">
        <v>0</v>
      </c>
      <c r="I9">
        <v>6</v>
      </c>
      <c r="J9">
        <f>F9-G9</f>
        <v>5</v>
      </c>
      <c r="K9" s="1">
        <f>IF(G9&gt;0, (F9-G9)/G9, 0)</f>
        <v>0.0877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SKU-0044</v>
      </c>
      <c r="R9" t="str">
        <v/>
      </c>
      <c r="S9" t="str">
        <v/>
      </c>
      <c r="T9" t="str">
        <v/>
      </c>
    </row>
    <row r="10">
      <c r="A10">
        <v>7</v>
      </c>
      <c r="B10" t="str">
        <v>ولاعة إلكترونية شفافة</v>
      </c>
      <c r="C10" t="str">
        <v>6229900010030</v>
      </c>
      <c r="D10" t="str">
        <v/>
      </c>
      <c r="E10" t="str">
        <v>قطعة</v>
      </c>
      <c r="F10">
        <v>5</v>
      </c>
      <c r="G10">
        <v>2.5</v>
      </c>
      <c r="H10">
        <v>0</v>
      </c>
      <c r="I10">
        <v>15</v>
      </c>
      <c r="J10">
        <f>F10-G10</f>
        <v>2.5</v>
      </c>
      <c r="K10" s="1">
        <f>IF(G10&gt;0, (F10-G10)/G10, 0)</f>
        <v>1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SKU-0045</v>
      </c>
      <c r="R10" t="str">
        <v/>
      </c>
      <c r="S10" t="str">
        <v/>
      </c>
      <c r="T10" t="str">
        <v/>
      </c>
    </row>
    <row r="11">
      <c r="A11" t="str">
        <v>الإجمالي</v>
      </c>
      <c r="B11" t="str">
        <v>إجمالي 7 صنف مسجل</v>
      </c>
      <c r="C11" t="str">
        <v/>
      </c>
      <c r="D11" t="str">
        <v/>
      </c>
      <c r="E11" t="str">
        <v/>
      </c>
      <c r="F11" s="2">
        <f>AVERAGE(F4:F10)</f>
      </c>
      <c r="G11" s="2">
        <f>AVERAGE(G4:G10)</f>
      </c>
      <c r="H11" s="3">
        <f>SUM(H4:H10)</f>
      </c>
      <c r="I11" t="str">
        <v/>
      </c>
      <c r="J11" s="2">
        <f>AVERAGE(J4:J10)</f>
      </c>
      <c r="K11" s="1">
        <f>IF(L11&gt;0, N11/L11, 0)</f>
      </c>
      <c r="L11" s="2">
        <f>SUM(L4:L10)</f>
      </c>
      <c r="M11" s="2">
        <f>SUM(M4:M10)</f>
      </c>
      <c r="N11" s="2">
        <f>SUM(N4:N10)</f>
      </c>
      <c r="O11" t="str">
        <v>محسوب بمعادلات إكسل</v>
      </c>
      <c r="P11" t="str">
        <v/>
      </c>
      <c r="Q11" t="str">
        <v/>
      </c>
      <c r="R11" t="str">
        <v/>
      </c>
      <c r="S11" t="str">
        <v/>
      </c>
      <c r="T11" t="str">
        <v/>
      </c>
    </row>
  </sheetData>
  <mergeCells count="2">
    <mergeCell ref="A1:T1"/>
    <mergeCell ref="A2:T2"/>
  </mergeCells>
  <ignoredErrors>
    <ignoredError numberStoredAsText="1" sqref="A1:T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[عام]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علبة كبريت فراشة</v>
      </c>
      <c r="C4" t="str">
        <v>6229900010047</v>
      </c>
      <c r="D4" t="str">
        <v/>
      </c>
      <c r="E4" t="str">
        <v>قطعة</v>
      </c>
      <c r="F4">
        <v>1</v>
      </c>
      <c r="G4">
        <v>0.5</v>
      </c>
      <c r="H4">
        <v>0</v>
      </c>
      <c r="I4">
        <v>20</v>
      </c>
      <c r="J4">
        <f>F4-G4</f>
        <v>0.5</v>
      </c>
      <c r="K4" s="1">
        <f>IF(G4&gt;0, (F4-G4)/G4, 0)</f>
        <v>1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SKU-0046</v>
      </c>
      <c r="R4" t="str">
        <v/>
      </c>
      <c r="S4" t="str">
        <v/>
      </c>
      <c r="T4" t="str">
        <v/>
      </c>
    </row>
    <row r="5">
      <c r="A5">
        <v>2</v>
      </c>
      <c r="B5" t="str">
        <v>كيس تسوق عادي للمحل</v>
      </c>
      <c r="C5" t="str">
        <v>6229900010054</v>
      </c>
      <c r="D5" t="str">
        <v/>
      </c>
      <c r="E5" t="str">
        <v>قطعة</v>
      </c>
      <c r="F5">
        <v>1</v>
      </c>
      <c r="G5">
        <v>0.4</v>
      </c>
      <c r="H5">
        <v>0</v>
      </c>
      <c r="I5">
        <v>25</v>
      </c>
      <c r="J5">
        <f>F5-G5</f>
        <v>0.6</v>
      </c>
      <c r="K5" s="1">
        <f>IF(G5&gt;0, (F5-G5)/G5, 0)</f>
        <v>1.5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SKU-0047</v>
      </c>
      <c r="R5" t="str">
        <v/>
      </c>
      <c r="S5" t="str">
        <v/>
      </c>
      <c r="T5" t="str">
        <v/>
      </c>
    </row>
    <row r="6">
      <c r="A6" t="str">
        <v>الإجمالي</v>
      </c>
      <c r="B6" t="str">
        <v>إجمالي 2 صنف مسجل</v>
      </c>
      <c r="C6" t="str">
        <v/>
      </c>
      <c r="D6" t="str">
        <v/>
      </c>
      <c r="E6" t="str">
        <v/>
      </c>
      <c r="F6" s="2">
        <f>AVERAGE(F4:F5)</f>
      </c>
      <c r="G6" s="2">
        <f>AVERAGE(G4:G5)</f>
      </c>
      <c r="H6" s="3">
        <f>SUM(H4:H5)</f>
      </c>
      <c r="I6" t="str">
        <v/>
      </c>
      <c r="J6" s="2">
        <f>AVERAGE(J4:J5)</f>
      </c>
      <c r="K6" s="1">
        <f>IF(L6&gt;0, N6/L6, 0)</f>
      </c>
      <c r="L6" s="2">
        <f>SUM(L4:L5)</f>
      </c>
      <c r="M6" s="2">
        <f>SUM(M4:M5)</f>
      </c>
      <c r="N6" s="2">
        <f>SUM(N4:N5)</f>
      </c>
      <c r="O6" t="str">
        <v>محسوب بمعادلات إكسل</v>
      </c>
      <c r="P6" t="str">
        <v/>
      </c>
      <c r="Q6" t="str">
        <v/>
      </c>
      <c r="R6" t="str">
        <v/>
      </c>
      <c r="S6" t="str">
        <v/>
      </c>
      <c r="T6" t="str">
        <v/>
      </c>
    </row>
  </sheetData>
  <mergeCells count="2">
    <mergeCell ref="A1:T1"/>
    <mergeCell ref="A2:T2"/>
  </mergeCells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أغذية ومشروبات</vt:lpstr>
      <vt:lpstr>حلويات وتسالي</vt:lpstr>
      <vt:lpstr>منظفات</vt:lpstr>
      <vt:lpstr>دخان وسجائر</vt:lpstr>
      <vt:lpstr>عام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