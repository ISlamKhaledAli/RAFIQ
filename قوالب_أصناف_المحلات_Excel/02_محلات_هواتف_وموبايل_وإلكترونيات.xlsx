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كابلات وشواحن" sheetId="1" r:id="rId1"/>
    <sheet name="سماعات وصوتيات" sheetId="2" r:id="rId2"/>
    <sheet name="لاصقات حماية وشاشات" sheetId="3" r:id="rId3"/>
    <sheet name="جرابات وحافظات" sheetId="4" r:id="rId4"/>
    <sheet name="باور بانك وبطاريات" sheetId="5" r:id="rId5"/>
    <sheet name="كروت ميموري وفلاشات" sheetId="6" r:id="rId6"/>
    <sheet name="صيانة وخدمات سريعة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%"/>
    <numFmt numFmtId="61" formatCode="#,##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[كابلات وشواحن]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كابل شحن سريع Type-C إلى Type-C Anker 60W</v>
      </c>
      <c r="C4" t="str">
        <v>6971100110019</v>
      </c>
      <c r="D4" t="str">
        <v/>
      </c>
      <c r="E4" t="str">
        <v>قطعة</v>
      </c>
      <c r="F4">
        <v>120</v>
      </c>
      <c r="G4">
        <v>80</v>
      </c>
      <c r="H4">
        <v>0</v>
      </c>
      <c r="I4">
        <v>5</v>
      </c>
      <c r="J4">
        <f>F4-G4</f>
        <v>40</v>
      </c>
      <c r="K4" s="1">
        <f>IF(G4&gt;0, (F4-G4)/G4, 0)</f>
        <v>0.5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PHN-0001</v>
      </c>
      <c r="R4" t="str">
        <v>أبيض</v>
      </c>
      <c r="S4" t="str">
        <v>1.2 متر</v>
      </c>
      <c r="T4" t="str">
        <v/>
      </c>
    </row>
    <row r="5">
      <c r="A5">
        <v>2</v>
      </c>
      <c r="B5" t="str">
        <v>كابل شحن Type-C إلى USB Joyroom سريع 3A</v>
      </c>
      <c r="C5" t="str">
        <v>6971100110026</v>
      </c>
      <c r="D5" t="str">
        <v/>
      </c>
      <c r="E5" t="str">
        <v>قطعة</v>
      </c>
      <c r="F5">
        <v>65</v>
      </c>
      <c r="G5">
        <v>35</v>
      </c>
      <c r="H5">
        <v>0</v>
      </c>
      <c r="I5">
        <v>6</v>
      </c>
      <c r="J5">
        <f>F5-G5</f>
        <v>30</v>
      </c>
      <c r="K5" s="1">
        <f>IF(G5&gt;0, (F5-G5)/G5, 0)</f>
        <v>0.8571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PHN-0002</v>
      </c>
      <c r="R5" t="str">
        <v>أبيض</v>
      </c>
      <c r="S5" t="str">
        <v>1.2 متر</v>
      </c>
      <c r="T5" t="str">
        <v/>
      </c>
    </row>
    <row r="6">
      <c r="A6">
        <v>3</v>
      </c>
      <c r="B6" t="str">
        <v>كابل شحن Lightning آيفون سريع معتمد Anker</v>
      </c>
      <c r="C6" t="str">
        <v>6971100110033</v>
      </c>
      <c r="D6" t="str">
        <v/>
      </c>
      <c r="E6" t="str">
        <v>قطعة</v>
      </c>
      <c r="F6">
        <v>95</v>
      </c>
      <c r="G6">
        <v>55</v>
      </c>
      <c r="H6">
        <v>0</v>
      </c>
      <c r="I6">
        <v>5</v>
      </c>
      <c r="J6">
        <f>F6-G6</f>
        <v>40</v>
      </c>
      <c r="K6" s="1">
        <f>IF(G6&gt;0, (F6-G6)/G6, 0)</f>
        <v>0.7273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PHN-0003</v>
      </c>
      <c r="R6" t="str">
        <v>أبيض</v>
      </c>
      <c r="S6" t="str">
        <v>1.2 متر</v>
      </c>
      <c r="T6" t="str">
        <v/>
      </c>
    </row>
    <row r="7">
      <c r="A7">
        <v>4</v>
      </c>
      <c r="B7" t="str">
        <v>كابل شحن مايكرو USB سامسونج سريع 2A</v>
      </c>
      <c r="C7" t="str">
        <v>6971100110040</v>
      </c>
      <c r="D7" t="str">
        <v/>
      </c>
      <c r="E7" t="str">
        <v>قطعة</v>
      </c>
      <c r="F7">
        <v>45</v>
      </c>
      <c r="G7">
        <v>22</v>
      </c>
      <c r="H7">
        <v>0</v>
      </c>
      <c r="I7">
        <v>5</v>
      </c>
      <c r="J7">
        <f>F7-G7</f>
        <v>23</v>
      </c>
      <c r="K7" s="1">
        <f>IF(G7&gt;0, (F7-G7)/G7, 0)</f>
        <v>1.0455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PHN-0004</v>
      </c>
      <c r="R7" t="str">
        <v>أبيض</v>
      </c>
      <c r="S7" t="str">
        <v>1.2 متر</v>
      </c>
      <c r="T7" t="str">
        <v/>
      </c>
    </row>
    <row r="8">
      <c r="A8">
        <v>5</v>
      </c>
      <c r="B8" t="str">
        <v>رأس شاحن سريع 20W PD Type-C Anker Nano</v>
      </c>
      <c r="C8" t="str">
        <v>6971100110057</v>
      </c>
      <c r="D8" t="str">
        <v/>
      </c>
      <c r="E8" t="str">
        <v>قطعة</v>
      </c>
      <c r="F8">
        <v>180</v>
      </c>
      <c r="G8">
        <v>120</v>
      </c>
      <c r="H8">
        <v>0</v>
      </c>
      <c r="I8">
        <v>4</v>
      </c>
      <c r="J8">
        <f>F8-G8</f>
        <v>60</v>
      </c>
      <c r="K8" s="1">
        <f>IF(G8&gt;0, (F8-G8)/G8, 0)</f>
        <v>0.5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PHN-0005</v>
      </c>
      <c r="R8" t="str">
        <v/>
      </c>
      <c r="S8" t="str">
        <v/>
      </c>
      <c r="T8" t="str">
        <v/>
      </c>
    </row>
    <row r="9">
      <c r="A9">
        <v>6</v>
      </c>
      <c r="B9" t="str">
        <v>رأس شاحن سامسونج أصلي 25W سوبر فاست</v>
      </c>
      <c r="C9" t="str">
        <v>6971100110064</v>
      </c>
      <c r="D9" t="str">
        <v/>
      </c>
      <c r="E9" t="str">
        <v>قطعة</v>
      </c>
      <c r="F9">
        <v>240</v>
      </c>
      <c r="G9">
        <v>160</v>
      </c>
      <c r="H9">
        <v>0</v>
      </c>
      <c r="I9">
        <v>3</v>
      </c>
      <c r="J9">
        <f>F9-G9</f>
        <v>80</v>
      </c>
      <c r="K9" s="1">
        <f>IF(G9&gt;0, (F9-G9)/G9, 0)</f>
        <v>0.5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PHN-0006</v>
      </c>
      <c r="R9" t="str">
        <v/>
      </c>
      <c r="S9" t="str">
        <v/>
      </c>
      <c r="T9" t="str">
        <v/>
      </c>
    </row>
    <row r="10">
      <c r="A10">
        <v>7</v>
      </c>
      <c r="B10" t="str">
        <v>رأس شاحن سوبر فاست 33W شاومي توربو</v>
      </c>
      <c r="C10" t="str">
        <v>6971100110071</v>
      </c>
      <c r="D10" t="str">
        <v/>
      </c>
      <c r="E10" t="str">
        <v>قطعة</v>
      </c>
      <c r="F10">
        <v>250</v>
      </c>
      <c r="G10">
        <v>165</v>
      </c>
      <c r="H10">
        <v>0</v>
      </c>
      <c r="I10">
        <v>3</v>
      </c>
      <c r="J10">
        <f>F10-G10</f>
        <v>85</v>
      </c>
      <c r="K10" s="1">
        <f>IF(G10&gt;0, (F10-G10)/G10, 0)</f>
        <v>0.5152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PHN-0007</v>
      </c>
      <c r="R10" t="str">
        <v/>
      </c>
      <c r="S10" t="str">
        <v/>
      </c>
      <c r="T10" t="str">
        <v/>
      </c>
    </row>
    <row r="11">
      <c r="A11">
        <v>8</v>
      </c>
      <c r="B11" t="str">
        <v>شاحن سيارة سريع مخرجين 38W معدني Joyroom</v>
      </c>
      <c r="C11" t="str">
        <v>6971100110088</v>
      </c>
      <c r="D11" t="str">
        <v/>
      </c>
      <c r="E11" t="str">
        <v>قطعة</v>
      </c>
      <c r="F11">
        <v>95</v>
      </c>
      <c r="G11">
        <v>55</v>
      </c>
      <c r="H11">
        <v>0</v>
      </c>
      <c r="I11">
        <v>4</v>
      </c>
      <c r="J11">
        <f>F11-G11</f>
        <v>40</v>
      </c>
      <c r="K11" s="1">
        <f>IF(G11&gt;0, (F11-G11)/G11, 0)</f>
        <v>0.7273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PHN-0008</v>
      </c>
      <c r="R11" t="str">
        <v/>
      </c>
      <c r="S11" t="str">
        <v/>
      </c>
      <c r="T11" t="str">
        <v/>
      </c>
    </row>
    <row r="12">
      <c r="A12">
        <v>9</v>
      </c>
      <c r="B12" t="str">
        <v>كابل 3 في 1 قماش مضاد للقطع متعدد المخارج</v>
      </c>
      <c r="C12" t="str">
        <v>6971100110095</v>
      </c>
      <c r="D12" t="str">
        <v/>
      </c>
      <c r="E12" t="str">
        <v>قطعة</v>
      </c>
      <c r="F12">
        <v>75</v>
      </c>
      <c r="G12">
        <v>40</v>
      </c>
      <c r="H12">
        <v>0</v>
      </c>
      <c r="I12">
        <v>4</v>
      </c>
      <c r="J12">
        <f>F12-G12</f>
        <v>35</v>
      </c>
      <c r="K12" s="1">
        <f>IF(G12&gt;0, (F12-G12)/G12, 0)</f>
        <v>0.875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PHN-0009</v>
      </c>
      <c r="R12" t="str">
        <v/>
      </c>
      <c r="S12" t="str">
        <v/>
      </c>
      <c r="T12" t="str">
        <v/>
      </c>
    </row>
    <row r="13">
      <c r="A13">
        <v>10</v>
      </c>
      <c r="B13" t="str">
        <v>محول OTG معدني Type-C إلى USB فائق السرعة</v>
      </c>
      <c r="C13" t="str">
        <v>6971100110101</v>
      </c>
      <c r="D13" t="str">
        <v/>
      </c>
      <c r="E13" t="str">
        <v>قطعة</v>
      </c>
      <c r="F13">
        <v>30</v>
      </c>
      <c r="G13">
        <v>12</v>
      </c>
      <c r="H13">
        <v>0</v>
      </c>
      <c r="I13">
        <v>5</v>
      </c>
      <c r="J13">
        <f>F13-G13</f>
        <v>18</v>
      </c>
      <c r="K13" s="1">
        <f>IF(G13&gt;0, (F13-G13)/G13, 0)</f>
        <v>1.5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PHN-0010</v>
      </c>
      <c r="R13" t="str">
        <v/>
      </c>
      <c r="S13" t="str">
        <v/>
      </c>
      <c r="T13" t="str">
        <v/>
      </c>
    </row>
    <row r="14">
      <c r="A14" t="str">
        <v>الإجمالي</v>
      </c>
      <c r="B14" t="str">
        <v>إجمالي 10 صنف مسجل</v>
      </c>
      <c r="C14" t="str">
        <v/>
      </c>
      <c r="D14" t="str">
        <v/>
      </c>
      <c r="E14" t="str">
        <v/>
      </c>
      <c r="F14" s="2">
        <f>AVERAGE(F4:F13)</f>
      </c>
      <c r="G14" s="2">
        <f>AVERAGE(G4:G13)</f>
      </c>
      <c r="H14" s="3">
        <f>SUM(H4:H13)</f>
      </c>
      <c r="I14" t="str">
        <v/>
      </c>
      <c r="J14" s="2">
        <f>AVERAGE(J4:J13)</f>
      </c>
      <c r="K14" s="1">
        <f>IF(L14&gt;0, N14/L14, 0)</f>
      </c>
      <c r="L14" s="2">
        <f>SUM(L4:L13)</f>
      </c>
      <c r="M14" s="2">
        <f>SUM(M4:M13)</f>
      </c>
      <c r="N14" s="2">
        <f>SUM(N4:N13)</f>
      </c>
      <c r="O14" t="str">
        <v>محسوب بمعادلات إكسل</v>
      </c>
      <c r="P14" t="str">
        <v/>
      </c>
      <c r="Q14" t="str">
        <v/>
      </c>
      <c r="R14" t="str">
        <v/>
      </c>
      <c r="S14" t="str">
        <v/>
      </c>
      <c r="T14" t="str">
        <v/>
      </c>
    </row>
  </sheetData>
  <mergeCells count="2">
    <mergeCell ref="A1:T1"/>
    <mergeCell ref="A2:T2"/>
  </mergeCells>
  <ignoredErrors>
    <ignoredError numberStoredAsText="1" sqref="A1:T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[سماعات وصوتيات]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سماعة بلوتوث Joyroom JR-T03S Pro الأصلية</v>
      </c>
      <c r="C4" t="str">
        <v>6972200220011</v>
      </c>
      <c r="D4" t="str">
        <v/>
      </c>
      <c r="E4" t="str">
        <v>قطعة</v>
      </c>
      <c r="F4">
        <v>380</v>
      </c>
      <c r="G4">
        <v>260</v>
      </c>
      <c r="H4">
        <v>0</v>
      </c>
      <c r="I4">
        <v>3</v>
      </c>
      <c r="J4">
        <f>F4-G4</f>
        <v>120</v>
      </c>
      <c r="K4" s="1">
        <f>IF(G4&gt;0, (F4-G4)/G4, 0)</f>
        <v>0.4615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PHN-0011</v>
      </c>
      <c r="R4" t="str">
        <v>أبيض</v>
      </c>
      <c r="S4" t="str">
        <v/>
      </c>
      <c r="T4" t="str">
        <v/>
      </c>
    </row>
    <row r="5">
      <c r="A5">
        <v>2</v>
      </c>
      <c r="B5" t="str">
        <v>سماعة بلوتوث Oraimo FreePods 4 عازلة للضوضاء</v>
      </c>
      <c r="C5" t="str">
        <v>6972200220028</v>
      </c>
      <c r="D5" t="str">
        <v/>
      </c>
      <c r="E5" t="str">
        <v>قطعة</v>
      </c>
      <c r="F5">
        <v>420</v>
      </c>
      <c r="G5">
        <v>290</v>
      </c>
      <c r="H5">
        <v>0</v>
      </c>
      <c r="I5">
        <v>3</v>
      </c>
      <c r="J5">
        <f>F5-G5</f>
        <v>130</v>
      </c>
      <c r="K5" s="1">
        <f>IF(G5&gt;0, (F5-G5)/G5, 0)</f>
        <v>0.4483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PHN-0012</v>
      </c>
      <c r="R5" t="str">
        <v>أبيض</v>
      </c>
      <c r="S5" t="str">
        <v/>
      </c>
      <c r="T5" t="str">
        <v/>
      </c>
    </row>
    <row r="6">
      <c r="A6">
        <v>3</v>
      </c>
      <c r="B6" t="str">
        <v>سماعة بلوتوث شاومي ريدمي بودز 4 أكتيف</v>
      </c>
      <c r="C6" t="str">
        <v>6972200220035</v>
      </c>
      <c r="D6" t="str">
        <v/>
      </c>
      <c r="E6" t="str">
        <v>قطعة</v>
      </c>
      <c r="F6">
        <v>340</v>
      </c>
      <c r="G6">
        <v>230</v>
      </c>
      <c r="H6">
        <v>0</v>
      </c>
      <c r="I6">
        <v>3</v>
      </c>
      <c r="J6">
        <f>F6-G6</f>
        <v>110</v>
      </c>
      <c r="K6" s="1">
        <f>IF(G6&gt;0, (F6-G6)/G6, 0)</f>
        <v>0.4783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PHN-0013</v>
      </c>
      <c r="R6" t="str">
        <v>أبيض</v>
      </c>
      <c r="S6" t="str">
        <v/>
      </c>
      <c r="T6" t="str">
        <v/>
      </c>
    </row>
    <row r="7">
      <c r="A7">
        <v>4</v>
      </c>
      <c r="B7" t="str">
        <v>سماعة أذن سلكية سامسونج AKG مدخل Type-C</v>
      </c>
      <c r="C7" t="str">
        <v>6972200220042</v>
      </c>
      <c r="D7" t="str">
        <v/>
      </c>
      <c r="E7" t="str">
        <v>قطعة</v>
      </c>
      <c r="F7">
        <v>95</v>
      </c>
      <c r="G7">
        <v>55</v>
      </c>
      <c r="H7">
        <v>0</v>
      </c>
      <c r="I7">
        <v>5</v>
      </c>
      <c r="J7">
        <f>F7-G7</f>
        <v>40</v>
      </c>
      <c r="K7" s="1">
        <f>IF(G7&gt;0, (F7-G7)/G7, 0)</f>
        <v>0.7273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PHN-0014</v>
      </c>
      <c r="R7" t="str">
        <v/>
      </c>
      <c r="S7" t="str">
        <v/>
      </c>
      <c r="T7" t="str">
        <v/>
      </c>
    </row>
    <row r="8">
      <c r="A8">
        <v>5</v>
      </c>
      <c r="B8" t="str">
        <v>سماعة أذن سلكية Joyroom مدخل 3.5 ملم AUX صوت نقي</v>
      </c>
      <c r="C8" t="str">
        <v>6972200220059</v>
      </c>
      <c r="D8" t="str">
        <v/>
      </c>
      <c r="E8" t="str">
        <v>قطعة</v>
      </c>
      <c r="F8">
        <v>45</v>
      </c>
      <c r="G8">
        <v>20</v>
      </c>
      <c r="H8">
        <v>0</v>
      </c>
      <c r="I8">
        <v>8</v>
      </c>
      <c r="J8">
        <f>F8-G8</f>
        <v>25</v>
      </c>
      <c r="K8" s="1">
        <f>IF(G8&gt;0, (F8-G8)/G8, 0)</f>
        <v>1.25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PHN-0015</v>
      </c>
      <c r="R8" t="str">
        <v/>
      </c>
      <c r="S8" t="str">
        <v/>
      </c>
      <c r="T8" t="str">
        <v/>
      </c>
    </row>
    <row r="9">
      <c r="A9">
        <v>6</v>
      </c>
      <c r="B9" t="str">
        <v>سماعة رقبة رياضية بلوتوث Remax مغناطيسية</v>
      </c>
      <c r="C9" t="str">
        <v>6972200220066</v>
      </c>
      <c r="D9" t="str">
        <v/>
      </c>
      <c r="E9" t="str">
        <v>قطعة</v>
      </c>
      <c r="F9">
        <v>220</v>
      </c>
      <c r="G9">
        <v>135</v>
      </c>
      <c r="H9">
        <v>0</v>
      </c>
      <c r="I9">
        <v>3</v>
      </c>
      <c r="J9">
        <f>F9-G9</f>
        <v>85</v>
      </c>
      <c r="K9" s="1">
        <f>IF(G9&gt;0, (F9-G9)/G9, 0)</f>
        <v>0.6296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PHN-0016</v>
      </c>
      <c r="R9" t="str">
        <v/>
      </c>
      <c r="S9" t="str">
        <v/>
      </c>
      <c r="T9" t="str">
        <v/>
      </c>
    </row>
    <row r="10">
      <c r="A10">
        <v>7</v>
      </c>
      <c r="B10" t="str">
        <v>صب سبيكر بلوتوث صغير محمول ضد الصدمات Joyroom</v>
      </c>
      <c r="C10" t="str">
        <v>6972200220073</v>
      </c>
      <c r="D10" t="str">
        <v/>
      </c>
      <c r="E10" t="str">
        <v>قطعة</v>
      </c>
      <c r="F10">
        <v>160</v>
      </c>
      <c r="G10">
        <v>95</v>
      </c>
      <c r="H10">
        <v>0</v>
      </c>
      <c r="I10">
        <v>2</v>
      </c>
      <c r="J10">
        <f>F10-G10</f>
        <v>65</v>
      </c>
      <c r="K10" s="1">
        <f>IF(G10&gt;0, (F10-G10)/G10, 0)</f>
        <v>0.6842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PHN-0017</v>
      </c>
      <c r="R10" t="str">
        <v/>
      </c>
      <c r="S10" t="str">
        <v/>
      </c>
      <c r="T10" t="str">
        <v/>
      </c>
    </row>
    <row r="11">
      <c r="A11">
        <v>8</v>
      </c>
      <c r="B11" t="str">
        <v>وصلة تحويل صوت Type-C إلى AUX 3.5 ملم ديجيتال</v>
      </c>
      <c r="C11" t="str">
        <v>6972200220080</v>
      </c>
      <c r="D11" t="str">
        <v/>
      </c>
      <c r="E11" t="str">
        <v>قطعة</v>
      </c>
      <c r="F11">
        <v>35</v>
      </c>
      <c r="G11">
        <v>15</v>
      </c>
      <c r="H11">
        <v>0</v>
      </c>
      <c r="I11">
        <v>6</v>
      </c>
      <c r="J11">
        <f>F11-G11</f>
        <v>20</v>
      </c>
      <c r="K11" s="1">
        <f>IF(G11&gt;0, (F11-G11)/G11, 0)</f>
        <v>1.3333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PHN-0018</v>
      </c>
      <c r="R11" t="str">
        <v/>
      </c>
      <c r="S11" t="str">
        <v/>
      </c>
      <c r="T11" t="str">
        <v/>
      </c>
    </row>
    <row r="12">
      <c r="A12">
        <v>9</v>
      </c>
      <c r="B12" t="str">
        <v>وصلة تحويل صوت آيفون Lightning إلى AUX معتمدة</v>
      </c>
      <c r="C12" t="str">
        <v>6972200220097</v>
      </c>
      <c r="D12" t="str">
        <v/>
      </c>
      <c r="E12" t="str">
        <v>قطعة</v>
      </c>
      <c r="F12">
        <v>50</v>
      </c>
      <c r="G12">
        <v>24</v>
      </c>
      <c r="H12">
        <v>0</v>
      </c>
      <c r="I12">
        <v>5</v>
      </c>
      <c r="J12">
        <f>F12-G12</f>
        <v>26</v>
      </c>
      <c r="K12" s="1">
        <f>IF(G12&gt;0, (F12-G12)/G12, 0)</f>
        <v>1.0833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PHN-0019</v>
      </c>
      <c r="R12" t="str">
        <v/>
      </c>
      <c r="S12" t="str">
        <v/>
      </c>
      <c r="T12" t="str">
        <v/>
      </c>
    </row>
    <row r="13">
      <c r="A13" t="str">
        <v>الإجمالي</v>
      </c>
      <c r="B13" t="str">
        <v>إجمالي 9 صنف مسجل</v>
      </c>
      <c r="C13" t="str">
        <v/>
      </c>
      <c r="D13" t="str">
        <v/>
      </c>
      <c r="E13" t="str">
        <v/>
      </c>
      <c r="F13" s="2">
        <f>AVERAGE(F4:F12)</f>
      </c>
      <c r="G13" s="2">
        <f>AVERAGE(G4:G12)</f>
      </c>
      <c r="H13" s="3">
        <f>SUM(H4:H12)</f>
      </c>
      <c r="I13" t="str">
        <v/>
      </c>
      <c r="J13" s="2">
        <f>AVERAGE(J4:J12)</f>
      </c>
      <c r="K13" s="1">
        <f>IF(L13&gt;0, N13/L13, 0)</f>
      </c>
      <c r="L13" s="2">
        <f>SUM(L4:L12)</f>
      </c>
      <c r="M13" s="2">
        <f>SUM(M4:M12)</f>
      </c>
      <c r="N13" s="2">
        <f>SUM(N4:N12)</f>
      </c>
      <c r="O13" t="str">
        <v>محسوب بمعادلات إكسل</v>
      </c>
      <c r="P13" t="str">
        <v/>
      </c>
      <c r="Q13" t="str">
        <v/>
      </c>
      <c r="R13" t="str">
        <v/>
      </c>
      <c r="S13" t="str">
        <v/>
      </c>
      <c r="T13" t="str">
        <v/>
      </c>
    </row>
  </sheetData>
  <mergeCells count="2">
    <mergeCell ref="A1:T1"/>
    <mergeCell ref="A2:T2"/>
  </mergeCells>
  <ignoredErrors>
    <ignoredError numberStoredAsText="1" sqref="A1:T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[لاصقات حماية وشاشات]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لاصقة حماية شاشة زجاج 9D عالي الصلابة</v>
      </c>
      <c r="C4" t="str">
        <v>6973300330013</v>
      </c>
      <c r="D4" t="str">
        <v/>
      </c>
      <c r="E4" t="str">
        <v>قطعة</v>
      </c>
      <c r="F4">
        <v>40</v>
      </c>
      <c r="G4">
        <v>12</v>
      </c>
      <c r="H4">
        <v>0</v>
      </c>
      <c r="I4">
        <v>15</v>
      </c>
      <c r="J4">
        <f>F4-G4</f>
        <v>28</v>
      </c>
      <c r="K4" s="1">
        <f>IF(G4&gt;0, (F4-G4)/G4, 0)</f>
        <v>2.3333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PHN-0020</v>
      </c>
      <c r="R4" t="str">
        <v>شفاف</v>
      </c>
      <c r="S4" t="str">
        <v>شاشة 6.7 بوصة</v>
      </c>
      <c r="T4" t="str">
        <v/>
      </c>
    </row>
    <row r="5">
      <c r="A5">
        <v>2</v>
      </c>
      <c r="B5" t="str">
        <v>لاصقة حماية شاشة خصوصية سيراميك ملقوف مط</v>
      </c>
      <c r="C5" t="str">
        <v>6973300330020</v>
      </c>
      <c r="D5" t="str">
        <v/>
      </c>
      <c r="E5" t="str">
        <v>قطعة</v>
      </c>
      <c r="F5">
        <v>60</v>
      </c>
      <c r="G5">
        <v>20</v>
      </c>
      <c r="H5">
        <v>0</v>
      </c>
      <c r="I5">
        <v>10</v>
      </c>
      <c r="J5">
        <f>F5-G5</f>
        <v>40</v>
      </c>
      <c r="K5" s="1">
        <f>IF(G5&gt;0, (F5-G5)/G5, 0)</f>
        <v>2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PHN-0021</v>
      </c>
      <c r="R5" t="str">
        <v>شفاف</v>
      </c>
      <c r="S5" t="str">
        <v>شاشة 6.7 بوصة</v>
      </c>
      <c r="T5" t="str">
        <v/>
      </c>
    </row>
    <row r="6">
      <c r="A6">
        <v>3</v>
      </c>
      <c r="B6" t="str">
        <v>لاصقة حماية شاشة جيلاتين هيدروجيل 360</v>
      </c>
      <c r="C6" t="str">
        <v>6973300330037</v>
      </c>
      <c r="D6" t="str">
        <v/>
      </c>
      <c r="E6" t="str">
        <v>قطعة</v>
      </c>
      <c r="F6">
        <v>50</v>
      </c>
      <c r="G6">
        <v>18</v>
      </c>
      <c r="H6">
        <v>0</v>
      </c>
      <c r="I6">
        <v>8</v>
      </c>
      <c r="J6">
        <f>F6-G6</f>
        <v>32</v>
      </c>
      <c r="K6" s="1">
        <f>IF(G6&gt;0, (F6-G6)/G6, 0)</f>
        <v>1.7778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PHN-0022</v>
      </c>
      <c r="R6" t="str">
        <v>شفاف</v>
      </c>
      <c r="S6" t="str">
        <v>شاشة 6.7 بوصة</v>
      </c>
      <c r="T6" t="str">
        <v/>
      </c>
    </row>
    <row r="7">
      <c r="A7">
        <v>4</v>
      </c>
      <c r="B7" t="str">
        <v>لاصقة حماية عدسات كاميرا خلفية معدنية 3D</v>
      </c>
      <c r="C7" t="str">
        <v>6973300330044</v>
      </c>
      <c r="D7" t="str">
        <v/>
      </c>
      <c r="E7" t="str">
        <v>قطعة</v>
      </c>
      <c r="F7">
        <v>30</v>
      </c>
      <c r="G7">
        <v>10</v>
      </c>
      <c r="H7">
        <v>0</v>
      </c>
      <c r="I7">
        <v>8</v>
      </c>
      <c r="J7">
        <f>F7-G7</f>
        <v>20</v>
      </c>
      <c r="K7" s="1">
        <f>IF(G7&gt;0, (F7-G7)/G7, 0)</f>
        <v>2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PHN-0023</v>
      </c>
      <c r="R7" t="str">
        <v>شفاف</v>
      </c>
      <c r="S7" t="str">
        <v>شاشة 6.7 بوصة</v>
      </c>
      <c r="T7" t="str">
        <v/>
      </c>
    </row>
    <row r="8">
      <c r="A8">
        <v>5</v>
      </c>
      <c r="B8" t="str">
        <v>إسكرينة تابلت / آيباد زجاجية مقواة ضد الكسر</v>
      </c>
      <c r="C8" t="str">
        <v>6973300330051</v>
      </c>
      <c r="D8" t="str">
        <v/>
      </c>
      <c r="E8" t="str">
        <v>قطعة</v>
      </c>
      <c r="F8">
        <v>85</v>
      </c>
      <c r="G8">
        <v>35</v>
      </c>
      <c r="H8">
        <v>0</v>
      </c>
      <c r="I8">
        <v>4</v>
      </c>
      <c r="J8">
        <f>F8-G8</f>
        <v>50</v>
      </c>
      <c r="K8" s="1">
        <f>IF(G8&gt;0, (F8-G8)/G8, 0)</f>
        <v>1.4286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PHN-0024</v>
      </c>
      <c r="R8" t="str">
        <v/>
      </c>
      <c r="S8" t="str">
        <v/>
      </c>
      <c r="T8" t="str">
        <v/>
      </c>
    </row>
    <row r="9">
      <c r="A9" t="str">
        <v>الإجمالي</v>
      </c>
      <c r="B9" t="str">
        <v>إجمالي 5 صنف مسجل</v>
      </c>
      <c r="C9" t="str">
        <v/>
      </c>
      <c r="D9" t="str">
        <v/>
      </c>
      <c r="E9" t="str">
        <v/>
      </c>
      <c r="F9" s="2">
        <f>AVERAGE(F4:F8)</f>
      </c>
      <c r="G9" s="2">
        <f>AVERAGE(G4:G8)</f>
      </c>
      <c r="H9" s="3">
        <f>SUM(H4:H8)</f>
      </c>
      <c r="I9" t="str">
        <v/>
      </c>
      <c r="J9" s="2">
        <f>AVERAGE(J4:J8)</f>
      </c>
      <c r="K9" s="1">
        <f>IF(L9&gt;0, N9/L9, 0)</f>
      </c>
      <c r="L9" s="2">
        <f>SUM(L4:L8)</f>
      </c>
      <c r="M9" s="2">
        <f>SUM(M4:M8)</f>
      </c>
      <c r="N9" s="2">
        <f>SUM(N4:N8)</f>
      </c>
      <c r="O9" t="str">
        <v>محسوب بمعادلات إكسل</v>
      </c>
      <c r="P9" t="str">
        <v/>
      </c>
      <c r="Q9" t="str">
        <v/>
      </c>
      <c r="R9" t="str">
        <v/>
      </c>
      <c r="S9" t="str">
        <v/>
      </c>
      <c r="T9" t="str">
        <v/>
      </c>
    </row>
  </sheetData>
  <mergeCells count="2">
    <mergeCell ref="A1:T1"/>
    <mergeCell ref="A2:T2"/>
  </mergeCells>
  <ignoredErrors>
    <ignoredError numberStoredAsText="1" sqref="A1:T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[جرابات وحافظات]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جراب سيليكون شفاف ماج سيف مضاد للصدمات</v>
      </c>
      <c r="C4" t="str">
        <v>6974400440015</v>
      </c>
      <c r="D4" t="str">
        <v/>
      </c>
      <c r="E4" t="str">
        <v>قطعة</v>
      </c>
      <c r="F4">
        <v>65</v>
      </c>
      <c r="G4">
        <v>25</v>
      </c>
      <c r="H4">
        <v>0</v>
      </c>
      <c r="I4">
        <v>8</v>
      </c>
      <c r="J4">
        <f>F4-G4</f>
        <v>40</v>
      </c>
      <c r="K4" s="1">
        <f>IF(G4&gt;0, (F4-G4)/G4, 0)</f>
        <v>1.6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PHN-0025</v>
      </c>
      <c r="R4" t="str">
        <v>شفاف</v>
      </c>
      <c r="S4" t="str">
        <v>آيفون 13/14</v>
      </c>
      <c r="T4" t="str">
        <v/>
      </c>
    </row>
    <row r="5">
      <c r="A5">
        <v>2</v>
      </c>
      <c r="B5" t="str">
        <v>جراب ظهر كربوني أسود ضد الانزلاق</v>
      </c>
      <c r="C5" t="str">
        <v>6974400440022</v>
      </c>
      <c r="D5" t="str">
        <v/>
      </c>
      <c r="E5" t="str">
        <v>قطعة</v>
      </c>
      <c r="F5">
        <v>50</v>
      </c>
      <c r="G5">
        <v>20</v>
      </c>
      <c r="H5">
        <v>0</v>
      </c>
      <c r="I5">
        <v>7</v>
      </c>
      <c r="J5">
        <f>F5-G5</f>
        <v>30</v>
      </c>
      <c r="K5" s="1">
        <f>IF(G5&gt;0, (F5-G5)/G5, 0)</f>
        <v>1.5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PHN-0026</v>
      </c>
      <c r="R5" t="str">
        <v/>
      </c>
      <c r="S5" t="str">
        <v/>
      </c>
      <c r="T5" t="str">
        <v/>
      </c>
    </row>
    <row r="6">
      <c r="A6">
        <v>3</v>
      </c>
      <c r="B6" t="str">
        <v>جراب جلد قلاب مغناطيسي بحامل بطاقات</v>
      </c>
      <c r="C6" t="str">
        <v>6974400440039</v>
      </c>
      <c r="D6" t="str">
        <v/>
      </c>
      <c r="E6" t="str">
        <v>قطعة</v>
      </c>
      <c r="F6">
        <v>90</v>
      </c>
      <c r="G6">
        <v>45</v>
      </c>
      <c r="H6">
        <v>0</v>
      </c>
      <c r="I6">
        <v>4</v>
      </c>
      <c r="J6">
        <f>F6-G6</f>
        <v>45</v>
      </c>
      <c r="K6" s="1">
        <f>IF(G6&gt;0, (F6-G6)/G6, 0)</f>
        <v>1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PHN-0027</v>
      </c>
      <c r="R6" t="str">
        <v/>
      </c>
      <c r="S6" t="str">
        <v/>
      </c>
      <c r="T6" t="str">
        <v/>
      </c>
    </row>
    <row r="7">
      <c r="A7">
        <v>4</v>
      </c>
      <c r="B7" t="str">
        <v>جراب سيليكون مط ألوان بطانة مخملية داخلية</v>
      </c>
      <c r="C7" t="str">
        <v>6974400440046</v>
      </c>
      <c r="D7" t="str">
        <v/>
      </c>
      <c r="E7" t="str">
        <v>قطعة</v>
      </c>
      <c r="F7">
        <v>55</v>
      </c>
      <c r="G7">
        <v>22</v>
      </c>
      <c r="H7">
        <v>0</v>
      </c>
      <c r="I7">
        <v>6</v>
      </c>
      <c r="J7">
        <f>F7-G7</f>
        <v>33</v>
      </c>
      <c r="K7" s="1">
        <f>IF(G7&gt;0, (F7-G7)/G7, 0)</f>
        <v>1.5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PHN-0028</v>
      </c>
      <c r="R7" t="str">
        <v>شفاف</v>
      </c>
      <c r="S7" t="str">
        <v>آيفون 13/14</v>
      </c>
      <c r="T7" t="str">
        <v/>
      </c>
    </row>
    <row r="8">
      <c r="A8">
        <v>5</v>
      </c>
      <c r="B8" t="str">
        <v>جراب ممتص صدمات عسكري Armor مع حلقة ستاند</v>
      </c>
      <c r="C8" t="str">
        <v>6974400440053</v>
      </c>
      <c r="D8" t="str">
        <v/>
      </c>
      <c r="E8" t="str">
        <v>قطعة</v>
      </c>
      <c r="F8">
        <v>75</v>
      </c>
      <c r="G8">
        <v>32</v>
      </c>
      <c r="H8">
        <v>0</v>
      </c>
      <c r="I8">
        <v>5</v>
      </c>
      <c r="J8">
        <f>F8-G8</f>
        <v>43</v>
      </c>
      <c r="K8" s="1">
        <f>IF(G8&gt;0, (F8-G8)/G8, 0)</f>
        <v>1.3438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PHN-0029</v>
      </c>
      <c r="R8" t="str">
        <v/>
      </c>
      <c r="S8" t="str">
        <v/>
      </c>
      <c r="T8" t="str">
        <v/>
      </c>
    </row>
    <row r="9">
      <c r="A9" t="str">
        <v>الإجمالي</v>
      </c>
      <c r="B9" t="str">
        <v>إجمالي 5 صنف مسجل</v>
      </c>
      <c r="C9" t="str">
        <v/>
      </c>
      <c r="D9" t="str">
        <v/>
      </c>
      <c r="E9" t="str">
        <v/>
      </c>
      <c r="F9" s="2">
        <f>AVERAGE(F4:F8)</f>
      </c>
      <c r="G9" s="2">
        <f>AVERAGE(G4:G8)</f>
      </c>
      <c r="H9" s="3">
        <f>SUM(H4:H8)</f>
      </c>
      <c r="I9" t="str">
        <v/>
      </c>
      <c r="J9" s="2">
        <f>AVERAGE(J4:J8)</f>
      </c>
      <c r="K9" s="1">
        <f>IF(L9&gt;0, N9/L9, 0)</f>
      </c>
      <c r="L9" s="2">
        <f>SUM(L4:L8)</f>
      </c>
      <c r="M9" s="2">
        <f>SUM(M4:M8)</f>
      </c>
      <c r="N9" s="2">
        <f>SUM(N4:N8)</f>
      </c>
      <c r="O9" t="str">
        <v>محسوب بمعادلات إكسل</v>
      </c>
      <c r="P9" t="str">
        <v/>
      </c>
      <c r="Q9" t="str">
        <v/>
      </c>
      <c r="R9" t="str">
        <v/>
      </c>
      <c r="S9" t="str">
        <v/>
      </c>
      <c r="T9" t="str">
        <v/>
      </c>
    </row>
  </sheetData>
  <mergeCells count="2">
    <mergeCell ref="A1:T1"/>
    <mergeCell ref="A2:T2"/>
  </mergeCells>
  <ignoredErrors>
    <ignoredError numberStoredAsText="1" sqref="A1:T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[باور بانك وبطاريات]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باور بانك Anker PowerCore 10,000 مللي أمبير 20W</v>
      </c>
      <c r="C4" t="str">
        <v>6975500550017</v>
      </c>
      <c r="D4" t="str">
        <v/>
      </c>
      <c r="E4" t="str">
        <v>قطعة</v>
      </c>
      <c r="F4">
        <v>460</v>
      </c>
      <c r="G4">
        <v>330</v>
      </c>
      <c r="H4">
        <v>0</v>
      </c>
      <c r="I4">
        <v>2</v>
      </c>
      <c r="J4">
        <f>F4-G4</f>
        <v>130</v>
      </c>
      <c r="K4" s="1">
        <f>IF(G4&gt;0, (F4-G4)/G4, 0)</f>
        <v>0.3939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PHN-0030</v>
      </c>
      <c r="R4" t="str">
        <v>أسود</v>
      </c>
      <c r="S4" t="str">
        <v>20000 مللي</v>
      </c>
      <c r="T4" t="str">
        <v/>
      </c>
    </row>
    <row r="5">
      <c r="A5">
        <v>2</v>
      </c>
      <c r="B5" t="str">
        <v>باور بانك Joyroom 20,000 مللي أمبير شحن فائق 22.5W</v>
      </c>
      <c r="C5" t="str">
        <v>6975500550024</v>
      </c>
      <c r="D5" t="str">
        <v/>
      </c>
      <c r="E5" t="str">
        <v>قطعة</v>
      </c>
      <c r="F5">
        <v>680</v>
      </c>
      <c r="G5">
        <v>480</v>
      </c>
      <c r="H5">
        <v>0</v>
      </c>
      <c r="I5">
        <v>2</v>
      </c>
      <c r="J5">
        <f>F5-G5</f>
        <v>200</v>
      </c>
      <c r="K5" s="1">
        <f>IF(G5&gt;0, (F5-G5)/G5, 0)</f>
        <v>0.4167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PHN-0031</v>
      </c>
      <c r="R5" t="str">
        <v>أسود</v>
      </c>
      <c r="S5" t="str">
        <v>20000 مللي</v>
      </c>
      <c r="T5" t="str">
        <v/>
      </c>
    </row>
    <row r="6">
      <c r="A6">
        <v>3</v>
      </c>
      <c r="B6" t="str">
        <v>باور بانك شاومي 10,000 مللي أمبير شحن سريع مخرجين</v>
      </c>
      <c r="C6" t="str">
        <v>6975500550031</v>
      </c>
      <c r="D6" t="str">
        <v/>
      </c>
      <c r="E6" t="str">
        <v>قطعة</v>
      </c>
      <c r="F6">
        <v>390</v>
      </c>
      <c r="G6">
        <v>280</v>
      </c>
      <c r="H6">
        <v>0</v>
      </c>
      <c r="I6">
        <v>2</v>
      </c>
      <c r="J6">
        <f>F6-G6</f>
        <v>110</v>
      </c>
      <c r="K6" s="1">
        <f>IF(G6&gt;0, (F6-G6)/G6, 0)</f>
        <v>0.3929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PHN-0032</v>
      </c>
      <c r="R6" t="str">
        <v>أسود</v>
      </c>
      <c r="S6" t="str">
        <v>20000 مللي</v>
      </c>
      <c r="T6" t="str">
        <v/>
      </c>
    </row>
    <row r="7">
      <c r="A7">
        <v>4</v>
      </c>
      <c r="B7" t="str">
        <v>بطارية ريموت سيارة وساعات ليثيوم CR2032 إنرجايزر</v>
      </c>
      <c r="C7" t="str">
        <v>6975500550048</v>
      </c>
      <c r="D7" t="str">
        <v/>
      </c>
      <c r="E7" t="str">
        <v>قطعة</v>
      </c>
      <c r="F7">
        <v>35</v>
      </c>
      <c r="G7">
        <v>18</v>
      </c>
      <c r="H7">
        <v>0</v>
      </c>
      <c r="I7">
        <v>5</v>
      </c>
      <c r="J7">
        <f>F7-G7</f>
        <v>17</v>
      </c>
      <c r="K7" s="1">
        <f>IF(G7&gt;0, (F7-G7)/G7, 0)</f>
        <v>0.9444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PHN-0033</v>
      </c>
      <c r="R7" t="str">
        <v/>
      </c>
      <c r="S7" t="str">
        <v/>
      </c>
      <c r="T7" t="str">
        <v/>
      </c>
    </row>
    <row r="8">
      <c r="A8" t="str">
        <v>الإجمالي</v>
      </c>
      <c r="B8" t="str">
        <v>إجمالي 4 صنف مسجل</v>
      </c>
      <c r="C8" t="str">
        <v/>
      </c>
      <c r="D8" t="str">
        <v/>
      </c>
      <c r="E8" t="str">
        <v/>
      </c>
      <c r="F8" s="2">
        <f>AVERAGE(F4:F7)</f>
      </c>
      <c r="G8" s="2">
        <f>AVERAGE(G4:G7)</f>
      </c>
      <c r="H8" s="3">
        <f>SUM(H4:H7)</f>
      </c>
      <c r="I8" t="str">
        <v/>
      </c>
      <c r="J8" s="2">
        <f>AVERAGE(J4:J7)</f>
      </c>
      <c r="K8" s="1">
        <f>IF(L8&gt;0, N8/L8, 0)</f>
      </c>
      <c r="L8" s="2">
        <f>SUM(L4:L7)</f>
      </c>
      <c r="M8" s="2">
        <f>SUM(M4:M7)</f>
      </c>
      <c r="N8" s="2">
        <f>SUM(N4:N7)</f>
      </c>
      <c r="O8" t="str">
        <v>محسوب بمعادلات إكسل</v>
      </c>
      <c r="P8" t="str">
        <v/>
      </c>
      <c r="Q8" t="str">
        <v/>
      </c>
      <c r="R8" t="str">
        <v/>
      </c>
      <c r="S8" t="str">
        <v/>
      </c>
      <c r="T8" t="str">
        <v/>
      </c>
    </row>
  </sheetData>
  <mergeCells count="2">
    <mergeCell ref="A1:T1"/>
    <mergeCell ref="A2:T2"/>
  </mergeCells>
  <ignoredErrors>
    <ignoredError numberStoredAsText="1" sqref="A1:T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[كروت ميموري وفلاشات]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كارت ميموري كينجستون 32 جيجا Class 10 أصلي</v>
      </c>
      <c r="C4" t="str">
        <v>6976600660019</v>
      </c>
      <c r="D4" t="str">
        <v/>
      </c>
      <c r="E4" t="str">
        <v>قطعة</v>
      </c>
      <c r="F4">
        <v>110</v>
      </c>
      <c r="G4">
        <v>75</v>
      </c>
      <c r="H4">
        <v>0</v>
      </c>
      <c r="I4">
        <v>5</v>
      </c>
      <c r="J4">
        <f>F4-G4</f>
        <v>35</v>
      </c>
      <c r="K4" s="1">
        <f>IF(G4&gt;0, (F4-G4)/G4, 0)</f>
        <v>0.4667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PHN-0034</v>
      </c>
      <c r="R4" t="str">
        <v/>
      </c>
      <c r="S4" t="str">
        <v/>
      </c>
      <c r="T4" t="str">
        <v/>
      </c>
    </row>
    <row r="5">
      <c r="A5">
        <v>2</v>
      </c>
      <c r="B5" t="str">
        <v>كارت ميموري سان ديسك ألترا 64 جيجا MicroSD</v>
      </c>
      <c r="C5" t="str">
        <v>6976600660026</v>
      </c>
      <c r="D5" t="str">
        <v/>
      </c>
      <c r="E5" t="str">
        <v>قطعة</v>
      </c>
      <c r="F5">
        <v>165</v>
      </c>
      <c r="G5">
        <v>115</v>
      </c>
      <c r="H5">
        <v>0</v>
      </c>
      <c r="I5">
        <v>4</v>
      </c>
      <c r="J5">
        <f>F5-G5</f>
        <v>50</v>
      </c>
      <c r="K5" s="1">
        <f>IF(G5&gt;0, (F5-G5)/G5, 0)</f>
        <v>0.4348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PHN-0035</v>
      </c>
      <c r="R5" t="str">
        <v/>
      </c>
      <c r="S5" t="str">
        <v/>
      </c>
      <c r="T5" t="str">
        <v/>
      </c>
    </row>
    <row r="6">
      <c r="A6">
        <v>3</v>
      </c>
      <c r="B6" t="str">
        <v>كارت ميموري سان ديسك 128 جيجا فائق السرعة</v>
      </c>
      <c r="C6" t="str">
        <v>6976600660033</v>
      </c>
      <c r="D6" t="str">
        <v/>
      </c>
      <c r="E6" t="str">
        <v>قطعة</v>
      </c>
      <c r="F6">
        <v>280</v>
      </c>
      <c r="G6">
        <v>200</v>
      </c>
      <c r="H6">
        <v>0</v>
      </c>
      <c r="I6">
        <v>3</v>
      </c>
      <c r="J6">
        <f>F6-G6</f>
        <v>80</v>
      </c>
      <c r="K6" s="1">
        <f>IF(G6&gt;0, (F6-G6)/G6, 0)</f>
        <v>0.4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PHN-0036</v>
      </c>
      <c r="R6" t="str">
        <v/>
      </c>
      <c r="S6" t="str">
        <v/>
      </c>
      <c r="T6" t="str">
        <v/>
      </c>
    </row>
    <row r="7">
      <c r="A7">
        <v>4</v>
      </c>
      <c r="B7" t="str">
        <v>فلاشة كينجستون 32 جيجا معدن أصلية USB 3.2</v>
      </c>
      <c r="C7" t="str">
        <v>6976600660040</v>
      </c>
      <c r="D7" t="str">
        <v/>
      </c>
      <c r="E7" t="str">
        <v>قطعة</v>
      </c>
      <c r="F7">
        <v>130</v>
      </c>
      <c r="G7">
        <v>85</v>
      </c>
      <c r="H7">
        <v>0</v>
      </c>
      <c r="I7">
        <v>5</v>
      </c>
      <c r="J7">
        <f>F7-G7</f>
        <v>45</v>
      </c>
      <c r="K7" s="1">
        <f>IF(G7&gt;0, (F7-G7)/G7, 0)</f>
        <v>0.5294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PHN-0037</v>
      </c>
      <c r="R7" t="str">
        <v/>
      </c>
      <c r="S7" t="str">
        <v/>
      </c>
      <c r="T7" t="str">
        <v/>
      </c>
    </row>
    <row r="8">
      <c r="A8">
        <v>5</v>
      </c>
      <c r="B8" t="str">
        <v>فلاشة مزدوجة Type-C &amp; USB 64 جيجا سان ديسك</v>
      </c>
      <c r="C8" t="str">
        <v>6976600660057</v>
      </c>
      <c r="D8" t="str">
        <v/>
      </c>
      <c r="E8" t="str">
        <v>قطعة</v>
      </c>
      <c r="F8">
        <v>250</v>
      </c>
      <c r="G8">
        <v>170</v>
      </c>
      <c r="H8">
        <v>0</v>
      </c>
      <c r="I8">
        <v>3</v>
      </c>
      <c r="J8">
        <f>F8-G8</f>
        <v>80</v>
      </c>
      <c r="K8" s="1">
        <f>IF(G8&gt;0, (F8-G8)/G8, 0)</f>
        <v>0.4706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PHN-0038</v>
      </c>
      <c r="R8" t="str">
        <v/>
      </c>
      <c r="S8" t="str">
        <v/>
      </c>
      <c r="T8" t="str">
        <v/>
      </c>
    </row>
    <row r="9">
      <c r="A9" t="str">
        <v>الإجمالي</v>
      </c>
      <c r="B9" t="str">
        <v>إجمالي 5 صنف مسجل</v>
      </c>
      <c r="C9" t="str">
        <v/>
      </c>
      <c r="D9" t="str">
        <v/>
      </c>
      <c r="E9" t="str">
        <v/>
      </c>
      <c r="F9" s="2">
        <f>AVERAGE(F4:F8)</f>
      </c>
      <c r="G9" s="2">
        <f>AVERAGE(G4:G8)</f>
      </c>
      <c r="H9" s="3">
        <f>SUM(H4:H8)</f>
      </c>
      <c r="I9" t="str">
        <v/>
      </c>
      <c r="J9" s="2">
        <f>AVERAGE(J4:J8)</f>
      </c>
      <c r="K9" s="1">
        <f>IF(L9&gt;0, N9/L9, 0)</f>
      </c>
      <c r="L9" s="2">
        <f>SUM(L4:L8)</f>
      </c>
      <c r="M9" s="2">
        <f>SUM(M4:M8)</f>
      </c>
      <c r="N9" s="2">
        <f>SUM(N4:N8)</f>
      </c>
      <c r="O9" t="str">
        <v>محسوب بمعادلات إكسل</v>
      </c>
      <c r="P9" t="str">
        <v/>
      </c>
      <c r="Q9" t="str">
        <v/>
      </c>
      <c r="R9" t="str">
        <v/>
      </c>
      <c r="S9" t="str">
        <v/>
      </c>
      <c r="T9" t="str">
        <v/>
      </c>
    </row>
  </sheetData>
  <mergeCells count="2">
    <mergeCell ref="A1:T1"/>
    <mergeCell ref="A2:T2"/>
  </mergeCells>
  <ignoredErrors>
    <ignoredError numberStoredAsText="1" sqref="A1:T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[صيانة وخدمات سريعة]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حامل موبايل مغناطيسي لتابلوه السيارة Baseus</v>
      </c>
      <c r="C4" t="str">
        <v>6977700770011</v>
      </c>
      <c r="D4" t="str">
        <v/>
      </c>
      <c r="E4" t="str">
        <v>قطعة</v>
      </c>
      <c r="F4">
        <v>75</v>
      </c>
      <c r="G4">
        <v>40</v>
      </c>
      <c r="H4">
        <v>0</v>
      </c>
      <c r="I4">
        <v>5</v>
      </c>
      <c r="J4">
        <f>F4-G4</f>
        <v>35</v>
      </c>
      <c r="K4" s="1">
        <f>IF(G4&gt;0, (F4-G4)/G4, 0)</f>
        <v>0.875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PHN-0039</v>
      </c>
      <c r="R4" t="str">
        <v/>
      </c>
      <c r="S4" t="str">
        <v/>
      </c>
      <c r="T4" t="str">
        <v/>
      </c>
    </row>
    <row r="5">
      <c r="A5">
        <v>2</v>
      </c>
      <c r="B5" t="str">
        <v>حامل موبايل وتابلت مكتبي معدني قابل للطي</v>
      </c>
      <c r="C5" t="str">
        <v>6977700770028</v>
      </c>
      <c r="D5" t="str">
        <v/>
      </c>
      <c r="E5" t="str">
        <v>قطعة</v>
      </c>
      <c r="F5">
        <v>65</v>
      </c>
      <c r="G5">
        <v>35</v>
      </c>
      <c r="H5">
        <v>0</v>
      </c>
      <c r="I5">
        <v>4</v>
      </c>
      <c r="J5">
        <f>F5-G5</f>
        <v>30</v>
      </c>
      <c r="K5" s="1">
        <f>IF(G5&gt;0, (F5-G5)/G5, 0)</f>
        <v>0.8571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PHN-0040</v>
      </c>
      <c r="R5" t="str">
        <v/>
      </c>
      <c r="S5" t="str">
        <v/>
      </c>
      <c r="T5" t="str">
        <v/>
      </c>
    </row>
    <row r="6">
      <c r="A6">
        <v>3</v>
      </c>
      <c r="B6" t="str">
        <v>رينج لايت تصوير 26 سم مع ستاند ثلاثي احترافي</v>
      </c>
      <c r="C6" t="str">
        <v>6977700770035</v>
      </c>
      <c r="D6" t="str">
        <v/>
      </c>
      <c r="E6" t="str">
        <v>قطعة</v>
      </c>
      <c r="F6">
        <v>190</v>
      </c>
      <c r="G6">
        <v>120</v>
      </c>
      <c r="H6">
        <v>0</v>
      </c>
      <c r="I6">
        <v>2</v>
      </c>
      <c r="J6">
        <f>F6-G6</f>
        <v>70</v>
      </c>
      <c r="K6" s="1">
        <f>IF(G6&gt;0, (F6-G6)/G6, 0)</f>
        <v>0.5833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PHN-0041</v>
      </c>
      <c r="R6" t="str">
        <v/>
      </c>
      <c r="S6" t="str">
        <v/>
      </c>
      <c r="T6" t="str">
        <v/>
      </c>
    </row>
    <row r="7">
      <c r="A7">
        <v>4</v>
      </c>
      <c r="B7" t="str">
        <v>مصنعية تركيب لاصقة حماية شاشة</v>
      </c>
      <c r="C7" t="str">
        <v>6978800880013</v>
      </c>
      <c r="D7" t="str">
        <v/>
      </c>
      <c r="E7" t="str">
        <v>قطعة</v>
      </c>
      <c r="F7">
        <v>15</v>
      </c>
      <c r="G7">
        <v>2</v>
      </c>
      <c r="H7">
        <v>0</v>
      </c>
      <c r="I7">
        <v>1</v>
      </c>
      <c r="J7">
        <f>F7-G7</f>
        <v>13</v>
      </c>
      <c r="K7" s="1">
        <f>IF(G7&gt;0, (F7-G7)/G7, 0)</f>
        <v>6.5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PHN-0042</v>
      </c>
      <c r="R7" t="str">
        <v>شفاف</v>
      </c>
      <c r="S7" t="str">
        <v>شاشة 6.7 بوصة</v>
      </c>
      <c r="T7" t="str">
        <v/>
      </c>
    </row>
    <row r="8">
      <c r="A8">
        <v>5</v>
      </c>
      <c r="B8" t="str">
        <v>مصنعية صيانة وتركيب شاشة/بطارية هاتف</v>
      </c>
      <c r="C8" t="str">
        <v>6978800880020</v>
      </c>
      <c r="D8" t="str">
        <v/>
      </c>
      <c r="E8" t="str">
        <v>قطعة</v>
      </c>
      <c r="F8">
        <v>50</v>
      </c>
      <c r="G8">
        <v>10</v>
      </c>
      <c r="H8">
        <v>0</v>
      </c>
      <c r="I8">
        <v>1</v>
      </c>
      <c r="J8">
        <f>F8-G8</f>
        <v>40</v>
      </c>
      <c r="K8" s="1">
        <f>IF(G8&gt;0, (F8-G8)/G8, 0)</f>
        <v>4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PHN-0043</v>
      </c>
      <c r="R8" t="str">
        <v/>
      </c>
      <c r="S8" t="str">
        <v/>
      </c>
      <c r="T8" t="str">
        <v/>
      </c>
    </row>
    <row r="9">
      <c r="A9">
        <v>6</v>
      </c>
      <c r="B9" t="str">
        <v>تنظيف سوكيت الشحن والسماعة بمواد احترافية</v>
      </c>
      <c r="C9" t="str">
        <v>6978800880037</v>
      </c>
      <c r="D9" t="str">
        <v/>
      </c>
      <c r="E9" t="str">
        <v>قطعة</v>
      </c>
      <c r="F9">
        <v>25</v>
      </c>
      <c r="G9">
        <v>4</v>
      </c>
      <c r="H9">
        <v>0</v>
      </c>
      <c r="I9">
        <v>1</v>
      </c>
      <c r="J9">
        <f>F9-G9</f>
        <v>21</v>
      </c>
      <c r="K9" s="1">
        <f>IF(G9&gt;0, (F9-G9)/G9, 0)</f>
        <v>5.25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PHN-0044</v>
      </c>
      <c r="R9" t="str">
        <v/>
      </c>
      <c r="S9" t="str">
        <v/>
      </c>
      <c r="T9" t="str">
        <v/>
      </c>
    </row>
    <row r="10">
      <c r="A10" t="str">
        <v>الإجمالي</v>
      </c>
      <c r="B10" t="str">
        <v>إجمالي 6 صنف مسجل</v>
      </c>
      <c r="C10" t="str">
        <v/>
      </c>
      <c r="D10" t="str">
        <v/>
      </c>
      <c r="E10" t="str">
        <v/>
      </c>
      <c r="F10" s="2">
        <f>AVERAGE(F4:F9)</f>
      </c>
      <c r="G10" s="2">
        <f>AVERAGE(G4:G9)</f>
      </c>
      <c r="H10" s="3">
        <f>SUM(H4:H9)</f>
      </c>
      <c r="I10" t="str">
        <v/>
      </c>
      <c r="J10" s="2">
        <f>AVERAGE(J4:J9)</f>
      </c>
      <c r="K10" s="1">
        <f>IF(L10&gt;0, N10/L10, 0)</f>
      </c>
      <c r="L10" s="2">
        <f>SUM(L4:L9)</f>
      </c>
      <c r="M10" s="2">
        <f>SUM(M4:M9)</f>
      </c>
      <c r="N10" s="2">
        <f>SUM(N4:N9)</f>
      </c>
      <c r="O10" t="str">
        <v>محسوب بمعادلات إكسل</v>
      </c>
      <c r="P10" t="str">
        <v/>
      </c>
      <c r="Q10" t="str">
        <v/>
      </c>
      <c r="R10" t="str">
        <v/>
      </c>
      <c r="S10" t="str">
        <v/>
      </c>
      <c r="T10" t="str">
        <v/>
      </c>
    </row>
  </sheetData>
  <mergeCells count="2">
    <mergeCell ref="A1:T1"/>
    <mergeCell ref="A2:T2"/>
  </mergeCells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كابلات وشواحن</vt:lpstr>
      <vt:lpstr>سماعات وصوتيات</vt:lpstr>
      <vt:lpstr>لاصقات حماية وشاشات</vt:lpstr>
      <vt:lpstr>جرابات وحافظات</vt:lpstr>
      <vt:lpstr>باور بانك وبطاريات</vt:lpstr>
      <vt:lpstr>كروت ميموري وفلاشات</vt:lpstr>
      <vt:lpstr>صيانة وخدمات سريعة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