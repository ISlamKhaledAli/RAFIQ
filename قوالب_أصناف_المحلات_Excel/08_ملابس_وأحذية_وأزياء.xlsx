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ابس رجالي" sheetId="1" r:id="rId1"/>
    <sheet name="ملابس حريمي" sheetId="2" r:id="rId2"/>
    <sheet name="ملابس أطفال" sheetId="3" r:id="rId3"/>
    <sheet name="أحذية وحقائب" sheetId="4" r:id="rId4"/>
    <sheet name="إكسسوارات ملابس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[ملابس رجالي]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تيشيرت قطن سادة رجالي رقبة دائرية</v>
      </c>
      <c r="C4" t="str">
        <v>6225501100011</v>
      </c>
      <c r="D4" t="str">
        <v/>
      </c>
      <c r="E4" t="str">
        <v>قطعة</v>
      </c>
      <c r="F4">
        <v>150</v>
      </c>
      <c r="G4">
        <v>95</v>
      </c>
      <c r="H4">
        <v>0</v>
      </c>
      <c r="I4">
        <v>3</v>
      </c>
      <c r="J4">
        <f>F4-G4</f>
        <v>55</v>
      </c>
      <c r="K4" s="1">
        <f>IF(G4&gt;0, (F4-G4)/G4, 0)</f>
        <v>0.5789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TSH-BLK-M</v>
      </c>
      <c r="R4" t="str">
        <v>أسود</v>
      </c>
      <c r="S4" t="str">
        <v>M</v>
      </c>
      <c r="T4" t="str">
        <v/>
      </c>
    </row>
    <row r="5">
      <c r="A5">
        <v>2</v>
      </c>
      <c r="B5" t="str">
        <v>تيشيرت قطن سادة رجالي رقبة دائرية</v>
      </c>
      <c r="C5" t="str">
        <v>6225501100012</v>
      </c>
      <c r="D5" t="str">
        <v/>
      </c>
      <c r="E5" t="str">
        <v>قطعة</v>
      </c>
      <c r="F5">
        <v>150</v>
      </c>
      <c r="G5">
        <v>95</v>
      </c>
      <c r="H5">
        <v>0</v>
      </c>
      <c r="I5">
        <v>4</v>
      </c>
      <c r="J5">
        <f>F5-G5</f>
        <v>55</v>
      </c>
      <c r="K5" s="1">
        <f>IF(G5&gt;0, (F5-G5)/G5, 0)</f>
        <v>0.5789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TSH-BLK-L</v>
      </c>
      <c r="R5" t="str">
        <v>أسود</v>
      </c>
      <c r="S5" t="str">
        <v>L</v>
      </c>
      <c r="T5" t="str">
        <v/>
      </c>
    </row>
    <row r="6">
      <c r="A6">
        <v>3</v>
      </c>
      <c r="B6" t="str">
        <v>تيشيرت قطن سادة رجالي رقبة دائرية</v>
      </c>
      <c r="C6" t="str">
        <v>6225501100013</v>
      </c>
      <c r="D6" t="str">
        <v/>
      </c>
      <c r="E6" t="str">
        <v>قطعة</v>
      </c>
      <c r="F6">
        <v>150</v>
      </c>
      <c r="G6">
        <v>95</v>
      </c>
      <c r="H6">
        <v>0</v>
      </c>
      <c r="I6">
        <v>3</v>
      </c>
      <c r="J6">
        <f>F6-G6</f>
        <v>55</v>
      </c>
      <c r="K6" s="1">
        <f>IF(G6&gt;0, (F6-G6)/G6, 0)</f>
        <v>0.5789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TSH-BLK-XL</v>
      </c>
      <c r="R6" t="str">
        <v>أسود</v>
      </c>
      <c r="S6" t="str">
        <v>XL</v>
      </c>
      <c r="T6" t="str">
        <v/>
      </c>
    </row>
    <row r="7">
      <c r="A7">
        <v>4</v>
      </c>
      <c r="B7" t="str">
        <v>تيشيرت قطن سادة رجالي رقبة دائرية</v>
      </c>
      <c r="C7" t="str">
        <v>6225501100014</v>
      </c>
      <c r="D7" t="str">
        <v/>
      </c>
      <c r="E7" t="str">
        <v>قطعة</v>
      </c>
      <c r="F7">
        <v>150</v>
      </c>
      <c r="G7">
        <v>95</v>
      </c>
      <c r="H7">
        <v>0</v>
      </c>
      <c r="I7">
        <v>3</v>
      </c>
      <c r="J7">
        <f>F7-G7</f>
        <v>55</v>
      </c>
      <c r="K7" s="1">
        <f>IF(G7&gt;0, (F7-G7)/G7, 0)</f>
        <v>0.5789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TSH-WHT-M</v>
      </c>
      <c r="R7" t="str">
        <v>أبيض</v>
      </c>
      <c r="S7" t="str">
        <v>M</v>
      </c>
      <c r="T7" t="str">
        <v/>
      </c>
    </row>
    <row r="8">
      <c r="A8">
        <v>5</v>
      </c>
      <c r="B8" t="str">
        <v>تيشيرت قطن سادة رجالي رقبة دائرية</v>
      </c>
      <c r="C8" t="str">
        <v>6225501100015</v>
      </c>
      <c r="D8" t="str">
        <v/>
      </c>
      <c r="E8" t="str">
        <v>قطعة</v>
      </c>
      <c r="F8">
        <v>150</v>
      </c>
      <c r="G8">
        <v>95</v>
      </c>
      <c r="H8">
        <v>0</v>
      </c>
      <c r="I8">
        <v>5</v>
      </c>
      <c r="J8">
        <f>F8-G8</f>
        <v>55</v>
      </c>
      <c r="K8" s="1">
        <f>IF(G8&gt;0, (F8-G8)/G8, 0)</f>
        <v>0.5789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TSH-WHT-L</v>
      </c>
      <c r="R8" t="str">
        <v>أبيض</v>
      </c>
      <c r="S8" t="str">
        <v>L</v>
      </c>
      <c r="T8" t="str">
        <v/>
      </c>
    </row>
    <row r="9">
      <c r="A9">
        <v>6</v>
      </c>
      <c r="B9" t="str">
        <v>تيشيرت قطن سادة رجالي رقبة دائرية</v>
      </c>
      <c r="C9" t="str">
        <v>6225501100016</v>
      </c>
      <c r="D9" t="str">
        <v/>
      </c>
      <c r="E9" t="str">
        <v>قطعة</v>
      </c>
      <c r="F9">
        <v>150</v>
      </c>
      <c r="G9">
        <v>95</v>
      </c>
      <c r="H9">
        <v>0</v>
      </c>
      <c r="I9">
        <v>4</v>
      </c>
      <c r="J9">
        <f>F9-G9</f>
        <v>55</v>
      </c>
      <c r="K9" s="1">
        <f>IF(G9&gt;0, (F9-G9)/G9, 0)</f>
        <v>0.5789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TSH-WHT-XL</v>
      </c>
      <c r="R9" t="str">
        <v>أبيض</v>
      </c>
      <c r="S9" t="str">
        <v>XL</v>
      </c>
      <c r="T9" t="str">
        <v/>
      </c>
    </row>
    <row r="10">
      <c r="A10">
        <v>7</v>
      </c>
      <c r="B10" t="str">
        <v>تيشيرت قطن سادة رجالي رقبة دائرية</v>
      </c>
      <c r="C10" t="str">
        <v>6225501100017</v>
      </c>
      <c r="D10" t="str">
        <v/>
      </c>
      <c r="E10" t="str">
        <v>قطعة</v>
      </c>
      <c r="F10">
        <v>150</v>
      </c>
      <c r="G10">
        <v>95</v>
      </c>
      <c r="H10">
        <v>0</v>
      </c>
      <c r="I10">
        <v>4</v>
      </c>
      <c r="J10">
        <f>F10-G10</f>
        <v>55</v>
      </c>
      <c r="K10" s="1">
        <f>IF(G10&gt;0, (F10-G10)/G10, 0)</f>
        <v>0.5789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TSH-NVY-L</v>
      </c>
      <c r="R10" t="str">
        <v>كحلي</v>
      </c>
      <c r="S10" t="str">
        <v>L</v>
      </c>
      <c r="T10" t="str">
        <v/>
      </c>
    </row>
    <row r="11">
      <c r="A11">
        <v>8</v>
      </c>
      <c r="B11" t="str">
        <v>تيشيرت قطن سادة رجالي رقبة دائرية</v>
      </c>
      <c r="C11" t="str">
        <v>6225501100018</v>
      </c>
      <c r="D11" t="str">
        <v/>
      </c>
      <c r="E11" t="str">
        <v>قطعة</v>
      </c>
      <c r="F11">
        <v>150</v>
      </c>
      <c r="G11">
        <v>95</v>
      </c>
      <c r="H11">
        <v>0</v>
      </c>
      <c r="I11">
        <v>3</v>
      </c>
      <c r="J11">
        <f>F11-G11</f>
        <v>55</v>
      </c>
      <c r="K11" s="1">
        <f>IF(G11&gt;0, (F11-G11)/G11, 0)</f>
        <v>0.5789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TSH-GRY-L</v>
      </c>
      <c r="R11" t="str">
        <v>رمادي</v>
      </c>
      <c r="S11" t="str">
        <v>L</v>
      </c>
      <c r="T11" t="str">
        <v/>
      </c>
    </row>
    <row r="12">
      <c r="A12">
        <v>9</v>
      </c>
      <c r="B12" t="str">
        <v>تيشيرت بولو كاجوال رجالي بيكيه نص كم</v>
      </c>
      <c r="C12" t="str">
        <v>6225501100021</v>
      </c>
      <c r="D12" t="str">
        <v/>
      </c>
      <c r="E12" t="str">
        <v>قطعة</v>
      </c>
      <c r="F12">
        <v>220</v>
      </c>
      <c r="G12">
        <v>140</v>
      </c>
      <c r="H12">
        <v>0</v>
      </c>
      <c r="I12">
        <v>3</v>
      </c>
      <c r="J12">
        <f>F12-G12</f>
        <v>80</v>
      </c>
      <c r="K12" s="1">
        <f>IF(G12&gt;0, (F12-G12)/G12, 0)</f>
        <v>0.5714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POLO-NVY-M</v>
      </c>
      <c r="R12" t="str">
        <v>كحلي</v>
      </c>
      <c r="S12" t="str">
        <v>M</v>
      </c>
      <c r="T12" t="str">
        <v/>
      </c>
    </row>
    <row r="13">
      <c r="A13">
        <v>10</v>
      </c>
      <c r="B13" t="str">
        <v>تيشيرت بولو كاجوال رجالي بيكيه نص كم</v>
      </c>
      <c r="C13" t="str">
        <v>6225501100022</v>
      </c>
      <c r="D13" t="str">
        <v/>
      </c>
      <c r="E13" t="str">
        <v>قطعة</v>
      </c>
      <c r="F13">
        <v>220</v>
      </c>
      <c r="G13">
        <v>140</v>
      </c>
      <c r="H13">
        <v>0</v>
      </c>
      <c r="I13">
        <v>4</v>
      </c>
      <c r="J13">
        <f>F13-G13</f>
        <v>80</v>
      </c>
      <c r="K13" s="1">
        <f>IF(G13&gt;0, (F13-G13)/G13, 0)</f>
        <v>0.5714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POLO-NVY-L</v>
      </c>
      <c r="R13" t="str">
        <v>كحلي</v>
      </c>
      <c r="S13" t="str">
        <v>L</v>
      </c>
      <c r="T13" t="str">
        <v/>
      </c>
    </row>
    <row r="14">
      <c r="A14">
        <v>11</v>
      </c>
      <c r="B14" t="str">
        <v>تيشيرت بولو كاجوال رجالي بيكيه نص كم</v>
      </c>
      <c r="C14" t="str">
        <v>6225501100023</v>
      </c>
      <c r="D14" t="str">
        <v/>
      </c>
      <c r="E14" t="str">
        <v>قطعة</v>
      </c>
      <c r="F14">
        <v>220</v>
      </c>
      <c r="G14">
        <v>140</v>
      </c>
      <c r="H14">
        <v>0</v>
      </c>
      <c r="I14">
        <v>3</v>
      </c>
      <c r="J14">
        <f>F14-G14</f>
        <v>80</v>
      </c>
      <c r="K14" s="1">
        <f>IF(G14&gt;0, (F14-G14)/G14, 0)</f>
        <v>0.5714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POLO-NVY-XL</v>
      </c>
      <c r="R14" t="str">
        <v>كحلي</v>
      </c>
      <c r="S14" t="str">
        <v>XL</v>
      </c>
      <c r="T14" t="str">
        <v/>
      </c>
    </row>
    <row r="15">
      <c r="A15">
        <v>12</v>
      </c>
      <c r="B15" t="str">
        <v>تيشيرت بولو كاجوال رجالي بيكيه نص كم</v>
      </c>
      <c r="C15" t="str">
        <v>6225501100024</v>
      </c>
      <c r="D15" t="str">
        <v/>
      </c>
      <c r="E15" t="str">
        <v>قطعة</v>
      </c>
      <c r="F15">
        <v>220</v>
      </c>
      <c r="G15">
        <v>140</v>
      </c>
      <c r="H15">
        <v>0</v>
      </c>
      <c r="I15">
        <v>3</v>
      </c>
      <c r="J15">
        <f>F15-G15</f>
        <v>80</v>
      </c>
      <c r="K15" s="1">
        <f>IF(G15&gt;0, (F15-G15)/G15, 0)</f>
        <v>0.5714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POLO-BLK-L</v>
      </c>
      <c r="R15" t="str">
        <v>أسود</v>
      </c>
      <c r="S15" t="str">
        <v>L</v>
      </c>
      <c r="T15" t="str">
        <v/>
      </c>
    </row>
    <row r="16">
      <c r="A16">
        <v>13</v>
      </c>
      <c r="B16" t="str">
        <v>تيشيرت بولو كاجوال رجالي بيكيه نص كم</v>
      </c>
      <c r="C16" t="str">
        <v>6225501100025</v>
      </c>
      <c r="D16" t="str">
        <v/>
      </c>
      <c r="E16" t="str">
        <v>قطعة</v>
      </c>
      <c r="F16">
        <v>220</v>
      </c>
      <c r="G16">
        <v>140</v>
      </c>
      <c r="H16">
        <v>0</v>
      </c>
      <c r="I16">
        <v>3</v>
      </c>
      <c r="J16">
        <f>F16-G16</f>
        <v>80</v>
      </c>
      <c r="K16" s="1">
        <f>IF(G16&gt;0, (F16-G16)/G16, 0)</f>
        <v>0.5714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POLO-BLK-XL</v>
      </c>
      <c r="R16" t="str">
        <v>أسود</v>
      </c>
      <c r="S16" t="str">
        <v>XL</v>
      </c>
      <c r="T16" t="str">
        <v/>
      </c>
    </row>
    <row r="17">
      <c r="A17">
        <v>14</v>
      </c>
      <c r="B17" t="str">
        <v>تيشيرت بولو كاجوال رجالي بيكيه نص كم</v>
      </c>
      <c r="C17" t="str">
        <v>6225501100026</v>
      </c>
      <c r="D17" t="str">
        <v/>
      </c>
      <c r="E17" t="str">
        <v>قطعة</v>
      </c>
      <c r="F17">
        <v>220</v>
      </c>
      <c r="G17">
        <v>140</v>
      </c>
      <c r="H17">
        <v>0</v>
      </c>
      <c r="I17">
        <v>3</v>
      </c>
      <c r="J17">
        <f>F17-G17</f>
        <v>80</v>
      </c>
      <c r="K17" s="1">
        <f>IF(G17&gt;0, (F17-G17)/G17, 0)</f>
        <v>0.5714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POLO-WHT-L</v>
      </c>
      <c r="R17" t="str">
        <v>أبيض</v>
      </c>
      <c r="S17" t="str">
        <v>L</v>
      </c>
      <c r="T17" t="str">
        <v/>
      </c>
    </row>
    <row r="18">
      <c r="A18">
        <v>15</v>
      </c>
      <c r="B18" t="str">
        <v>تيشيرت بولو كاجوال رجالي بيكيه نص كم</v>
      </c>
      <c r="C18" t="str">
        <v>6225501100027</v>
      </c>
      <c r="D18" t="str">
        <v/>
      </c>
      <c r="E18" t="str">
        <v>قطعة</v>
      </c>
      <c r="F18">
        <v>220</v>
      </c>
      <c r="G18">
        <v>140</v>
      </c>
      <c r="H18">
        <v>0</v>
      </c>
      <c r="I18">
        <v>2</v>
      </c>
      <c r="J18">
        <f>F18-G18</f>
        <v>80</v>
      </c>
      <c r="K18" s="1">
        <f>IF(G18&gt;0, (F18-G18)/G18, 0)</f>
        <v>0.5714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POLO-BUR-L</v>
      </c>
      <c r="R18" t="str">
        <v>عنابي</v>
      </c>
      <c r="S18" t="str">
        <v>L</v>
      </c>
      <c r="T18" t="str">
        <v/>
      </c>
    </row>
    <row r="19">
      <c r="A19">
        <v>16</v>
      </c>
      <c r="B19" t="str">
        <v>قميص أكسفورد قطن كاجوال سليم فيت رجالي</v>
      </c>
      <c r="C19" t="str">
        <v>6225501100031</v>
      </c>
      <c r="D19" t="str">
        <v/>
      </c>
      <c r="E19" t="str">
        <v>قطعة</v>
      </c>
      <c r="F19">
        <v>280</v>
      </c>
      <c r="G19">
        <v>180</v>
      </c>
      <c r="H19">
        <v>0</v>
      </c>
      <c r="I19">
        <v>2</v>
      </c>
      <c r="J19">
        <f>F19-G19</f>
        <v>100</v>
      </c>
      <c r="K19" s="1">
        <f>IF(G19&gt;0, (F19-G19)/G19, 0)</f>
        <v>0.5556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SHT-SKY-M</v>
      </c>
      <c r="R19" t="str">
        <v>سماوي</v>
      </c>
      <c r="S19" t="str">
        <v>M</v>
      </c>
      <c r="T19" t="str">
        <v/>
      </c>
    </row>
    <row r="20">
      <c r="A20">
        <v>17</v>
      </c>
      <c r="B20" t="str">
        <v>قميص أكسفورد قطن كاجوال سليم فيت رجالي</v>
      </c>
      <c r="C20" t="str">
        <v>6225501100032</v>
      </c>
      <c r="D20" t="str">
        <v/>
      </c>
      <c r="E20" t="str">
        <v>قطعة</v>
      </c>
      <c r="F20">
        <v>280</v>
      </c>
      <c r="G20">
        <v>180</v>
      </c>
      <c r="H20">
        <v>0</v>
      </c>
      <c r="I20">
        <v>3</v>
      </c>
      <c r="J20">
        <f>F20-G20</f>
        <v>100</v>
      </c>
      <c r="K20" s="1">
        <f>IF(G20&gt;0, (F20-G20)/G20, 0)</f>
        <v>0.5556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SHT-SKY-L</v>
      </c>
      <c r="R20" t="str">
        <v>سماوي</v>
      </c>
      <c r="S20" t="str">
        <v>L</v>
      </c>
      <c r="T20" t="str">
        <v/>
      </c>
    </row>
    <row r="21">
      <c r="A21">
        <v>18</v>
      </c>
      <c r="B21" t="str">
        <v>قميص أكسفورد قطن كاجوال سليم فيت رجالي</v>
      </c>
      <c r="C21" t="str">
        <v>6225501100033</v>
      </c>
      <c r="D21" t="str">
        <v/>
      </c>
      <c r="E21" t="str">
        <v>قطعة</v>
      </c>
      <c r="F21">
        <v>280</v>
      </c>
      <c r="G21">
        <v>180</v>
      </c>
      <c r="H21">
        <v>0</v>
      </c>
      <c r="I21">
        <v>2</v>
      </c>
      <c r="J21">
        <f>F21-G21</f>
        <v>100</v>
      </c>
      <c r="K21" s="1">
        <f>IF(G21&gt;0, (F21-G21)/G21, 0)</f>
        <v>0.5556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SHT-SKY-XL</v>
      </c>
      <c r="R21" t="str">
        <v>سماوي</v>
      </c>
      <c r="S21" t="str">
        <v>XL</v>
      </c>
      <c r="T21" t="str">
        <v/>
      </c>
    </row>
    <row r="22">
      <c r="A22">
        <v>19</v>
      </c>
      <c r="B22" t="str">
        <v>قميص أكسفورد قطن كاجوال سليم فيت رجالي</v>
      </c>
      <c r="C22" t="str">
        <v>6225501100034</v>
      </c>
      <c r="D22" t="str">
        <v/>
      </c>
      <c r="E22" t="str">
        <v>قطعة</v>
      </c>
      <c r="F22">
        <v>280</v>
      </c>
      <c r="G22">
        <v>180</v>
      </c>
      <c r="H22">
        <v>0</v>
      </c>
      <c r="I22">
        <v>3</v>
      </c>
      <c r="J22">
        <f>F22-G22</f>
        <v>100</v>
      </c>
      <c r="K22" s="1">
        <f>IF(G22&gt;0, (F22-G22)/G22, 0)</f>
        <v>0.5556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SHT-WHT-L</v>
      </c>
      <c r="R22" t="str">
        <v>أبيض</v>
      </c>
      <c r="S22" t="str">
        <v>L</v>
      </c>
      <c r="T22" t="str">
        <v/>
      </c>
    </row>
    <row r="23">
      <c r="A23">
        <v>20</v>
      </c>
      <c r="B23" t="str">
        <v>قميص أكسفورد قطن كاجوال سليم فيت رجالي</v>
      </c>
      <c r="C23" t="str">
        <v>6225501100035</v>
      </c>
      <c r="D23" t="str">
        <v/>
      </c>
      <c r="E23" t="str">
        <v>قطعة</v>
      </c>
      <c r="F23">
        <v>280</v>
      </c>
      <c r="G23">
        <v>180</v>
      </c>
      <c r="H23">
        <v>0</v>
      </c>
      <c r="I23">
        <v>2</v>
      </c>
      <c r="J23">
        <f>F23-G23</f>
        <v>100</v>
      </c>
      <c r="K23" s="1">
        <f>IF(G23&gt;0, (F23-G23)/G23, 0)</f>
        <v>0.5556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SHT-GRY-L</v>
      </c>
      <c r="R23" t="str">
        <v>رمادي</v>
      </c>
      <c r="S23" t="str">
        <v>L</v>
      </c>
      <c r="T23" t="str">
        <v/>
      </c>
    </row>
    <row r="24">
      <c r="A24">
        <v>21</v>
      </c>
      <c r="B24" t="str">
        <v>قميص كلاسيك أبيض للمناسبات والبدل</v>
      </c>
      <c r="C24" t="str">
        <v>6225501100041</v>
      </c>
      <c r="D24" t="str">
        <v/>
      </c>
      <c r="E24" t="str">
        <v>قطعة</v>
      </c>
      <c r="F24">
        <v>320</v>
      </c>
      <c r="G24">
        <v>210</v>
      </c>
      <c r="H24">
        <v>0</v>
      </c>
      <c r="I24">
        <v>2</v>
      </c>
      <c r="J24">
        <f>F24-G24</f>
        <v>110</v>
      </c>
      <c r="K24" s="1">
        <f>IF(G24&gt;0, (F24-G24)/G24, 0)</f>
        <v>0.5238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SHT-CLS-40</v>
      </c>
      <c r="R24" t="str">
        <v>أبيض</v>
      </c>
      <c r="S24" t="str">
        <v>40</v>
      </c>
      <c r="T24" t="str">
        <v/>
      </c>
    </row>
    <row r="25">
      <c r="A25">
        <v>22</v>
      </c>
      <c r="B25" t="str">
        <v>قميص كلاسيك أبيض للمناسبات والبدل</v>
      </c>
      <c r="C25" t="str">
        <v>6225501100042</v>
      </c>
      <c r="D25" t="str">
        <v/>
      </c>
      <c r="E25" t="str">
        <v>قطعة</v>
      </c>
      <c r="F25">
        <v>320</v>
      </c>
      <c r="G25">
        <v>210</v>
      </c>
      <c r="H25">
        <v>0</v>
      </c>
      <c r="I25">
        <v>2</v>
      </c>
      <c r="J25">
        <f>F25-G25</f>
        <v>110</v>
      </c>
      <c r="K25" s="1">
        <f>IF(G25&gt;0, (F25-G25)/G25, 0)</f>
        <v>0.5238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SHT-CLS-42</v>
      </c>
      <c r="R25" t="str">
        <v>أبيض</v>
      </c>
      <c r="S25" t="str">
        <v>42</v>
      </c>
      <c r="T25" t="str">
        <v/>
      </c>
    </row>
    <row r="26">
      <c r="A26">
        <v>23</v>
      </c>
      <c r="B26" t="str">
        <v>قميص كلاسيك أبيض للمناسبات والبدل</v>
      </c>
      <c r="C26" t="str">
        <v>6225501100043</v>
      </c>
      <c r="D26" t="str">
        <v/>
      </c>
      <c r="E26" t="str">
        <v>قطعة</v>
      </c>
      <c r="F26">
        <v>320</v>
      </c>
      <c r="G26">
        <v>210</v>
      </c>
      <c r="H26">
        <v>0</v>
      </c>
      <c r="I26">
        <v>2</v>
      </c>
      <c r="J26">
        <f>F26-G26</f>
        <v>110</v>
      </c>
      <c r="K26" s="1">
        <f>IF(G26&gt;0, (F26-G26)/G26, 0)</f>
        <v>0.5238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SHT-CLS-44</v>
      </c>
      <c r="R26" t="str">
        <v>أبيض</v>
      </c>
      <c r="S26" t="str">
        <v>44</v>
      </c>
      <c r="T26" t="str">
        <v/>
      </c>
    </row>
    <row r="27">
      <c r="A27">
        <v>24</v>
      </c>
      <c r="B27" t="str">
        <v>بنطلون جينز رجالي أزرق غامق مريح</v>
      </c>
      <c r="C27" t="str">
        <v>6225501100051</v>
      </c>
      <c r="D27" t="str">
        <v/>
      </c>
      <c r="E27" t="str">
        <v>قطعة</v>
      </c>
      <c r="F27">
        <v>350</v>
      </c>
      <c r="G27">
        <v>230</v>
      </c>
      <c r="H27">
        <v>0</v>
      </c>
      <c r="I27">
        <v>2</v>
      </c>
      <c r="J27">
        <f>F27-G27</f>
        <v>120</v>
      </c>
      <c r="K27" s="1">
        <f>IF(G27&gt;0, (F27-G27)/G27, 0)</f>
        <v>0.5217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JNS-DNM-32</v>
      </c>
      <c r="R27" t="str">
        <v>أزرق غامق</v>
      </c>
      <c r="S27" t="str">
        <v>32</v>
      </c>
      <c r="T27" t="str">
        <v/>
      </c>
    </row>
    <row r="28">
      <c r="A28">
        <v>25</v>
      </c>
      <c r="B28" t="str">
        <v>بنطلون جينز رجالي أزرق غامق مريح</v>
      </c>
      <c r="C28" t="str">
        <v>6225501100052</v>
      </c>
      <c r="D28" t="str">
        <v/>
      </c>
      <c r="E28" t="str">
        <v>قطعة</v>
      </c>
      <c r="F28">
        <v>350</v>
      </c>
      <c r="G28">
        <v>230</v>
      </c>
      <c r="H28">
        <v>0</v>
      </c>
      <c r="I28">
        <v>3</v>
      </c>
      <c r="J28">
        <f>F28-G28</f>
        <v>120</v>
      </c>
      <c r="K28" s="1">
        <f>IF(G28&gt;0, (F28-G28)/G28, 0)</f>
        <v>0.5217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JNS-DNM-34</v>
      </c>
      <c r="R28" t="str">
        <v>أزرق غامق</v>
      </c>
      <c r="S28" t="str">
        <v>34</v>
      </c>
      <c r="T28" t="str">
        <v/>
      </c>
    </row>
    <row r="29">
      <c r="A29">
        <v>26</v>
      </c>
      <c r="B29" t="str">
        <v>بنطلون جينز رجالي أزرق غامق مريح</v>
      </c>
      <c r="C29" t="str">
        <v>6225501100053</v>
      </c>
      <c r="D29" t="str">
        <v/>
      </c>
      <c r="E29" t="str">
        <v>قطعة</v>
      </c>
      <c r="F29">
        <v>350</v>
      </c>
      <c r="G29">
        <v>230</v>
      </c>
      <c r="H29">
        <v>0</v>
      </c>
      <c r="I29">
        <v>3</v>
      </c>
      <c r="J29">
        <f>F29-G29</f>
        <v>120</v>
      </c>
      <c r="K29" s="1">
        <f>IF(G29&gt;0, (F29-G29)/G29, 0)</f>
        <v>0.5217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JNS-DNM-36</v>
      </c>
      <c r="R29" t="str">
        <v>أزرق غامق</v>
      </c>
      <c r="S29" t="str">
        <v>36</v>
      </c>
      <c r="T29" t="str">
        <v/>
      </c>
    </row>
    <row r="30">
      <c r="A30">
        <v>27</v>
      </c>
      <c r="B30" t="str">
        <v>بنطلون جينز رجالي أزرق غامق مريح</v>
      </c>
      <c r="C30" t="str">
        <v>6225501100054</v>
      </c>
      <c r="D30" t="str">
        <v/>
      </c>
      <c r="E30" t="str">
        <v>قطعة</v>
      </c>
      <c r="F30">
        <v>350</v>
      </c>
      <c r="G30">
        <v>230</v>
      </c>
      <c r="H30">
        <v>0</v>
      </c>
      <c r="I30">
        <v>2</v>
      </c>
      <c r="J30">
        <f>F30-G30</f>
        <v>120</v>
      </c>
      <c r="K30" s="1">
        <f>IF(G30&gt;0, (F30-G30)/G30, 0)</f>
        <v>0.5217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JNS-DNM-38</v>
      </c>
      <c r="R30" t="str">
        <v>أزرق غامق</v>
      </c>
      <c r="S30" t="str">
        <v>38</v>
      </c>
      <c r="T30" t="str">
        <v/>
      </c>
    </row>
    <row r="31">
      <c r="A31">
        <v>28</v>
      </c>
      <c r="B31" t="str">
        <v>بنطلون جبردين كلاسيك رجالي مريح</v>
      </c>
      <c r="C31" t="str">
        <v>6225501100061</v>
      </c>
      <c r="D31" t="str">
        <v/>
      </c>
      <c r="E31" t="str">
        <v>قطعة</v>
      </c>
      <c r="F31">
        <v>300</v>
      </c>
      <c r="G31">
        <v>195</v>
      </c>
      <c r="H31">
        <v>0</v>
      </c>
      <c r="I31">
        <v>2</v>
      </c>
      <c r="J31">
        <f>F31-G31</f>
        <v>105</v>
      </c>
      <c r="K31" s="1">
        <f>IF(G31&gt;0, (F31-G31)/G31, 0)</f>
        <v>0.5385</v>
      </c>
      <c r="L31" s="2">
        <f>H31*G31</f>
        <v>0</v>
      </c>
      <c r="M31" s="2">
        <f>H31*F31</f>
        <v>0</v>
      </c>
      <c r="N31" s="2">
        <f>M31-L31</f>
        <v>0</v>
      </c>
      <c r="O31" t="str">
        <f>IF(H31&lt;=0, "نفد من المخزن", IF(H31&lt;=I31, "قارب على النفاد", "متوفر بالمخزن"))</f>
        <v>نفد من المخزن</v>
      </c>
      <c r="P31">
        <v>0</v>
      </c>
      <c r="Q31" t="str">
        <v>GAB-NVY-32</v>
      </c>
      <c r="R31" t="str">
        <v>كحلي</v>
      </c>
      <c r="S31" t="str">
        <v>32</v>
      </c>
      <c r="T31" t="str">
        <v/>
      </c>
    </row>
    <row r="32">
      <c r="A32">
        <v>29</v>
      </c>
      <c r="B32" t="str">
        <v>بنطلون جبردين كلاسيك رجالي مريح</v>
      </c>
      <c r="C32" t="str">
        <v>6225501100062</v>
      </c>
      <c r="D32" t="str">
        <v/>
      </c>
      <c r="E32" t="str">
        <v>قطعة</v>
      </c>
      <c r="F32">
        <v>300</v>
      </c>
      <c r="G32">
        <v>195</v>
      </c>
      <c r="H32">
        <v>0</v>
      </c>
      <c r="I32">
        <v>3</v>
      </c>
      <c r="J32">
        <f>F32-G32</f>
        <v>105</v>
      </c>
      <c r="K32" s="1">
        <f>IF(G32&gt;0, (F32-G32)/G32, 0)</f>
        <v>0.5385</v>
      </c>
      <c r="L32" s="2">
        <f>H32*G32</f>
        <v>0</v>
      </c>
      <c r="M32" s="2">
        <f>H32*F32</f>
        <v>0</v>
      </c>
      <c r="N32" s="2">
        <f>M32-L32</f>
        <v>0</v>
      </c>
      <c r="O32" t="str">
        <f>IF(H32&lt;=0, "نفد من المخزن", IF(H32&lt;=I32, "قارب على النفاد", "متوفر بالمخزن"))</f>
        <v>نفد من المخزن</v>
      </c>
      <c r="P32">
        <v>0</v>
      </c>
      <c r="Q32" t="str">
        <v>GAB-NVY-34</v>
      </c>
      <c r="R32" t="str">
        <v>كحلي</v>
      </c>
      <c r="S32" t="str">
        <v>34</v>
      </c>
      <c r="T32" t="str">
        <v/>
      </c>
    </row>
    <row r="33">
      <c r="A33">
        <v>30</v>
      </c>
      <c r="B33" t="str">
        <v>بنطلون جبردين كلاسيك رجالي مريح</v>
      </c>
      <c r="C33" t="str">
        <v>6225501100063</v>
      </c>
      <c r="D33" t="str">
        <v/>
      </c>
      <c r="E33" t="str">
        <v>قطعة</v>
      </c>
      <c r="F33">
        <v>300</v>
      </c>
      <c r="G33">
        <v>195</v>
      </c>
      <c r="H33">
        <v>0</v>
      </c>
      <c r="I33">
        <v>2</v>
      </c>
      <c r="J33">
        <f>F33-G33</f>
        <v>105</v>
      </c>
      <c r="K33" s="1">
        <f>IF(G33&gt;0, (F33-G33)/G33, 0)</f>
        <v>0.5385</v>
      </c>
      <c r="L33" s="2">
        <f>H33*G33</f>
        <v>0</v>
      </c>
      <c r="M33" s="2">
        <f>H33*F33</f>
        <v>0</v>
      </c>
      <c r="N33" s="2">
        <f>M33-L33</f>
        <v>0</v>
      </c>
      <c r="O33" t="str">
        <f>IF(H33&lt;=0, "نفد من المخزن", IF(H33&lt;=I33, "قارب على النفاد", "متوفر بالمخزن"))</f>
        <v>نفد من المخزن</v>
      </c>
      <c r="P33">
        <v>0</v>
      </c>
      <c r="Q33" t="str">
        <v>GAB-BEI-32</v>
      </c>
      <c r="R33" t="str">
        <v>بيج</v>
      </c>
      <c r="S33" t="str">
        <v>32</v>
      </c>
      <c r="T33" t="str">
        <v/>
      </c>
    </row>
    <row r="34">
      <c r="A34">
        <v>31</v>
      </c>
      <c r="B34" t="str">
        <v>بنطلون جبردين كلاسيك رجالي مريح</v>
      </c>
      <c r="C34" t="str">
        <v>6225501100064</v>
      </c>
      <c r="D34" t="str">
        <v/>
      </c>
      <c r="E34" t="str">
        <v>قطعة</v>
      </c>
      <c r="F34">
        <v>300</v>
      </c>
      <c r="G34">
        <v>195</v>
      </c>
      <c r="H34">
        <v>0</v>
      </c>
      <c r="I34">
        <v>3</v>
      </c>
      <c r="J34">
        <f>F34-G34</f>
        <v>105</v>
      </c>
      <c r="K34" s="1">
        <f>IF(G34&gt;0, (F34-G34)/G34, 0)</f>
        <v>0.5385</v>
      </c>
      <c r="L34" s="2">
        <f>H34*G34</f>
        <v>0</v>
      </c>
      <c r="M34" s="2">
        <f>H34*F34</f>
        <v>0</v>
      </c>
      <c r="N34" s="2">
        <f>M34-L34</f>
        <v>0</v>
      </c>
      <c r="O34" t="str">
        <f>IF(H34&lt;=0, "نفد من المخزن", IF(H34&lt;=I34, "قارب على النفاد", "متوفر بالمخزن"))</f>
        <v>نفد من المخزن</v>
      </c>
      <c r="P34">
        <v>0</v>
      </c>
      <c r="Q34" t="str">
        <v>GAB-BEI-34</v>
      </c>
      <c r="R34" t="str">
        <v>بيج</v>
      </c>
      <c r="S34" t="str">
        <v>34</v>
      </c>
      <c r="T34" t="str">
        <v/>
      </c>
    </row>
    <row r="35">
      <c r="A35">
        <v>32</v>
      </c>
      <c r="B35" t="str">
        <v>بنطلون جبردين كلاسيك رجالي مريح</v>
      </c>
      <c r="C35" t="str">
        <v>6225501100065</v>
      </c>
      <c r="D35" t="str">
        <v/>
      </c>
      <c r="E35" t="str">
        <v>قطعة</v>
      </c>
      <c r="F35">
        <v>300</v>
      </c>
      <c r="G35">
        <v>195</v>
      </c>
      <c r="H35">
        <v>0</v>
      </c>
      <c r="I35">
        <v>2</v>
      </c>
      <c r="J35">
        <f>F35-G35</f>
        <v>105</v>
      </c>
      <c r="K35" s="1">
        <f>IF(G35&gt;0, (F35-G35)/G35, 0)</f>
        <v>0.5385</v>
      </c>
      <c r="L35" s="2">
        <f>H35*G35</f>
        <v>0</v>
      </c>
      <c r="M35" s="2">
        <f>H35*F35</f>
        <v>0</v>
      </c>
      <c r="N35" s="2">
        <f>M35-L35</f>
        <v>0</v>
      </c>
      <c r="O35" t="str">
        <f>IF(H35&lt;=0, "نفد من المخزن", IF(H35&lt;=I35, "قارب على النفاد", "متوفر بالمخزن"))</f>
        <v>نفد من المخزن</v>
      </c>
      <c r="P35">
        <v>0</v>
      </c>
      <c r="Q35" t="str">
        <v>GAB-OLV-34</v>
      </c>
      <c r="R35" t="str">
        <v>زيتي</v>
      </c>
      <c r="S35" t="str">
        <v>34</v>
      </c>
      <c r="T35" t="str">
        <v/>
      </c>
    </row>
    <row r="36">
      <c r="A36">
        <v>33</v>
      </c>
      <c r="B36" t="str">
        <v>سويت شيرت هودي رجالي ميلتون شتوي</v>
      </c>
      <c r="C36" t="str">
        <v>6225501100071</v>
      </c>
      <c r="D36" t="str">
        <v/>
      </c>
      <c r="E36" t="str">
        <v>قطعة</v>
      </c>
      <c r="F36">
        <v>340</v>
      </c>
      <c r="G36">
        <v>220</v>
      </c>
      <c r="H36">
        <v>0</v>
      </c>
      <c r="I36">
        <v>2</v>
      </c>
      <c r="J36">
        <f>F36-G36</f>
        <v>120</v>
      </c>
      <c r="K36" s="1">
        <f>IF(G36&gt;0, (F36-G36)/G36, 0)</f>
        <v>0.5455</v>
      </c>
      <c r="L36" s="2">
        <f>H36*G36</f>
        <v>0</v>
      </c>
      <c r="M36" s="2">
        <f>H36*F36</f>
        <v>0</v>
      </c>
      <c r="N36" s="2">
        <f>M36-L36</f>
        <v>0</v>
      </c>
      <c r="O36" t="str">
        <f>IF(H36&lt;=0, "نفد من المخزن", IF(H36&lt;=I36, "قارب على النفاد", "متوفر بالمخزن"))</f>
        <v>نفد من المخزن</v>
      </c>
      <c r="P36">
        <v>0</v>
      </c>
      <c r="Q36" t="str">
        <v>HOD-BLK-L</v>
      </c>
      <c r="R36" t="str">
        <v>أسود</v>
      </c>
      <c r="S36" t="str">
        <v>L</v>
      </c>
      <c r="T36" t="str">
        <v/>
      </c>
    </row>
    <row r="37">
      <c r="A37">
        <v>34</v>
      </c>
      <c r="B37" t="str">
        <v>سويت شيرت هودي رجالي ميلتون شتوي</v>
      </c>
      <c r="C37" t="str">
        <v>6225501100072</v>
      </c>
      <c r="D37" t="str">
        <v/>
      </c>
      <c r="E37" t="str">
        <v>قطعة</v>
      </c>
      <c r="F37">
        <v>340</v>
      </c>
      <c r="G37">
        <v>220</v>
      </c>
      <c r="H37">
        <v>0</v>
      </c>
      <c r="I37">
        <v>3</v>
      </c>
      <c r="J37">
        <f>F37-G37</f>
        <v>120</v>
      </c>
      <c r="K37" s="1">
        <f>IF(G37&gt;0, (F37-G37)/G37, 0)</f>
        <v>0.5455</v>
      </c>
      <c r="L37" s="2">
        <f>H37*G37</f>
        <v>0</v>
      </c>
      <c r="M37" s="2">
        <f>H37*F37</f>
        <v>0</v>
      </c>
      <c r="N37" s="2">
        <f>M37-L37</f>
        <v>0</v>
      </c>
      <c r="O37" t="str">
        <f>IF(H37&lt;=0, "نفد من المخزن", IF(H37&lt;=I37, "قارب على النفاد", "متوفر بالمخزن"))</f>
        <v>نفد من المخزن</v>
      </c>
      <c r="P37">
        <v>0</v>
      </c>
      <c r="Q37" t="str">
        <v>HOD-BLK-XL</v>
      </c>
      <c r="R37" t="str">
        <v>أسود</v>
      </c>
      <c r="S37" t="str">
        <v>XL</v>
      </c>
      <c r="T37" t="str">
        <v/>
      </c>
    </row>
    <row r="38">
      <c r="A38">
        <v>35</v>
      </c>
      <c r="B38" t="str">
        <v>سويت شيرت هودي رجالي ميلتون شتوي</v>
      </c>
      <c r="C38" t="str">
        <v>6225501100073</v>
      </c>
      <c r="D38" t="str">
        <v/>
      </c>
      <c r="E38" t="str">
        <v>قطعة</v>
      </c>
      <c r="F38">
        <v>340</v>
      </c>
      <c r="G38">
        <v>220</v>
      </c>
      <c r="H38">
        <v>0</v>
      </c>
      <c r="I38">
        <v>2</v>
      </c>
      <c r="J38">
        <f>F38-G38</f>
        <v>120</v>
      </c>
      <c r="K38" s="1">
        <f>IF(G38&gt;0, (F38-G38)/G38, 0)</f>
        <v>0.5455</v>
      </c>
      <c r="L38" s="2">
        <f>H38*G38</f>
        <v>0</v>
      </c>
      <c r="M38" s="2">
        <f>H38*F38</f>
        <v>0</v>
      </c>
      <c r="N38" s="2">
        <f>M38-L38</f>
        <v>0</v>
      </c>
      <c r="O38" t="str">
        <f>IF(H38&lt;=0, "نفد من المخزن", IF(H38&lt;=I38, "قارب على النفاد", "متوفر بالمخزن"))</f>
        <v>نفد من المخزن</v>
      </c>
      <c r="P38">
        <v>0</v>
      </c>
      <c r="Q38" t="str">
        <v>HOD-GRY-L</v>
      </c>
      <c r="R38" t="str">
        <v>رمادي</v>
      </c>
      <c r="S38" t="str">
        <v>L</v>
      </c>
      <c r="T38" t="str">
        <v/>
      </c>
    </row>
    <row r="39">
      <c r="A39">
        <v>36</v>
      </c>
      <c r="B39" t="str">
        <v>سويت شيرت هودي رجالي ميلتون شتوي</v>
      </c>
      <c r="C39" t="str">
        <v>6225501100074</v>
      </c>
      <c r="D39" t="str">
        <v/>
      </c>
      <c r="E39" t="str">
        <v>قطعة</v>
      </c>
      <c r="F39">
        <v>340</v>
      </c>
      <c r="G39">
        <v>220</v>
      </c>
      <c r="H39">
        <v>0</v>
      </c>
      <c r="I39">
        <v>2</v>
      </c>
      <c r="J39">
        <f>F39-G39</f>
        <v>120</v>
      </c>
      <c r="K39" s="1">
        <f>IF(G39&gt;0, (F39-G39)/G39, 0)</f>
        <v>0.5455</v>
      </c>
      <c r="L39" s="2">
        <f>H39*G39</f>
        <v>0</v>
      </c>
      <c r="M39" s="2">
        <f>H39*F39</f>
        <v>0</v>
      </c>
      <c r="N39" s="2">
        <f>M39-L39</f>
        <v>0</v>
      </c>
      <c r="O39" t="str">
        <f>IF(H39&lt;=0, "نفد من المخزن", IF(H39&lt;=I39, "قارب على النفاد", "متوفر بالمخزن"))</f>
        <v>نفد من المخزن</v>
      </c>
      <c r="P39">
        <v>0</v>
      </c>
      <c r="Q39" t="str">
        <v>HOD-NVY-XL</v>
      </c>
      <c r="R39" t="str">
        <v>كحلي</v>
      </c>
      <c r="S39" t="str">
        <v>XL</v>
      </c>
      <c r="T39" t="str">
        <v/>
      </c>
    </row>
    <row r="40">
      <c r="A40">
        <v>37</v>
      </c>
      <c r="B40" t="str">
        <v>جاكيت ووتر بروف رجالي كاجوال خفيف</v>
      </c>
      <c r="C40" t="str">
        <v>6225501100081</v>
      </c>
      <c r="D40" t="str">
        <v/>
      </c>
      <c r="E40" t="str">
        <v>قطعة</v>
      </c>
      <c r="F40">
        <v>480</v>
      </c>
      <c r="G40">
        <v>320</v>
      </c>
      <c r="H40">
        <v>0</v>
      </c>
      <c r="I40">
        <v>2</v>
      </c>
      <c r="J40">
        <f>F40-G40</f>
        <v>160</v>
      </c>
      <c r="K40" s="1">
        <f>IF(G40&gt;0, (F40-G40)/G40, 0)</f>
        <v>0.5</v>
      </c>
      <c r="L40" s="2">
        <f>H40*G40</f>
        <v>0</v>
      </c>
      <c r="M40" s="2">
        <f>H40*F40</f>
        <v>0</v>
      </c>
      <c r="N40" s="2">
        <f>M40-L40</f>
        <v>0</v>
      </c>
      <c r="O40" t="str">
        <f>IF(H40&lt;=0, "نفد من المخزن", IF(H40&lt;=I40, "قارب على النفاد", "متوفر بالمخزن"))</f>
        <v>نفد من المخزن</v>
      </c>
      <c r="P40">
        <v>0</v>
      </c>
      <c r="Q40" t="str">
        <v>JKT-BLK-L</v>
      </c>
      <c r="R40" t="str">
        <v>أسود</v>
      </c>
      <c r="S40" t="str">
        <v>L</v>
      </c>
      <c r="T40" t="str">
        <v/>
      </c>
    </row>
    <row r="41">
      <c r="A41">
        <v>38</v>
      </c>
      <c r="B41" t="str">
        <v>جاكيت ووتر بروف رجالي كاجوال خفيف</v>
      </c>
      <c r="C41" t="str">
        <v>6225501100082</v>
      </c>
      <c r="D41" t="str">
        <v/>
      </c>
      <c r="E41" t="str">
        <v>قطعة</v>
      </c>
      <c r="F41">
        <v>480</v>
      </c>
      <c r="G41">
        <v>320</v>
      </c>
      <c r="H41">
        <v>0</v>
      </c>
      <c r="I41">
        <v>2</v>
      </c>
      <c r="J41">
        <f>F41-G41</f>
        <v>160</v>
      </c>
      <c r="K41" s="1">
        <f>IF(G41&gt;0, (F41-G41)/G41, 0)</f>
        <v>0.5</v>
      </c>
      <c r="L41" s="2">
        <f>H41*G41</f>
        <v>0</v>
      </c>
      <c r="M41" s="2">
        <f>H41*F41</f>
        <v>0</v>
      </c>
      <c r="N41" s="2">
        <f>M41-L41</f>
        <v>0</v>
      </c>
      <c r="O41" t="str">
        <f>IF(H41&lt;=0, "نفد من المخزن", IF(H41&lt;=I41, "قارب على النفاد", "متوفر بالمخزن"))</f>
        <v>نفد من المخزن</v>
      </c>
      <c r="P41">
        <v>0</v>
      </c>
      <c r="Q41" t="str">
        <v>JKT-BLK-XL</v>
      </c>
      <c r="R41" t="str">
        <v>أسود</v>
      </c>
      <c r="S41" t="str">
        <v>XL</v>
      </c>
      <c r="T41" t="str">
        <v/>
      </c>
    </row>
    <row r="42">
      <c r="A42">
        <v>39</v>
      </c>
      <c r="B42" t="str">
        <v>جاكيت ووتر بروف رجالي كاجوال خفيف</v>
      </c>
      <c r="C42" t="str">
        <v>6225501100083</v>
      </c>
      <c r="D42" t="str">
        <v/>
      </c>
      <c r="E42" t="str">
        <v>قطعة</v>
      </c>
      <c r="F42">
        <v>480</v>
      </c>
      <c r="G42">
        <v>320</v>
      </c>
      <c r="H42">
        <v>0</v>
      </c>
      <c r="I42">
        <v>2</v>
      </c>
      <c r="J42">
        <f>F42-G42</f>
        <v>160</v>
      </c>
      <c r="K42" s="1">
        <f>IF(G42&gt;0, (F42-G42)/G42, 0)</f>
        <v>0.5</v>
      </c>
      <c r="L42" s="2">
        <f>H42*G42</f>
        <v>0</v>
      </c>
      <c r="M42" s="2">
        <f>H42*F42</f>
        <v>0</v>
      </c>
      <c r="N42" s="2">
        <f>M42-L42</f>
        <v>0</v>
      </c>
      <c r="O42" t="str">
        <f>IF(H42&lt;=0, "نفد من المخزن", IF(H42&lt;=I42, "قارب على النفاد", "متوفر بالمخزن"))</f>
        <v>نفد من المخزن</v>
      </c>
      <c r="P42">
        <v>0</v>
      </c>
      <c r="Q42" t="str">
        <v>JKT-OLV-L</v>
      </c>
      <c r="R42" t="str">
        <v>زيتي</v>
      </c>
      <c r="S42" t="str">
        <v>L</v>
      </c>
      <c r="T42" t="str">
        <v/>
      </c>
    </row>
    <row r="43">
      <c r="A43">
        <v>40</v>
      </c>
      <c r="B43" t="str">
        <v>بوكسر قطن رجالي دايس طقم 3 قطع</v>
      </c>
      <c r="C43" t="str">
        <v>6225501100091</v>
      </c>
      <c r="D43" t="str">
        <v/>
      </c>
      <c r="E43" t="str">
        <v>قطعة</v>
      </c>
      <c r="F43">
        <v>120</v>
      </c>
      <c r="G43">
        <v>80</v>
      </c>
      <c r="H43">
        <v>0</v>
      </c>
      <c r="I43">
        <v>5</v>
      </c>
      <c r="J43">
        <f>F43-G43</f>
        <v>40</v>
      </c>
      <c r="K43" s="1">
        <f>IF(G43&gt;0, (F43-G43)/G43, 0)</f>
        <v>0.5</v>
      </c>
      <c r="L43" s="2">
        <f>H43*G43</f>
        <v>0</v>
      </c>
      <c r="M43" s="2">
        <f>H43*F43</f>
        <v>0</v>
      </c>
      <c r="N43" s="2">
        <f>M43-L43</f>
        <v>0</v>
      </c>
      <c r="O43" t="str">
        <f>IF(H43&lt;=0, "نفد من المخزن", IF(H43&lt;=I43, "قارب على النفاد", "متوفر بالمخزن"))</f>
        <v>نفد من المخزن</v>
      </c>
      <c r="P43">
        <v>0</v>
      </c>
      <c r="Q43" t="str">
        <v>UND-BOX-L</v>
      </c>
      <c r="R43" t="str">
        <v>ألوان مشكلة</v>
      </c>
      <c r="S43" t="str">
        <v>L</v>
      </c>
      <c r="T43" t="str">
        <v/>
      </c>
    </row>
    <row r="44">
      <c r="A44">
        <v>41</v>
      </c>
      <c r="B44" t="str">
        <v>بوكسر قطن رجالي دايس طقم 3 قطع</v>
      </c>
      <c r="C44" t="str">
        <v>6225501100092</v>
      </c>
      <c r="D44" t="str">
        <v/>
      </c>
      <c r="E44" t="str">
        <v>قطعة</v>
      </c>
      <c r="F44">
        <v>120</v>
      </c>
      <c r="G44">
        <v>80</v>
      </c>
      <c r="H44">
        <v>0</v>
      </c>
      <c r="I44">
        <v>6</v>
      </c>
      <c r="J44">
        <f>F44-G44</f>
        <v>40</v>
      </c>
      <c r="K44" s="1">
        <f>IF(G44&gt;0, (F44-G44)/G44, 0)</f>
        <v>0.5</v>
      </c>
      <c r="L44" s="2">
        <f>H44*G44</f>
        <v>0</v>
      </c>
      <c r="M44" s="2">
        <f>H44*F44</f>
        <v>0</v>
      </c>
      <c r="N44" s="2">
        <f>M44-L44</f>
        <v>0</v>
      </c>
      <c r="O44" t="str">
        <f>IF(H44&lt;=0, "نفد من المخزن", IF(H44&lt;=I44, "قارب على النفاد", "متوفر بالمخزن"))</f>
        <v>نفد من المخزن</v>
      </c>
      <c r="P44">
        <v>0</v>
      </c>
      <c r="Q44" t="str">
        <v>UND-BOX-XL</v>
      </c>
      <c r="R44" t="str">
        <v>ألوان مشكلة</v>
      </c>
      <c r="S44" t="str">
        <v>XL</v>
      </c>
      <c r="T44" t="str">
        <v/>
      </c>
    </row>
    <row r="45">
      <c r="A45">
        <v>42</v>
      </c>
      <c r="B45" t="str">
        <v>بوكسر قطن رجالي دايس طقم 3 قطع</v>
      </c>
      <c r="C45" t="str">
        <v>6225501100093</v>
      </c>
      <c r="D45" t="str">
        <v/>
      </c>
      <c r="E45" t="str">
        <v>قطعة</v>
      </c>
      <c r="F45">
        <v>120</v>
      </c>
      <c r="G45">
        <v>80</v>
      </c>
      <c r="H45">
        <v>0</v>
      </c>
      <c r="I45">
        <v>4</v>
      </c>
      <c r="J45">
        <f>F45-G45</f>
        <v>40</v>
      </c>
      <c r="K45" s="1">
        <f>IF(G45&gt;0, (F45-G45)/G45, 0)</f>
        <v>0.5</v>
      </c>
      <c r="L45" s="2">
        <f>H45*G45</f>
        <v>0</v>
      </c>
      <c r="M45" s="2">
        <f>H45*F45</f>
        <v>0</v>
      </c>
      <c r="N45" s="2">
        <f>M45-L45</f>
        <v>0</v>
      </c>
      <c r="O45" t="str">
        <f>IF(H45&lt;=0, "نفد من المخزن", IF(H45&lt;=I45, "قارب على النفاد", "متوفر بالمخزن"))</f>
        <v>نفد من المخزن</v>
      </c>
      <c r="P45">
        <v>0</v>
      </c>
      <c r="Q45" t="str">
        <v>UND-BOX-XXL</v>
      </c>
      <c r="R45" t="str">
        <v>ألوان مشكلة</v>
      </c>
      <c r="S45" t="str">
        <v>XXL</v>
      </c>
      <c r="T45" t="str">
        <v/>
      </c>
    </row>
    <row r="46">
      <c r="A46">
        <v>43</v>
      </c>
      <c r="B46" t="str">
        <v>فانلة داخلية قطن رجالي دايس نصف كم</v>
      </c>
      <c r="C46" t="str">
        <v>6225501101017</v>
      </c>
      <c r="D46" t="str">
        <v/>
      </c>
      <c r="E46" t="str">
        <v>قطعة</v>
      </c>
      <c r="F46">
        <v>85</v>
      </c>
      <c r="G46">
        <v>55</v>
      </c>
      <c r="H46">
        <v>0</v>
      </c>
      <c r="I46">
        <v>7</v>
      </c>
      <c r="J46">
        <f>F46-G46</f>
        <v>30</v>
      </c>
      <c r="K46" s="1">
        <f>IF(G46&gt;0, (F46-G46)/G46, 0)</f>
        <v>0.5455</v>
      </c>
      <c r="L46" s="2">
        <f>H46*G46</f>
        <v>0</v>
      </c>
      <c r="M46" s="2">
        <f>H46*F46</f>
        <v>0</v>
      </c>
      <c r="N46" s="2">
        <f>M46-L46</f>
        <v>0</v>
      </c>
      <c r="O46" t="str">
        <f>IF(H46&lt;=0, "نفد من المخزن", IF(H46&lt;=I46, "قارب على النفاد", "متوفر بالمخزن"))</f>
        <v>نفد من المخزن</v>
      </c>
      <c r="P46">
        <v>0</v>
      </c>
      <c r="Q46" t="str">
        <v>UND-VNT-L</v>
      </c>
      <c r="R46" t="str">
        <v>أبيض</v>
      </c>
      <c r="S46" t="str">
        <v>L</v>
      </c>
      <c r="T46" t="str">
        <v/>
      </c>
    </row>
    <row r="47">
      <c r="A47">
        <v>44</v>
      </c>
      <c r="B47" t="str">
        <v>فانلة داخلية قطن رجالي دايس نصف كم</v>
      </c>
      <c r="C47" t="str">
        <v>6225501101024</v>
      </c>
      <c r="D47" t="str">
        <v/>
      </c>
      <c r="E47" t="str">
        <v>قطعة</v>
      </c>
      <c r="F47">
        <v>85</v>
      </c>
      <c r="G47">
        <v>55</v>
      </c>
      <c r="H47">
        <v>0</v>
      </c>
      <c r="I47">
        <v>6</v>
      </c>
      <c r="J47">
        <f>F47-G47</f>
        <v>30</v>
      </c>
      <c r="K47" s="1">
        <f>IF(G47&gt;0, (F47-G47)/G47, 0)</f>
        <v>0.5455</v>
      </c>
      <c r="L47" s="2">
        <f>H47*G47</f>
        <v>0</v>
      </c>
      <c r="M47" s="2">
        <f>H47*F47</f>
        <v>0</v>
      </c>
      <c r="N47" s="2">
        <f>M47-L47</f>
        <v>0</v>
      </c>
      <c r="O47" t="str">
        <f>IF(H47&lt;=0, "نفد من المخزن", IF(H47&lt;=I47, "قارب على النفاد", "متوفر بالمخزن"))</f>
        <v>نفد من المخزن</v>
      </c>
      <c r="P47">
        <v>0</v>
      </c>
      <c r="Q47" t="str">
        <v>UND-VNT-XL</v>
      </c>
      <c r="R47" t="str">
        <v>أبيض</v>
      </c>
      <c r="S47" t="str">
        <v>XL</v>
      </c>
      <c r="T47" t="str">
        <v/>
      </c>
    </row>
    <row r="48">
      <c r="A48" t="str">
        <v>الإجمالي</v>
      </c>
      <c r="B48" t="str">
        <v>إجمالي 44 صنف مسجل</v>
      </c>
      <c r="C48" t="str">
        <v/>
      </c>
      <c r="D48" t="str">
        <v/>
      </c>
      <c r="E48" t="str">
        <v/>
      </c>
      <c r="F48" s="2">
        <f>AVERAGE(F4:F47)</f>
      </c>
      <c r="G48" s="2">
        <f>AVERAGE(G4:G47)</f>
      </c>
      <c r="H48" s="3">
        <f>SUM(H4:H47)</f>
      </c>
      <c r="I48" t="str">
        <v/>
      </c>
      <c r="J48" s="2">
        <f>AVERAGE(J4:J47)</f>
      </c>
      <c r="K48" s="1">
        <f>IF(L48&gt;0, N48/L48, 0)</f>
      </c>
      <c r="L48" s="2">
        <f>SUM(L4:L47)</f>
      </c>
      <c r="M48" s="2">
        <f>SUM(M4:M47)</f>
      </c>
      <c r="N48" s="2">
        <f>SUM(N4:N47)</f>
      </c>
      <c r="O48" t="str">
        <v>محسوب بمعادلات إكسل</v>
      </c>
      <c r="P48" t="str">
        <v/>
      </c>
      <c r="Q48" t="str">
        <v/>
      </c>
      <c r="R48" t="str">
        <v/>
      </c>
      <c r="S48" t="str">
        <v/>
      </c>
      <c r="T48" t="str">
        <v/>
      </c>
    </row>
  </sheetData>
  <mergeCells count="2">
    <mergeCell ref="A1:T1"/>
    <mergeCell ref="A2:T2"/>
  </mergeCells>
  <ignoredErrors>
    <ignoredError numberStoredAsText="1" sqref="A1:T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[ملابس حريمي]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فستان كاجوال حريمي صيفي ناعم مطبوع</v>
      </c>
      <c r="C4" t="str">
        <v>6225502200011</v>
      </c>
      <c r="D4" t="str">
        <v/>
      </c>
      <c r="E4" t="str">
        <v>قطعة</v>
      </c>
      <c r="F4">
        <v>380</v>
      </c>
      <c r="G4">
        <v>245</v>
      </c>
      <c r="H4">
        <v>0</v>
      </c>
      <c r="I4">
        <v>2</v>
      </c>
      <c r="J4">
        <f>F4-G4</f>
        <v>135</v>
      </c>
      <c r="K4" s="1">
        <f>IF(G4&gt;0, (F4-G4)/G4, 0)</f>
        <v>0.551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DRS-NVY-M</v>
      </c>
      <c r="R4" t="str">
        <v>كحلي</v>
      </c>
      <c r="S4" t="str">
        <v>M</v>
      </c>
      <c r="T4" t="str">
        <v/>
      </c>
    </row>
    <row r="5">
      <c r="A5">
        <v>2</v>
      </c>
      <c r="B5" t="str">
        <v>فستان كاجوال حريمي صيفي ناعم مطبوع</v>
      </c>
      <c r="C5" t="str">
        <v>6225502200012</v>
      </c>
      <c r="D5" t="str">
        <v/>
      </c>
      <c r="E5" t="str">
        <v>قطعة</v>
      </c>
      <c r="F5">
        <v>380</v>
      </c>
      <c r="G5">
        <v>245</v>
      </c>
      <c r="H5">
        <v>0</v>
      </c>
      <c r="I5">
        <v>2</v>
      </c>
      <c r="J5">
        <f>F5-G5</f>
        <v>135</v>
      </c>
      <c r="K5" s="1">
        <f>IF(G5&gt;0, (F5-G5)/G5, 0)</f>
        <v>0.551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DRS-NVY-L</v>
      </c>
      <c r="R5" t="str">
        <v>كحلي</v>
      </c>
      <c r="S5" t="str">
        <v>L</v>
      </c>
      <c r="T5" t="str">
        <v/>
      </c>
    </row>
    <row r="6">
      <c r="A6">
        <v>3</v>
      </c>
      <c r="B6" t="str">
        <v>فستان كاجوال حريمي صيفي ناعم مطبوع</v>
      </c>
      <c r="C6" t="str">
        <v>6225502200013</v>
      </c>
      <c r="D6" t="str">
        <v/>
      </c>
      <c r="E6" t="str">
        <v>قطعة</v>
      </c>
      <c r="F6">
        <v>380</v>
      </c>
      <c r="G6">
        <v>245</v>
      </c>
      <c r="H6">
        <v>0</v>
      </c>
      <c r="I6">
        <v>2</v>
      </c>
      <c r="J6">
        <f>F6-G6</f>
        <v>135</v>
      </c>
      <c r="K6" s="1">
        <f>IF(G6&gt;0, (F6-G6)/G6, 0)</f>
        <v>0.551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DRS-RED-M</v>
      </c>
      <c r="R6" t="str">
        <v>أحمر</v>
      </c>
      <c r="S6" t="str">
        <v>M</v>
      </c>
      <c r="T6" t="str">
        <v/>
      </c>
    </row>
    <row r="7">
      <c r="A7">
        <v>4</v>
      </c>
      <c r="B7" t="str">
        <v>فستان كاجوال حريمي صيفي ناعم مطبوع</v>
      </c>
      <c r="C7" t="str">
        <v>6225502200014</v>
      </c>
      <c r="D7" t="str">
        <v/>
      </c>
      <c r="E7" t="str">
        <v>قطعة</v>
      </c>
      <c r="F7">
        <v>380</v>
      </c>
      <c r="G7">
        <v>245</v>
      </c>
      <c r="H7">
        <v>0</v>
      </c>
      <c r="I7">
        <v>2</v>
      </c>
      <c r="J7">
        <f>F7-G7</f>
        <v>135</v>
      </c>
      <c r="K7" s="1">
        <f>IF(G7&gt;0, (F7-G7)/G7, 0)</f>
        <v>0.551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DRS-RED-L</v>
      </c>
      <c r="R7" t="str">
        <v>أحمر</v>
      </c>
      <c r="S7" t="str">
        <v>L</v>
      </c>
      <c r="T7" t="str">
        <v/>
      </c>
    </row>
    <row r="8">
      <c r="A8">
        <v>5</v>
      </c>
      <c r="B8" t="str">
        <v>بلوزة حرير شيفون حريمي أنيقة خروج</v>
      </c>
      <c r="C8" t="str">
        <v>6225502200021</v>
      </c>
      <c r="D8" t="str">
        <v/>
      </c>
      <c r="E8" t="str">
        <v>قطعة</v>
      </c>
      <c r="F8">
        <v>260</v>
      </c>
      <c r="G8">
        <v>165</v>
      </c>
      <c r="H8">
        <v>0</v>
      </c>
      <c r="I8">
        <v>2</v>
      </c>
      <c r="J8">
        <f>F8-G8</f>
        <v>95</v>
      </c>
      <c r="K8" s="1">
        <f>IF(G8&gt;0, (F8-G8)/G8, 0)</f>
        <v>0.5758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BLZ-BEI-M</v>
      </c>
      <c r="R8" t="str">
        <v>بيج</v>
      </c>
      <c r="S8" t="str">
        <v>M</v>
      </c>
      <c r="T8" t="str">
        <v/>
      </c>
    </row>
    <row r="9">
      <c r="A9">
        <v>6</v>
      </c>
      <c r="B9" t="str">
        <v>بلوزة حرير شيفون حريمي أنيقة خروج</v>
      </c>
      <c r="C9" t="str">
        <v>6225502200022</v>
      </c>
      <c r="D9" t="str">
        <v/>
      </c>
      <c r="E9" t="str">
        <v>قطعة</v>
      </c>
      <c r="F9">
        <v>260</v>
      </c>
      <c r="G9">
        <v>165</v>
      </c>
      <c r="H9">
        <v>0</v>
      </c>
      <c r="I9">
        <v>2</v>
      </c>
      <c r="J9">
        <f>F9-G9</f>
        <v>95</v>
      </c>
      <c r="K9" s="1">
        <f>IF(G9&gt;0, (F9-G9)/G9, 0)</f>
        <v>0.5758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BLZ-BEI-L</v>
      </c>
      <c r="R9" t="str">
        <v>بيج</v>
      </c>
      <c r="S9" t="str">
        <v>L</v>
      </c>
      <c r="T9" t="str">
        <v/>
      </c>
    </row>
    <row r="10">
      <c r="A10">
        <v>7</v>
      </c>
      <c r="B10" t="str">
        <v>بلوزة حرير شيفون حريمي أنيقة خروج</v>
      </c>
      <c r="C10" t="str">
        <v>6225502200023</v>
      </c>
      <c r="D10" t="str">
        <v/>
      </c>
      <c r="E10" t="str">
        <v>قطعة</v>
      </c>
      <c r="F10">
        <v>260</v>
      </c>
      <c r="G10">
        <v>165</v>
      </c>
      <c r="H10">
        <v>0</v>
      </c>
      <c r="I10">
        <v>2</v>
      </c>
      <c r="J10">
        <f>F10-G10</f>
        <v>95</v>
      </c>
      <c r="K10" s="1">
        <f>IF(G10&gt;0, (F10-G10)/G10, 0)</f>
        <v>0.5758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BLZ-BLK-M</v>
      </c>
      <c r="R10" t="str">
        <v>أسود</v>
      </c>
      <c r="S10" t="str">
        <v>M</v>
      </c>
      <c r="T10" t="str">
        <v/>
      </c>
    </row>
    <row r="11">
      <c r="A11">
        <v>8</v>
      </c>
      <c r="B11" t="str">
        <v>بلوزة حرير شيفون حريمي أنيقة خروج</v>
      </c>
      <c r="C11" t="str">
        <v>6225502200024</v>
      </c>
      <c r="D11" t="str">
        <v/>
      </c>
      <c r="E11" t="str">
        <v>قطعة</v>
      </c>
      <c r="F11">
        <v>260</v>
      </c>
      <c r="G11">
        <v>165</v>
      </c>
      <c r="H11">
        <v>0</v>
      </c>
      <c r="I11">
        <v>2</v>
      </c>
      <c r="J11">
        <f>F11-G11</f>
        <v>95</v>
      </c>
      <c r="K11" s="1">
        <f>IF(G11&gt;0, (F11-G11)/G11, 0)</f>
        <v>0.5758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BLZ-CSH-L</v>
      </c>
      <c r="R11" t="str">
        <v>كشمير</v>
      </c>
      <c r="S11" t="str">
        <v>L</v>
      </c>
      <c r="T11" t="str">
        <v/>
      </c>
    </row>
    <row r="12">
      <c r="A12">
        <v>9</v>
      </c>
      <c r="B12" t="str">
        <v>بنطلون جينز حريمي هاي ويست ستريت</v>
      </c>
      <c r="C12" t="str">
        <v>6225502200031</v>
      </c>
      <c r="D12" t="str">
        <v/>
      </c>
      <c r="E12" t="str">
        <v>قطعة</v>
      </c>
      <c r="F12">
        <v>320</v>
      </c>
      <c r="G12">
        <v>210</v>
      </c>
      <c r="H12">
        <v>0</v>
      </c>
      <c r="I12">
        <v>2</v>
      </c>
      <c r="J12">
        <f>F12-G12</f>
        <v>110</v>
      </c>
      <c r="K12" s="1">
        <f>IF(G12&gt;0, (F12-G12)/G12, 0)</f>
        <v>0.5238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JNW-LBL-38</v>
      </c>
      <c r="R12" t="str">
        <v>أزرق فاتح</v>
      </c>
      <c r="S12" t="str">
        <v>38</v>
      </c>
      <c r="T12" t="str">
        <v/>
      </c>
    </row>
    <row r="13">
      <c r="A13">
        <v>10</v>
      </c>
      <c r="B13" t="str">
        <v>بنطلون جينز حريمي هاي ويست ستريت</v>
      </c>
      <c r="C13" t="str">
        <v>6225502200032</v>
      </c>
      <c r="D13" t="str">
        <v/>
      </c>
      <c r="E13" t="str">
        <v>قطعة</v>
      </c>
      <c r="F13">
        <v>320</v>
      </c>
      <c r="G13">
        <v>210</v>
      </c>
      <c r="H13">
        <v>0</v>
      </c>
      <c r="I13">
        <v>2</v>
      </c>
      <c r="J13">
        <f>F13-G13</f>
        <v>110</v>
      </c>
      <c r="K13" s="1">
        <f>IF(G13&gt;0, (F13-G13)/G13, 0)</f>
        <v>0.5238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JNW-LBL-40</v>
      </c>
      <c r="R13" t="str">
        <v>أزرق فاتح</v>
      </c>
      <c r="S13" t="str">
        <v>40</v>
      </c>
      <c r="T13" t="str">
        <v/>
      </c>
    </row>
    <row r="14">
      <c r="A14">
        <v>11</v>
      </c>
      <c r="B14" t="str">
        <v>بنطلون جينز حريمي هاي ويست ستريت</v>
      </c>
      <c r="C14" t="str">
        <v>6225502200033</v>
      </c>
      <c r="D14" t="str">
        <v/>
      </c>
      <c r="E14" t="str">
        <v>قطعة</v>
      </c>
      <c r="F14">
        <v>320</v>
      </c>
      <c r="G14">
        <v>210</v>
      </c>
      <c r="H14">
        <v>0</v>
      </c>
      <c r="I14">
        <v>2</v>
      </c>
      <c r="J14">
        <f>F14-G14</f>
        <v>110</v>
      </c>
      <c r="K14" s="1">
        <f>IF(G14&gt;0, (F14-G14)/G14, 0)</f>
        <v>0.5238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JNW-BLK-38</v>
      </c>
      <c r="R14" t="str">
        <v>أسود</v>
      </c>
      <c r="S14" t="str">
        <v>38</v>
      </c>
      <c r="T14" t="str">
        <v/>
      </c>
    </row>
    <row r="15">
      <c r="A15">
        <v>12</v>
      </c>
      <c r="B15" t="str">
        <v>بنطلون جينز حريمي هاي ويست ستريت</v>
      </c>
      <c r="C15" t="str">
        <v>6225502200034</v>
      </c>
      <c r="D15" t="str">
        <v/>
      </c>
      <c r="E15" t="str">
        <v>قطعة</v>
      </c>
      <c r="F15">
        <v>320</v>
      </c>
      <c r="G15">
        <v>210</v>
      </c>
      <c r="H15">
        <v>0</v>
      </c>
      <c r="I15">
        <v>2</v>
      </c>
      <c r="J15">
        <f>F15-G15</f>
        <v>110</v>
      </c>
      <c r="K15" s="1">
        <f>IF(G15&gt;0, (F15-G15)/G15, 0)</f>
        <v>0.5238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JNW-BLK-40</v>
      </c>
      <c r="R15" t="str">
        <v>أسود</v>
      </c>
      <c r="S15" t="str">
        <v>40</v>
      </c>
      <c r="T15" t="str">
        <v/>
      </c>
    </row>
    <row r="16">
      <c r="A16">
        <v>13</v>
      </c>
      <c r="B16" t="str">
        <v>عباية خروج سوداء قماش كريب فاخر كوري</v>
      </c>
      <c r="C16" t="str">
        <v>6225502200041</v>
      </c>
      <c r="D16" t="str">
        <v/>
      </c>
      <c r="E16" t="str">
        <v>قطعة</v>
      </c>
      <c r="F16">
        <v>550</v>
      </c>
      <c r="G16">
        <v>360</v>
      </c>
      <c r="H16">
        <v>0</v>
      </c>
      <c r="I16">
        <v>1</v>
      </c>
      <c r="J16">
        <f>F16-G16</f>
        <v>190</v>
      </c>
      <c r="K16" s="1">
        <f>IF(G16&gt;0, (F16-G16)/G16, 0)</f>
        <v>0.5278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ABY-BLK-54</v>
      </c>
      <c r="R16" t="str">
        <v>أسود</v>
      </c>
      <c r="S16" t="str">
        <v>54</v>
      </c>
      <c r="T16" t="str">
        <v/>
      </c>
    </row>
    <row r="17">
      <c r="A17">
        <v>14</v>
      </c>
      <c r="B17" t="str">
        <v>عباية خروج سوداء قماش كريب فاخر كوري</v>
      </c>
      <c r="C17" t="str">
        <v>6225502200042</v>
      </c>
      <c r="D17" t="str">
        <v/>
      </c>
      <c r="E17" t="str">
        <v>قطعة</v>
      </c>
      <c r="F17">
        <v>550</v>
      </c>
      <c r="G17">
        <v>360</v>
      </c>
      <c r="H17">
        <v>0</v>
      </c>
      <c r="I17">
        <v>2</v>
      </c>
      <c r="J17">
        <f>F17-G17</f>
        <v>190</v>
      </c>
      <c r="K17" s="1">
        <f>IF(G17&gt;0, (F17-G17)/G17, 0)</f>
        <v>0.5278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ABY-BLK-56</v>
      </c>
      <c r="R17" t="str">
        <v>أسود</v>
      </c>
      <c r="S17" t="str">
        <v>56</v>
      </c>
      <c r="T17" t="str">
        <v/>
      </c>
    </row>
    <row r="18">
      <c r="A18">
        <v>15</v>
      </c>
      <c r="B18" t="str">
        <v>عباية خروج سوداء قماش كريب فاخر كوري</v>
      </c>
      <c r="C18" t="str">
        <v>6225502200043</v>
      </c>
      <c r="D18" t="str">
        <v/>
      </c>
      <c r="E18" t="str">
        <v>قطعة</v>
      </c>
      <c r="F18">
        <v>550</v>
      </c>
      <c r="G18">
        <v>360</v>
      </c>
      <c r="H18">
        <v>0</v>
      </c>
      <c r="I18">
        <v>1</v>
      </c>
      <c r="J18">
        <f>F18-G18</f>
        <v>190</v>
      </c>
      <c r="K18" s="1">
        <f>IF(G18&gt;0, (F18-G18)/G18, 0)</f>
        <v>0.5278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ABY-BLK-58</v>
      </c>
      <c r="R18" t="str">
        <v>أسود</v>
      </c>
      <c r="S18" t="str">
        <v>58</v>
      </c>
      <c r="T18" t="str">
        <v/>
      </c>
    </row>
    <row r="19">
      <c r="A19">
        <v>16</v>
      </c>
      <c r="B19" t="str">
        <v>عباية بيتي قطن نص كم مريحة</v>
      </c>
      <c r="C19" t="str">
        <v>6225502200051</v>
      </c>
      <c r="D19" t="str">
        <v/>
      </c>
      <c r="E19" t="str">
        <v>قطعة</v>
      </c>
      <c r="F19">
        <v>280</v>
      </c>
      <c r="G19">
        <v>180</v>
      </c>
      <c r="H19">
        <v>0</v>
      </c>
      <c r="I19">
        <v>2</v>
      </c>
      <c r="J19">
        <f>F19-G19</f>
        <v>100</v>
      </c>
      <c r="K19" s="1">
        <f>IF(G19&gt;0, (F19-G19)/G19, 0)</f>
        <v>0.5556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ABH-MOV-FS</v>
      </c>
      <c r="R19" t="str">
        <v>موف</v>
      </c>
      <c r="S19" t="str">
        <v>Free Size</v>
      </c>
      <c r="T19" t="str">
        <v/>
      </c>
    </row>
    <row r="20">
      <c r="A20">
        <v>17</v>
      </c>
      <c r="B20" t="str">
        <v>عباية بيتي قطن نص كم مريحة</v>
      </c>
      <c r="C20" t="str">
        <v>6225502200052</v>
      </c>
      <c r="D20" t="str">
        <v/>
      </c>
      <c r="E20" t="str">
        <v>قطعة</v>
      </c>
      <c r="F20">
        <v>280</v>
      </c>
      <c r="G20">
        <v>180</v>
      </c>
      <c r="H20">
        <v>0</v>
      </c>
      <c r="I20">
        <v>2</v>
      </c>
      <c r="J20">
        <f>F20-G20</f>
        <v>100</v>
      </c>
      <c r="K20" s="1">
        <f>IF(G20&gt;0, (F20-G20)/G20, 0)</f>
        <v>0.5556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ABH-TRQ-FS</v>
      </c>
      <c r="R20" t="str">
        <v>فيروزي</v>
      </c>
      <c r="S20" t="str">
        <v>Free Size</v>
      </c>
      <c r="T20" t="str">
        <v/>
      </c>
    </row>
    <row r="21">
      <c r="A21">
        <v>18</v>
      </c>
      <c r="B21" t="str">
        <v>بيجامة قطن حريمي صيفي ناعمة قطعتين</v>
      </c>
      <c r="C21" t="str">
        <v>6225502200061</v>
      </c>
      <c r="D21" t="str">
        <v/>
      </c>
      <c r="E21" t="str">
        <v>قطعة</v>
      </c>
      <c r="F21">
        <v>240</v>
      </c>
      <c r="G21">
        <v>150</v>
      </c>
      <c r="H21">
        <v>0</v>
      </c>
      <c r="I21">
        <v>2</v>
      </c>
      <c r="J21">
        <f>F21-G21</f>
        <v>90</v>
      </c>
      <c r="K21" s="1">
        <f>IF(G21&gt;0, (F21-G21)/G21, 0)</f>
        <v>0.6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PJM-PNK-M</v>
      </c>
      <c r="R21" t="str">
        <v>وردي</v>
      </c>
      <c r="S21" t="str">
        <v>M</v>
      </c>
      <c r="T21" t="str">
        <v/>
      </c>
    </row>
    <row r="22">
      <c r="A22">
        <v>19</v>
      </c>
      <c r="B22" t="str">
        <v>بيجامة قطن حريمي صيفي ناعمة قطعتين</v>
      </c>
      <c r="C22" t="str">
        <v>6225502200062</v>
      </c>
      <c r="D22" t="str">
        <v/>
      </c>
      <c r="E22" t="str">
        <v>قطعة</v>
      </c>
      <c r="F22">
        <v>240</v>
      </c>
      <c r="G22">
        <v>150</v>
      </c>
      <c r="H22">
        <v>0</v>
      </c>
      <c r="I22">
        <v>2</v>
      </c>
      <c r="J22">
        <f>F22-G22</f>
        <v>90</v>
      </c>
      <c r="K22" s="1">
        <f>IF(G22&gt;0, (F22-G22)/G22, 0)</f>
        <v>0.6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PJM-PNK-L</v>
      </c>
      <c r="R22" t="str">
        <v>وردي</v>
      </c>
      <c r="S22" t="str">
        <v>L</v>
      </c>
      <c r="T22" t="str">
        <v/>
      </c>
    </row>
    <row r="23">
      <c r="A23">
        <v>20</v>
      </c>
      <c r="B23" t="str">
        <v>بيجامة قطن حريمي صيفي ناعمة قطعتين</v>
      </c>
      <c r="C23" t="str">
        <v>6225502200063</v>
      </c>
      <c r="D23" t="str">
        <v/>
      </c>
      <c r="E23" t="str">
        <v>قطعة</v>
      </c>
      <c r="F23">
        <v>240</v>
      </c>
      <c r="G23">
        <v>150</v>
      </c>
      <c r="H23">
        <v>0</v>
      </c>
      <c r="I23">
        <v>2</v>
      </c>
      <c r="J23">
        <f>F23-G23</f>
        <v>90</v>
      </c>
      <c r="K23" s="1">
        <f>IF(G23&gt;0, (F23-G23)/G23, 0)</f>
        <v>0.6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PJM-NVY-L</v>
      </c>
      <c r="R23" t="str">
        <v>كحلي</v>
      </c>
      <c r="S23" t="str">
        <v>L</v>
      </c>
      <c r="T23" t="str">
        <v/>
      </c>
    </row>
    <row r="24">
      <c r="A24">
        <v>21</v>
      </c>
      <c r="B24" t="str">
        <v>سويت شيرت حريمي أوفر سايز ميلتون</v>
      </c>
      <c r="C24" t="str">
        <v>6225502200071</v>
      </c>
      <c r="D24" t="str">
        <v/>
      </c>
      <c r="E24" t="str">
        <v>قطعة</v>
      </c>
      <c r="F24">
        <v>320</v>
      </c>
      <c r="G24">
        <v>200</v>
      </c>
      <c r="H24">
        <v>0</v>
      </c>
      <c r="I24">
        <v>2</v>
      </c>
      <c r="J24">
        <f>F24-G24</f>
        <v>120</v>
      </c>
      <c r="K24" s="1">
        <f>IF(G24&gt;0, (F24-G24)/G24, 0)</f>
        <v>0.6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SHT-LAV-ML</v>
      </c>
      <c r="R24" t="str">
        <v>لافندر</v>
      </c>
      <c r="S24" t="str">
        <v>M-L</v>
      </c>
      <c r="T24" t="str">
        <v/>
      </c>
    </row>
    <row r="25">
      <c r="A25">
        <v>22</v>
      </c>
      <c r="B25" t="str">
        <v>سويت شيرت حريمي أوفر سايز ميلتون</v>
      </c>
      <c r="C25" t="str">
        <v>6225502200072</v>
      </c>
      <c r="D25" t="str">
        <v/>
      </c>
      <c r="E25" t="str">
        <v>قطعة</v>
      </c>
      <c r="F25">
        <v>320</v>
      </c>
      <c r="G25">
        <v>200</v>
      </c>
      <c r="H25">
        <v>0</v>
      </c>
      <c r="I25">
        <v>2</v>
      </c>
      <c r="J25">
        <f>F25-G25</f>
        <v>120</v>
      </c>
      <c r="K25" s="1">
        <f>IF(G25&gt;0, (F25-G25)/G25, 0)</f>
        <v>0.6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SHT-BEI-ML</v>
      </c>
      <c r="R25" t="str">
        <v>بيج</v>
      </c>
      <c r="S25" t="str">
        <v>M-L</v>
      </c>
      <c r="T25" t="str">
        <v/>
      </c>
    </row>
    <row r="26">
      <c r="A26">
        <v>23</v>
      </c>
      <c r="B26" t="str">
        <v>كارديجان صوف حريمي طويل شتوي</v>
      </c>
      <c r="C26" t="str">
        <v>6225502200081</v>
      </c>
      <c r="D26" t="str">
        <v/>
      </c>
      <c r="E26" t="str">
        <v>قطعة</v>
      </c>
      <c r="F26">
        <v>360</v>
      </c>
      <c r="G26">
        <v>230</v>
      </c>
      <c r="H26">
        <v>0</v>
      </c>
      <c r="I26">
        <v>2</v>
      </c>
      <c r="J26">
        <f>F26-G26</f>
        <v>130</v>
      </c>
      <c r="K26" s="1">
        <f>IF(G26&gt;0, (F26-G26)/G26, 0)</f>
        <v>0.5652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CRD-GRY-OS</v>
      </c>
      <c r="R26" t="str">
        <v>رمادي</v>
      </c>
      <c r="S26" t="str">
        <v>One Size</v>
      </c>
      <c r="T26" t="str">
        <v/>
      </c>
    </row>
    <row r="27">
      <c r="A27">
        <v>24</v>
      </c>
      <c r="B27" t="str">
        <v>كارديجان صوف حريمي طويل شتوي</v>
      </c>
      <c r="C27" t="str">
        <v>6225502200082</v>
      </c>
      <c r="D27" t="str">
        <v/>
      </c>
      <c r="E27" t="str">
        <v>قطعة</v>
      </c>
      <c r="F27">
        <v>360</v>
      </c>
      <c r="G27">
        <v>230</v>
      </c>
      <c r="H27">
        <v>0</v>
      </c>
      <c r="I27">
        <v>2</v>
      </c>
      <c r="J27">
        <f>F27-G27</f>
        <v>130</v>
      </c>
      <c r="K27" s="1">
        <f>IF(G27&gt;0, (F27-G27)/G27, 0)</f>
        <v>0.5652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CRD-CAM-OS</v>
      </c>
      <c r="R27" t="str">
        <v>جملي</v>
      </c>
      <c r="S27" t="str">
        <v>One Size</v>
      </c>
      <c r="T27" t="str">
        <v/>
      </c>
    </row>
    <row r="28">
      <c r="A28">
        <v>25</v>
      </c>
      <c r="B28" t="str">
        <v>شميز حريمي قطن كاجوال طويل للمحجبات</v>
      </c>
      <c r="C28" t="str">
        <v>6225502200091</v>
      </c>
      <c r="D28" t="str">
        <v/>
      </c>
      <c r="E28" t="str">
        <v>قطعة</v>
      </c>
      <c r="F28">
        <v>290</v>
      </c>
      <c r="G28">
        <v>185</v>
      </c>
      <c r="H28">
        <v>0</v>
      </c>
      <c r="I28">
        <v>2</v>
      </c>
      <c r="J28">
        <f>F28-G28</f>
        <v>105</v>
      </c>
      <c r="K28" s="1">
        <f>IF(G28&gt;0, (F28-G28)/G28, 0)</f>
        <v>0.5676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SHM-WHT-42</v>
      </c>
      <c r="R28" t="str">
        <v>أبيض</v>
      </c>
      <c r="S28" t="str">
        <v>42</v>
      </c>
      <c r="T28" t="str">
        <v/>
      </c>
    </row>
    <row r="29">
      <c r="A29">
        <v>26</v>
      </c>
      <c r="B29" t="str">
        <v>شميز حريمي قطن كاجوال طويل للمحجبات</v>
      </c>
      <c r="C29" t="str">
        <v>6225502200092</v>
      </c>
      <c r="D29" t="str">
        <v/>
      </c>
      <c r="E29" t="str">
        <v>قطعة</v>
      </c>
      <c r="F29">
        <v>290</v>
      </c>
      <c r="G29">
        <v>185</v>
      </c>
      <c r="H29">
        <v>0</v>
      </c>
      <c r="I29">
        <v>2</v>
      </c>
      <c r="J29">
        <f>F29-G29</f>
        <v>105</v>
      </c>
      <c r="K29" s="1">
        <f>IF(G29&gt;0, (F29-G29)/G29, 0)</f>
        <v>0.5676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SHM-OLV-42</v>
      </c>
      <c r="R29" t="str">
        <v>زيتوني</v>
      </c>
      <c r="S29" t="str">
        <v>42</v>
      </c>
      <c r="T29" t="str">
        <v/>
      </c>
    </row>
    <row r="30">
      <c r="A30" t="str">
        <v>الإجمالي</v>
      </c>
      <c r="B30" t="str">
        <v>إجمالي 26 صنف مسجل</v>
      </c>
      <c r="C30" t="str">
        <v/>
      </c>
      <c r="D30" t="str">
        <v/>
      </c>
      <c r="E30" t="str">
        <v/>
      </c>
      <c r="F30" s="2">
        <f>AVERAGE(F4:F29)</f>
      </c>
      <c r="G30" s="2">
        <f>AVERAGE(G4:G29)</f>
      </c>
      <c r="H30" s="3">
        <f>SUM(H4:H29)</f>
      </c>
      <c r="I30" t="str">
        <v/>
      </c>
      <c r="J30" s="2">
        <f>AVERAGE(J4:J29)</f>
      </c>
      <c r="K30" s="1">
        <f>IF(L30&gt;0, N30/L30, 0)</f>
      </c>
      <c r="L30" s="2">
        <f>SUM(L4:L29)</f>
      </c>
      <c r="M30" s="2">
        <f>SUM(M4:M29)</f>
      </c>
      <c r="N30" s="2">
        <f>SUM(N4:N29)</f>
      </c>
      <c r="O30" t="str">
        <v>محسوب بمعادلات إكسل</v>
      </c>
      <c r="P30" t="str">
        <v/>
      </c>
      <c r="Q30" t="str">
        <v/>
      </c>
      <c r="R30" t="str">
        <v/>
      </c>
      <c r="S30" t="str">
        <v/>
      </c>
      <c r="T30" t="str">
        <v/>
      </c>
    </row>
  </sheetData>
  <mergeCells count="2">
    <mergeCell ref="A1:T1"/>
    <mergeCell ref="A2:T2"/>
  </mergeCells>
  <ignoredErrors>
    <ignoredError numberStoredAsText="1" sqref="A1:T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[ملابس أطفال]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تيشيرت أطفال قطن رسومات كرتونية مرحة</v>
      </c>
      <c r="C4" t="str">
        <v>6225503300011</v>
      </c>
      <c r="D4" t="str">
        <v/>
      </c>
      <c r="E4" t="str">
        <v>قطعة</v>
      </c>
      <c r="F4">
        <v>110</v>
      </c>
      <c r="G4">
        <v>65</v>
      </c>
      <c r="H4">
        <v>0</v>
      </c>
      <c r="I4">
        <v>3</v>
      </c>
      <c r="J4">
        <f>F4-G4</f>
        <v>45</v>
      </c>
      <c r="K4" s="1">
        <f>IF(G4&gt;0, (F4-G4)/G4, 0)</f>
        <v>0.6923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KTS-YEL-04</v>
      </c>
      <c r="R4" t="str">
        <v>أصفر</v>
      </c>
      <c r="S4" t="str">
        <v>4</v>
      </c>
      <c r="T4" t="str">
        <v/>
      </c>
    </row>
    <row r="5">
      <c r="A5">
        <v>2</v>
      </c>
      <c r="B5" t="str">
        <v>تيشيرت أطفال قطن رسومات كرتونية مرحة</v>
      </c>
      <c r="C5" t="str">
        <v>6225503300012</v>
      </c>
      <c r="D5" t="str">
        <v/>
      </c>
      <c r="E5" t="str">
        <v>قطعة</v>
      </c>
      <c r="F5">
        <v>110</v>
      </c>
      <c r="G5">
        <v>65</v>
      </c>
      <c r="H5">
        <v>0</v>
      </c>
      <c r="I5">
        <v>3</v>
      </c>
      <c r="J5">
        <f>F5-G5</f>
        <v>45</v>
      </c>
      <c r="K5" s="1">
        <f>IF(G5&gt;0, (F5-G5)/G5, 0)</f>
        <v>0.6923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KTS-YEL-06</v>
      </c>
      <c r="R5" t="str">
        <v>أصفر</v>
      </c>
      <c r="S5" t="str">
        <v>6</v>
      </c>
      <c r="T5" t="str">
        <v/>
      </c>
    </row>
    <row r="6">
      <c r="A6">
        <v>3</v>
      </c>
      <c r="B6" t="str">
        <v>تيشيرت أطفال قطن رسومات كرتونية مرحة</v>
      </c>
      <c r="C6" t="str">
        <v>6225503300013</v>
      </c>
      <c r="D6" t="str">
        <v/>
      </c>
      <c r="E6" t="str">
        <v>قطعة</v>
      </c>
      <c r="F6">
        <v>110</v>
      </c>
      <c r="G6">
        <v>65</v>
      </c>
      <c r="H6">
        <v>0</v>
      </c>
      <c r="I6">
        <v>3</v>
      </c>
      <c r="J6">
        <f>F6-G6</f>
        <v>45</v>
      </c>
      <c r="K6" s="1">
        <f>IF(G6&gt;0, (F6-G6)/G6, 0)</f>
        <v>0.6923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KTS-BLU-06</v>
      </c>
      <c r="R6" t="str">
        <v>أزرق</v>
      </c>
      <c r="S6" t="str">
        <v>6</v>
      </c>
      <c r="T6" t="str">
        <v/>
      </c>
    </row>
    <row r="7">
      <c r="A7">
        <v>4</v>
      </c>
      <c r="B7" t="str">
        <v>تيشيرت أطفال قطن رسومات كرتونية مرحة</v>
      </c>
      <c r="C7" t="str">
        <v>6225503300014</v>
      </c>
      <c r="D7" t="str">
        <v/>
      </c>
      <c r="E7" t="str">
        <v>قطعة</v>
      </c>
      <c r="F7">
        <v>110</v>
      </c>
      <c r="G7">
        <v>65</v>
      </c>
      <c r="H7">
        <v>0</v>
      </c>
      <c r="I7">
        <v>3</v>
      </c>
      <c r="J7">
        <f>F7-G7</f>
        <v>45</v>
      </c>
      <c r="K7" s="1">
        <f>IF(G7&gt;0, (F7-G7)/G7, 0)</f>
        <v>0.6923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KTS-BLU-08</v>
      </c>
      <c r="R7" t="str">
        <v>أزرق</v>
      </c>
      <c r="S7" t="str">
        <v>8</v>
      </c>
      <c r="T7" t="str">
        <v/>
      </c>
    </row>
    <row r="8">
      <c r="A8">
        <v>5</v>
      </c>
      <c r="B8" t="str">
        <v>ترنج أطفال رياضي قطعتين شتوي ميلتون</v>
      </c>
      <c r="C8" t="str">
        <v>6225503300021</v>
      </c>
      <c r="D8" t="str">
        <v/>
      </c>
      <c r="E8" t="str">
        <v>قطعة</v>
      </c>
      <c r="F8">
        <v>260</v>
      </c>
      <c r="G8">
        <v>165</v>
      </c>
      <c r="H8">
        <v>0</v>
      </c>
      <c r="I8">
        <v>2</v>
      </c>
      <c r="J8">
        <f>F8-G8</f>
        <v>95</v>
      </c>
      <c r="K8" s="1">
        <f>IF(G8&gt;0, (F8-G8)/G8, 0)</f>
        <v>0.5758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KTR-NVY-06</v>
      </c>
      <c r="R8" t="str">
        <v>كحلي</v>
      </c>
      <c r="S8" t="str">
        <v>6</v>
      </c>
      <c r="T8" t="str">
        <v/>
      </c>
    </row>
    <row r="9">
      <c r="A9">
        <v>6</v>
      </c>
      <c r="B9" t="str">
        <v>ترنج أطفال رياضي قطعتين شتوي ميلتون</v>
      </c>
      <c r="C9" t="str">
        <v>6225503300022</v>
      </c>
      <c r="D9" t="str">
        <v/>
      </c>
      <c r="E9" t="str">
        <v>قطعة</v>
      </c>
      <c r="F9">
        <v>260</v>
      </c>
      <c r="G9">
        <v>165</v>
      </c>
      <c r="H9">
        <v>0</v>
      </c>
      <c r="I9">
        <v>2</v>
      </c>
      <c r="J9">
        <f>F9-G9</f>
        <v>95</v>
      </c>
      <c r="K9" s="1">
        <f>IF(G9&gt;0, (F9-G9)/G9, 0)</f>
        <v>0.5758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KTR-NVY-08</v>
      </c>
      <c r="R9" t="str">
        <v>كحلي</v>
      </c>
      <c r="S9" t="str">
        <v>8</v>
      </c>
      <c r="T9" t="str">
        <v/>
      </c>
    </row>
    <row r="10">
      <c r="A10">
        <v>7</v>
      </c>
      <c r="B10" t="str">
        <v>ترنج أطفال رياضي قطعتين شتوي ميلتون</v>
      </c>
      <c r="C10" t="str">
        <v>6225503300023</v>
      </c>
      <c r="D10" t="str">
        <v/>
      </c>
      <c r="E10" t="str">
        <v>قطعة</v>
      </c>
      <c r="F10">
        <v>260</v>
      </c>
      <c r="G10">
        <v>165</v>
      </c>
      <c r="H10">
        <v>0</v>
      </c>
      <c r="I10">
        <v>2</v>
      </c>
      <c r="J10">
        <f>F10-G10</f>
        <v>95</v>
      </c>
      <c r="K10" s="1">
        <f>IF(G10&gt;0, (F10-G10)/G10, 0)</f>
        <v>0.5758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KTR-GRY-08</v>
      </c>
      <c r="R10" t="str">
        <v>رمادي</v>
      </c>
      <c r="S10" t="str">
        <v>8</v>
      </c>
      <c r="T10" t="str">
        <v/>
      </c>
    </row>
    <row r="11">
      <c r="A11">
        <v>8</v>
      </c>
      <c r="B11" t="str">
        <v>ترنج أطفال رياضي قطعتين شتوي ميلتون</v>
      </c>
      <c r="C11" t="str">
        <v>6225503300024</v>
      </c>
      <c r="D11" t="str">
        <v/>
      </c>
      <c r="E11" t="str">
        <v>قطعة</v>
      </c>
      <c r="F11">
        <v>260</v>
      </c>
      <c r="G11">
        <v>165</v>
      </c>
      <c r="H11">
        <v>0</v>
      </c>
      <c r="I11">
        <v>2</v>
      </c>
      <c r="J11">
        <f>F11-G11</f>
        <v>95</v>
      </c>
      <c r="K11" s="1">
        <f>IF(G11&gt;0, (F11-G11)/G11, 0)</f>
        <v>0.5758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KTR-GRY-10</v>
      </c>
      <c r="R11" t="str">
        <v>رمادي</v>
      </c>
      <c r="S11" t="str">
        <v>10</v>
      </c>
      <c r="T11" t="str">
        <v/>
      </c>
    </row>
    <row r="12">
      <c r="A12">
        <v>9</v>
      </c>
      <c r="B12" t="str">
        <v>ترنج أطفال قطن صيفي شورت وتيشيرت</v>
      </c>
      <c r="C12" t="str">
        <v>6225503300031</v>
      </c>
      <c r="D12" t="str">
        <v/>
      </c>
      <c r="E12" t="str">
        <v>قطعة</v>
      </c>
      <c r="F12">
        <v>180</v>
      </c>
      <c r="G12">
        <v>110</v>
      </c>
      <c r="H12">
        <v>0</v>
      </c>
      <c r="I12">
        <v>2</v>
      </c>
      <c r="J12">
        <f>F12-G12</f>
        <v>70</v>
      </c>
      <c r="K12" s="1">
        <f>IF(G12&gt;0, (F12-G12)/G12, 0)</f>
        <v>0.6364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KTS-RED-04</v>
      </c>
      <c r="R12" t="str">
        <v>أحمر</v>
      </c>
      <c r="S12" t="str">
        <v>4</v>
      </c>
      <c r="T12" t="str">
        <v/>
      </c>
    </row>
    <row r="13">
      <c r="A13">
        <v>10</v>
      </c>
      <c r="B13" t="str">
        <v>ترنج أطفال قطن صيفي شورت وتيشيرت</v>
      </c>
      <c r="C13" t="str">
        <v>6225503300032</v>
      </c>
      <c r="D13" t="str">
        <v/>
      </c>
      <c r="E13" t="str">
        <v>قطعة</v>
      </c>
      <c r="F13">
        <v>180</v>
      </c>
      <c r="G13">
        <v>110</v>
      </c>
      <c r="H13">
        <v>0</v>
      </c>
      <c r="I13">
        <v>3</v>
      </c>
      <c r="J13">
        <f>F13-G13</f>
        <v>70</v>
      </c>
      <c r="K13" s="1">
        <f>IF(G13&gt;0, (F13-G13)/G13, 0)</f>
        <v>0.6364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KTS-RED-06</v>
      </c>
      <c r="R13" t="str">
        <v>أحمر</v>
      </c>
      <c r="S13" t="str">
        <v>6</v>
      </c>
      <c r="T13" t="str">
        <v/>
      </c>
    </row>
    <row r="14">
      <c r="A14">
        <v>11</v>
      </c>
      <c r="B14" t="str">
        <v>ترنج أطفال قطن صيفي شورت وتيشيرت</v>
      </c>
      <c r="C14" t="str">
        <v>6225503300033</v>
      </c>
      <c r="D14" t="str">
        <v/>
      </c>
      <c r="E14" t="str">
        <v>قطعة</v>
      </c>
      <c r="F14">
        <v>180</v>
      </c>
      <c r="G14">
        <v>110</v>
      </c>
      <c r="H14">
        <v>0</v>
      </c>
      <c r="I14">
        <v>3</v>
      </c>
      <c r="J14">
        <f>F14-G14</f>
        <v>70</v>
      </c>
      <c r="K14" s="1">
        <f>IF(G14&gt;0, (F14-G14)/G14, 0)</f>
        <v>0.6364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KTS-TRQ-06</v>
      </c>
      <c r="R14" t="str">
        <v>تركواز</v>
      </c>
      <c r="S14" t="str">
        <v>6</v>
      </c>
      <c r="T14" t="str">
        <v/>
      </c>
    </row>
    <row r="15">
      <c r="A15">
        <v>12</v>
      </c>
      <c r="B15" t="str">
        <v>شورت أطفال جينز مريح بأستك</v>
      </c>
      <c r="C15" t="str">
        <v>6225503300041</v>
      </c>
      <c r="D15" t="str">
        <v/>
      </c>
      <c r="E15" t="str">
        <v>قطعة</v>
      </c>
      <c r="F15">
        <v>140</v>
      </c>
      <c r="G15">
        <v>85</v>
      </c>
      <c r="H15">
        <v>0</v>
      </c>
      <c r="I15">
        <v>3</v>
      </c>
      <c r="J15">
        <f>F15-G15</f>
        <v>55</v>
      </c>
      <c r="K15" s="1">
        <f>IF(G15&gt;0, (F15-G15)/G15, 0)</f>
        <v>0.6471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KSH-BLU-06</v>
      </c>
      <c r="R15" t="str">
        <v>أزرق</v>
      </c>
      <c r="S15" t="str">
        <v>6</v>
      </c>
      <c r="T15" t="str">
        <v/>
      </c>
    </row>
    <row r="16">
      <c r="A16">
        <v>13</v>
      </c>
      <c r="B16" t="str">
        <v>شورت أطفال جينز مريح بأستك</v>
      </c>
      <c r="C16" t="str">
        <v>6225503300042</v>
      </c>
      <c r="D16" t="str">
        <v/>
      </c>
      <c r="E16" t="str">
        <v>قطعة</v>
      </c>
      <c r="F16">
        <v>140</v>
      </c>
      <c r="G16">
        <v>85</v>
      </c>
      <c r="H16">
        <v>0</v>
      </c>
      <c r="I16">
        <v>3</v>
      </c>
      <c r="J16">
        <f>F16-G16</f>
        <v>55</v>
      </c>
      <c r="K16" s="1">
        <f>IF(G16&gt;0, (F16-G16)/G16, 0)</f>
        <v>0.6471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KSH-BLU-08</v>
      </c>
      <c r="R16" t="str">
        <v>أزرق</v>
      </c>
      <c r="S16" t="str">
        <v>8</v>
      </c>
      <c r="T16" t="str">
        <v/>
      </c>
    </row>
    <row r="17">
      <c r="A17">
        <v>14</v>
      </c>
      <c r="B17" t="str">
        <v>فستان بناتي صيفي منفوش قطن</v>
      </c>
      <c r="C17" t="str">
        <v>6225503300051</v>
      </c>
      <c r="D17" t="str">
        <v/>
      </c>
      <c r="E17" t="str">
        <v>قطعة</v>
      </c>
      <c r="F17">
        <v>220</v>
      </c>
      <c r="G17">
        <v>135</v>
      </c>
      <c r="H17">
        <v>0</v>
      </c>
      <c r="I17">
        <v>2</v>
      </c>
      <c r="J17">
        <f>F17-G17</f>
        <v>85</v>
      </c>
      <c r="K17" s="1">
        <f>IF(G17&gt;0, (F17-G17)/G17, 0)</f>
        <v>0.6296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GDR-FSH-04</v>
      </c>
      <c r="R17" t="str">
        <v>فوشيا</v>
      </c>
      <c r="S17" t="str">
        <v>4</v>
      </c>
      <c r="T17" t="str">
        <v/>
      </c>
    </row>
    <row r="18">
      <c r="A18">
        <v>15</v>
      </c>
      <c r="B18" t="str">
        <v>فستان بناتي صيفي منفوش قطن</v>
      </c>
      <c r="C18" t="str">
        <v>6225503300052</v>
      </c>
      <c r="D18" t="str">
        <v/>
      </c>
      <c r="E18" t="str">
        <v>قطعة</v>
      </c>
      <c r="F18">
        <v>220</v>
      </c>
      <c r="G18">
        <v>135</v>
      </c>
      <c r="H18">
        <v>0</v>
      </c>
      <c r="I18">
        <v>2</v>
      </c>
      <c r="J18">
        <f>F18-G18</f>
        <v>85</v>
      </c>
      <c r="K18" s="1">
        <f>IF(G18&gt;0, (F18-G18)/G18, 0)</f>
        <v>0.6296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GDR-FSH-06</v>
      </c>
      <c r="R18" t="str">
        <v>فوشيا</v>
      </c>
      <c r="S18" t="str">
        <v>6</v>
      </c>
      <c r="T18" t="str">
        <v/>
      </c>
    </row>
    <row r="19">
      <c r="A19">
        <v>16</v>
      </c>
      <c r="B19" t="str">
        <v>فستان بناتي صيفي منفوش قطن</v>
      </c>
      <c r="C19" t="str">
        <v>6225503300053</v>
      </c>
      <c r="D19" t="str">
        <v/>
      </c>
      <c r="E19" t="str">
        <v>قطعة</v>
      </c>
      <c r="F19">
        <v>220</v>
      </c>
      <c r="G19">
        <v>135</v>
      </c>
      <c r="H19">
        <v>0</v>
      </c>
      <c r="I19">
        <v>2</v>
      </c>
      <c r="J19">
        <f>F19-G19</f>
        <v>85</v>
      </c>
      <c r="K19" s="1">
        <f>IF(G19&gt;0, (F19-G19)/G19, 0)</f>
        <v>0.6296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GDR-WHT-06</v>
      </c>
      <c r="R19" t="str">
        <v>أبيض</v>
      </c>
      <c r="S19" t="str">
        <v>6</v>
      </c>
      <c r="T19" t="str">
        <v/>
      </c>
    </row>
    <row r="20">
      <c r="A20">
        <v>17</v>
      </c>
      <c r="B20" t="str">
        <v>بيجامة أطفال قطن نوم مريحة</v>
      </c>
      <c r="C20" t="str">
        <v>6225503300061</v>
      </c>
      <c r="D20" t="str">
        <v/>
      </c>
      <c r="E20" t="str">
        <v>قطعة</v>
      </c>
      <c r="F20">
        <v>160</v>
      </c>
      <c r="G20">
        <v>98</v>
      </c>
      <c r="H20">
        <v>0</v>
      </c>
      <c r="I20">
        <v>3</v>
      </c>
      <c r="J20">
        <f>F20-G20</f>
        <v>62</v>
      </c>
      <c r="K20" s="1">
        <f>IF(G20&gt;0, (F20-G20)/G20, 0)</f>
        <v>0.6327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KPJ-SKY-06</v>
      </c>
      <c r="R20" t="str">
        <v>سماوي</v>
      </c>
      <c r="S20" t="str">
        <v>6</v>
      </c>
      <c r="T20" t="str">
        <v/>
      </c>
    </row>
    <row r="21">
      <c r="A21">
        <v>18</v>
      </c>
      <c r="B21" t="str">
        <v>بيجامة أطفال قطن نوم مريحة</v>
      </c>
      <c r="C21" t="str">
        <v>6225503300062</v>
      </c>
      <c r="D21" t="str">
        <v/>
      </c>
      <c r="E21" t="str">
        <v>قطعة</v>
      </c>
      <c r="F21">
        <v>160</v>
      </c>
      <c r="G21">
        <v>98</v>
      </c>
      <c r="H21">
        <v>0</v>
      </c>
      <c r="I21">
        <v>3</v>
      </c>
      <c r="J21">
        <f>F21-G21</f>
        <v>62</v>
      </c>
      <c r="K21" s="1">
        <f>IF(G21&gt;0, (F21-G21)/G21, 0)</f>
        <v>0.6327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KPJ-SKY-08</v>
      </c>
      <c r="R21" t="str">
        <v>سماوي</v>
      </c>
      <c r="S21" t="str">
        <v>8</v>
      </c>
      <c r="T21" t="str">
        <v/>
      </c>
    </row>
    <row r="22">
      <c r="A22">
        <v>19</v>
      </c>
      <c r="B22" t="str">
        <v>طقم سالوبيت أطفال بيبي قطن ناعم</v>
      </c>
      <c r="C22" t="str">
        <v>6225503300071</v>
      </c>
      <c r="D22" t="str">
        <v/>
      </c>
      <c r="E22" t="str">
        <v>قطعة</v>
      </c>
      <c r="F22">
        <v>130</v>
      </c>
      <c r="G22">
        <v>80</v>
      </c>
      <c r="H22">
        <v>0</v>
      </c>
      <c r="I22">
        <v>3</v>
      </c>
      <c r="J22">
        <f>F22-G22</f>
        <v>50</v>
      </c>
      <c r="K22" s="1">
        <f>IF(G22&gt;0, (F22-G22)/G22, 0)</f>
        <v>0.625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BSL-LBN-03</v>
      </c>
      <c r="R22" t="str">
        <v>لبني</v>
      </c>
      <c r="S22" t="str">
        <v>0-3 شهور</v>
      </c>
      <c r="T22" t="str">
        <v/>
      </c>
    </row>
    <row r="23">
      <c r="A23">
        <v>20</v>
      </c>
      <c r="B23" t="str">
        <v>طقم سالوبيت أطفال بيبي قطن ناعم</v>
      </c>
      <c r="C23" t="str">
        <v>6225503300072</v>
      </c>
      <c r="D23" t="str">
        <v/>
      </c>
      <c r="E23" t="str">
        <v>قطعة</v>
      </c>
      <c r="F23">
        <v>130</v>
      </c>
      <c r="G23">
        <v>80</v>
      </c>
      <c r="H23">
        <v>0</v>
      </c>
      <c r="I23">
        <v>3</v>
      </c>
      <c r="J23">
        <f>F23-G23</f>
        <v>50</v>
      </c>
      <c r="K23" s="1">
        <f>IF(G23&gt;0, (F23-G23)/G23, 0)</f>
        <v>0.625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BSL-BEI-36</v>
      </c>
      <c r="R23" t="str">
        <v>بيج</v>
      </c>
      <c r="S23" t="str">
        <v>3-6 شهور</v>
      </c>
      <c r="T23" t="str">
        <v/>
      </c>
    </row>
    <row r="24">
      <c r="A24" t="str">
        <v>الإجمالي</v>
      </c>
      <c r="B24" t="str">
        <v>إجمالي 20 صنف مسجل</v>
      </c>
      <c r="C24" t="str">
        <v/>
      </c>
      <c r="D24" t="str">
        <v/>
      </c>
      <c r="E24" t="str">
        <v/>
      </c>
      <c r="F24" s="2">
        <f>AVERAGE(F4:F23)</f>
      </c>
      <c r="G24" s="2">
        <f>AVERAGE(G4:G23)</f>
      </c>
      <c r="H24" s="3">
        <f>SUM(H4:H23)</f>
      </c>
      <c r="I24" t="str">
        <v/>
      </c>
      <c r="J24" s="2">
        <f>AVERAGE(J4:J23)</f>
      </c>
      <c r="K24" s="1">
        <f>IF(L24&gt;0, N24/L24, 0)</f>
      </c>
      <c r="L24" s="2">
        <f>SUM(L4:L23)</f>
      </c>
      <c r="M24" s="2">
        <f>SUM(M4:M23)</f>
      </c>
      <c r="N24" s="2">
        <f>SUM(N4:N23)</f>
      </c>
      <c r="O24" t="str">
        <v>محسوب بمعادلات إكسل</v>
      </c>
      <c r="P24" t="str">
        <v/>
      </c>
      <c r="Q24" t="str">
        <v/>
      </c>
      <c r="R24" t="str">
        <v/>
      </c>
      <c r="S24" t="str">
        <v/>
      </c>
      <c r="T24" t="str">
        <v/>
      </c>
    </row>
  </sheetData>
  <mergeCells count="2">
    <mergeCell ref="A1:T1"/>
    <mergeCell ref="A2:T2"/>
  </mergeCells>
  <ignoredErrors>
    <ignoredError numberStoredAsText="1" sqref="A1:T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[أحذية وحقائب]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حذاء رياضي كوتشي كاجوال إير خفيف مريح</v>
      </c>
      <c r="C4" t="str">
        <v>6225504400011</v>
      </c>
      <c r="D4" t="str">
        <v/>
      </c>
      <c r="E4" t="str">
        <v>قطعة</v>
      </c>
      <c r="F4">
        <v>320</v>
      </c>
      <c r="G4">
        <v>200</v>
      </c>
      <c r="H4">
        <v>0</v>
      </c>
      <c r="I4">
        <v>2</v>
      </c>
      <c r="J4">
        <f>F4-G4</f>
        <v>120</v>
      </c>
      <c r="K4" s="1">
        <f>IF(G4&gt;0, (F4-G4)/G4, 0)</f>
        <v>0.6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SHS-BLK-41</v>
      </c>
      <c r="R4" t="str">
        <v>أسود</v>
      </c>
      <c r="S4" t="str">
        <v>41</v>
      </c>
      <c r="T4" t="str">
        <v/>
      </c>
    </row>
    <row r="5">
      <c r="A5">
        <v>2</v>
      </c>
      <c r="B5" t="str">
        <v>حذاء رياضي كوتشي كاجوال إير خفيف مريح</v>
      </c>
      <c r="C5" t="str">
        <v>6225504400012</v>
      </c>
      <c r="D5" t="str">
        <v/>
      </c>
      <c r="E5" t="str">
        <v>قطعة</v>
      </c>
      <c r="F5">
        <v>320</v>
      </c>
      <c r="G5">
        <v>200</v>
      </c>
      <c r="H5">
        <v>0</v>
      </c>
      <c r="I5">
        <v>3</v>
      </c>
      <c r="J5">
        <f>F5-G5</f>
        <v>120</v>
      </c>
      <c r="K5" s="1">
        <f>IF(G5&gt;0, (F5-G5)/G5, 0)</f>
        <v>0.6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SHS-BLK-42</v>
      </c>
      <c r="R5" t="str">
        <v>أسود</v>
      </c>
      <c r="S5" t="str">
        <v>42</v>
      </c>
      <c r="T5" t="str">
        <v/>
      </c>
    </row>
    <row r="6">
      <c r="A6">
        <v>3</v>
      </c>
      <c r="B6" t="str">
        <v>حذاء رياضي كوتشي كاجوال إير خفيف مريح</v>
      </c>
      <c r="C6" t="str">
        <v>6225504400013</v>
      </c>
      <c r="D6" t="str">
        <v/>
      </c>
      <c r="E6" t="str">
        <v>قطعة</v>
      </c>
      <c r="F6">
        <v>320</v>
      </c>
      <c r="G6">
        <v>200</v>
      </c>
      <c r="H6">
        <v>0</v>
      </c>
      <c r="I6">
        <v>3</v>
      </c>
      <c r="J6">
        <f>F6-G6</f>
        <v>120</v>
      </c>
      <c r="K6" s="1">
        <f>IF(G6&gt;0, (F6-G6)/G6, 0)</f>
        <v>0.6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SHS-BLK-43</v>
      </c>
      <c r="R6" t="str">
        <v>أسود</v>
      </c>
      <c r="S6" t="str">
        <v>43</v>
      </c>
      <c r="T6" t="str">
        <v/>
      </c>
    </row>
    <row r="7">
      <c r="A7">
        <v>4</v>
      </c>
      <c r="B7" t="str">
        <v>حذاء رياضي كوتشي كاجوال إير خفيف مريح</v>
      </c>
      <c r="C7" t="str">
        <v>6225504400014</v>
      </c>
      <c r="D7" t="str">
        <v/>
      </c>
      <c r="E7" t="str">
        <v>قطعة</v>
      </c>
      <c r="F7">
        <v>320</v>
      </c>
      <c r="G7">
        <v>200</v>
      </c>
      <c r="H7">
        <v>0</v>
      </c>
      <c r="I7">
        <v>2</v>
      </c>
      <c r="J7">
        <f>F7-G7</f>
        <v>120</v>
      </c>
      <c r="K7" s="1">
        <f>IF(G7&gt;0, (F7-G7)/G7, 0)</f>
        <v>0.6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SHS-BLK-44</v>
      </c>
      <c r="R7" t="str">
        <v>أسود</v>
      </c>
      <c r="S7" t="str">
        <v>44</v>
      </c>
      <c r="T7" t="str">
        <v/>
      </c>
    </row>
    <row r="8">
      <c r="A8">
        <v>5</v>
      </c>
      <c r="B8" t="str">
        <v>حذاء رياضي كوتشي كاجوال إير خفيف مريح</v>
      </c>
      <c r="C8" t="str">
        <v>6225504400015</v>
      </c>
      <c r="D8" t="str">
        <v/>
      </c>
      <c r="E8" t="str">
        <v>قطعة</v>
      </c>
      <c r="F8">
        <v>320</v>
      </c>
      <c r="G8">
        <v>200</v>
      </c>
      <c r="H8">
        <v>0</v>
      </c>
      <c r="I8">
        <v>3</v>
      </c>
      <c r="J8">
        <f>F8-G8</f>
        <v>120</v>
      </c>
      <c r="K8" s="1">
        <f>IF(G8&gt;0, (F8-G8)/G8, 0)</f>
        <v>0.6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SHS-WHT-42</v>
      </c>
      <c r="R8" t="str">
        <v>أبيض</v>
      </c>
      <c r="S8" t="str">
        <v>42</v>
      </c>
      <c r="T8" t="str">
        <v/>
      </c>
    </row>
    <row r="9">
      <c r="A9">
        <v>6</v>
      </c>
      <c r="B9" t="str">
        <v>حذاء رياضي كوتشي كاجوال إير خفيف مريح</v>
      </c>
      <c r="C9" t="str">
        <v>6225504400016</v>
      </c>
      <c r="D9" t="str">
        <v/>
      </c>
      <c r="E9" t="str">
        <v>قطعة</v>
      </c>
      <c r="F9">
        <v>320</v>
      </c>
      <c r="G9">
        <v>200</v>
      </c>
      <c r="H9">
        <v>0</v>
      </c>
      <c r="I9">
        <v>3</v>
      </c>
      <c r="J9">
        <f>F9-G9</f>
        <v>120</v>
      </c>
      <c r="K9" s="1">
        <f>IF(G9&gt;0, (F9-G9)/G9, 0)</f>
        <v>0.6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SHS-WHT-43</v>
      </c>
      <c r="R9" t="str">
        <v>أبيض</v>
      </c>
      <c r="S9" t="str">
        <v>43</v>
      </c>
      <c r="T9" t="str">
        <v/>
      </c>
    </row>
    <row r="10">
      <c r="A10">
        <v>7</v>
      </c>
      <c r="B10" t="str">
        <v>حذاء رياضي كوتشي كاجوال إير خفيف مريح</v>
      </c>
      <c r="C10" t="str">
        <v>6225504400017</v>
      </c>
      <c r="D10" t="str">
        <v/>
      </c>
      <c r="E10" t="str">
        <v>قطعة</v>
      </c>
      <c r="F10">
        <v>320</v>
      </c>
      <c r="G10">
        <v>200</v>
      </c>
      <c r="H10">
        <v>0</v>
      </c>
      <c r="I10">
        <v>2</v>
      </c>
      <c r="J10">
        <f>F10-G10</f>
        <v>120</v>
      </c>
      <c r="K10" s="1">
        <f>IF(G10&gt;0, (F10-G10)/G10, 0)</f>
        <v>0.6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SHS-GRY-43</v>
      </c>
      <c r="R10" t="str">
        <v>رمادي</v>
      </c>
      <c r="S10" t="str">
        <v>43</v>
      </c>
      <c r="T10" t="str">
        <v/>
      </c>
    </row>
    <row r="11">
      <c r="A11">
        <v>8</v>
      </c>
      <c r="B11" t="str">
        <v>حذاء كلاسيك جلد طبيعي رجالي أسود فاخر</v>
      </c>
      <c r="C11" t="str">
        <v>6225504400021</v>
      </c>
      <c r="D11" t="str">
        <v/>
      </c>
      <c r="E11" t="str">
        <v>قطعة</v>
      </c>
      <c r="F11">
        <v>450</v>
      </c>
      <c r="G11">
        <v>290</v>
      </c>
      <c r="H11">
        <v>0</v>
      </c>
      <c r="I11">
        <v>1</v>
      </c>
      <c r="J11">
        <f>F11-G11</f>
        <v>160</v>
      </c>
      <c r="K11" s="1">
        <f>IF(G11&gt;0, (F11-G11)/G11, 0)</f>
        <v>0.5517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SHC-BLK-41</v>
      </c>
      <c r="R11" t="str">
        <v>أسود</v>
      </c>
      <c r="S11" t="str">
        <v>41</v>
      </c>
      <c r="T11" t="str">
        <v/>
      </c>
    </row>
    <row r="12">
      <c r="A12">
        <v>9</v>
      </c>
      <c r="B12" t="str">
        <v>حذاء كلاسيك جلد طبيعي رجالي أسود فاخر</v>
      </c>
      <c r="C12" t="str">
        <v>6225504400022</v>
      </c>
      <c r="D12" t="str">
        <v/>
      </c>
      <c r="E12" t="str">
        <v>قطعة</v>
      </c>
      <c r="F12">
        <v>450</v>
      </c>
      <c r="G12">
        <v>290</v>
      </c>
      <c r="H12">
        <v>0</v>
      </c>
      <c r="I12">
        <v>2</v>
      </c>
      <c r="J12">
        <f>F12-G12</f>
        <v>160</v>
      </c>
      <c r="K12" s="1">
        <f>IF(G12&gt;0, (F12-G12)/G12, 0)</f>
        <v>0.5517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SHC-BLK-42</v>
      </c>
      <c r="R12" t="str">
        <v>أسود</v>
      </c>
      <c r="S12" t="str">
        <v>42</v>
      </c>
      <c r="T12" t="str">
        <v/>
      </c>
    </row>
    <row r="13">
      <c r="A13">
        <v>10</v>
      </c>
      <c r="B13" t="str">
        <v>حذاء كلاسيك جلد طبيعي رجالي أسود فاخر</v>
      </c>
      <c r="C13" t="str">
        <v>6225504400023</v>
      </c>
      <c r="D13" t="str">
        <v/>
      </c>
      <c r="E13" t="str">
        <v>قطعة</v>
      </c>
      <c r="F13">
        <v>450</v>
      </c>
      <c r="G13">
        <v>290</v>
      </c>
      <c r="H13">
        <v>0</v>
      </c>
      <c r="I13">
        <v>2</v>
      </c>
      <c r="J13">
        <f>F13-G13</f>
        <v>160</v>
      </c>
      <c r="K13" s="1">
        <f>IF(G13&gt;0, (F13-G13)/G13, 0)</f>
        <v>0.5517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SHC-BLK-43</v>
      </c>
      <c r="R13" t="str">
        <v>أسود</v>
      </c>
      <c r="S13" t="str">
        <v>43</v>
      </c>
      <c r="T13" t="str">
        <v/>
      </c>
    </row>
    <row r="14">
      <c r="A14">
        <v>11</v>
      </c>
      <c r="B14" t="str">
        <v>حذاء كلاسيك جلد طبيعي رجالي أسود فاخر</v>
      </c>
      <c r="C14" t="str">
        <v>6225504400024</v>
      </c>
      <c r="D14" t="str">
        <v/>
      </c>
      <c r="E14" t="str">
        <v>قطعة</v>
      </c>
      <c r="F14">
        <v>450</v>
      </c>
      <c r="G14">
        <v>290</v>
      </c>
      <c r="H14">
        <v>0</v>
      </c>
      <c r="I14">
        <v>2</v>
      </c>
      <c r="J14">
        <f>F14-G14</f>
        <v>160</v>
      </c>
      <c r="K14" s="1">
        <f>IF(G14&gt;0, (F14-G14)/G14, 0)</f>
        <v>0.5517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SHC-BLK-44</v>
      </c>
      <c r="R14" t="str">
        <v>أسود</v>
      </c>
      <c r="S14" t="str">
        <v>44</v>
      </c>
      <c r="T14" t="str">
        <v/>
      </c>
    </row>
    <row r="15">
      <c r="A15">
        <v>12</v>
      </c>
      <c r="B15" t="str">
        <v>حذاء كلاسيك جلد طبيعي رجالي أسود فاخر</v>
      </c>
      <c r="C15" t="str">
        <v>6225504400025</v>
      </c>
      <c r="D15" t="str">
        <v/>
      </c>
      <c r="E15" t="str">
        <v>قطعة</v>
      </c>
      <c r="F15">
        <v>450</v>
      </c>
      <c r="G15">
        <v>290</v>
      </c>
      <c r="H15">
        <v>0</v>
      </c>
      <c r="I15">
        <v>2</v>
      </c>
      <c r="J15">
        <f>F15-G15</f>
        <v>160</v>
      </c>
      <c r="K15" s="1">
        <f>IF(G15&gt;0, (F15-G15)/G15, 0)</f>
        <v>0.5517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SHC-BRN-42</v>
      </c>
      <c r="R15" t="str">
        <v>بني</v>
      </c>
      <c r="S15" t="str">
        <v>42</v>
      </c>
      <c r="T15" t="str">
        <v/>
      </c>
    </row>
    <row r="16">
      <c r="A16">
        <v>13</v>
      </c>
      <c r="B16" t="str">
        <v>حذاء كلاسيك جلد طبيعي رجالي أسود فاخر</v>
      </c>
      <c r="C16" t="str">
        <v>6225504400026</v>
      </c>
      <c r="D16" t="str">
        <v/>
      </c>
      <c r="E16" t="str">
        <v>قطعة</v>
      </c>
      <c r="F16">
        <v>450</v>
      </c>
      <c r="G16">
        <v>290</v>
      </c>
      <c r="H16">
        <v>0</v>
      </c>
      <c r="I16">
        <v>2</v>
      </c>
      <c r="J16">
        <f>F16-G16</f>
        <v>160</v>
      </c>
      <c r="K16" s="1">
        <f>IF(G16&gt;0, (F16-G16)/G16, 0)</f>
        <v>0.5517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SHC-BRN-43</v>
      </c>
      <c r="R16" t="str">
        <v>بني</v>
      </c>
      <c r="S16" t="str">
        <v>43</v>
      </c>
      <c r="T16" t="str">
        <v/>
      </c>
    </row>
    <row r="17">
      <c r="A17">
        <v>14</v>
      </c>
      <c r="B17" t="str">
        <v>شبشب سلايدر مريح خروج/منزل طبي</v>
      </c>
      <c r="C17" t="str">
        <v>6225504400031</v>
      </c>
      <c r="D17" t="str">
        <v/>
      </c>
      <c r="E17" t="str">
        <v>قطعة</v>
      </c>
      <c r="F17">
        <v>95</v>
      </c>
      <c r="G17">
        <v>50</v>
      </c>
      <c r="H17">
        <v>0</v>
      </c>
      <c r="I17">
        <v>3</v>
      </c>
      <c r="J17">
        <f>F17-G17</f>
        <v>45</v>
      </c>
      <c r="K17" s="1">
        <f>IF(G17&gt;0, (F17-G17)/G17, 0)</f>
        <v>0.9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SLD-BLK-42</v>
      </c>
      <c r="R17" t="str">
        <v>أسود</v>
      </c>
      <c r="S17" t="str">
        <v>42</v>
      </c>
      <c r="T17" t="str">
        <v/>
      </c>
    </row>
    <row r="18">
      <c r="A18">
        <v>15</v>
      </c>
      <c r="B18" t="str">
        <v>شبشب سلايدر مريح خروج/منزل طبي</v>
      </c>
      <c r="C18" t="str">
        <v>6225504400032</v>
      </c>
      <c r="D18" t="str">
        <v/>
      </c>
      <c r="E18" t="str">
        <v>قطعة</v>
      </c>
      <c r="F18">
        <v>95</v>
      </c>
      <c r="G18">
        <v>50</v>
      </c>
      <c r="H18">
        <v>0</v>
      </c>
      <c r="I18">
        <v>3</v>
      </c>
      <c r="J18">
        <f>F18-G18</f>
        <v>45</v>
      </c>
      <c r="K18" s="1">
        <f>IF(G18&gt;0, (F18-G18)/G18, 0)</f>
        <v>0.9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SLD-BLK-43</v>
      </c>
      <c r="R18" t="str">
        <v>أسود</v>
      </c>
      <c r="S18" t="str">
        <v>43</v>
      </c>
      <c r="T18" t="str">
        <v/>
      </c>
    </row>
    <row r="19">
      <c r="A19">
        <v>16</v>
      </c>
      <c r="B19" t="str">
        <v>شبشب سلايدر مريح خروج/منزل طبي</v>
      </c>
      <c r="C19" t="str">
        <v>6225504400033</v>
      </c>
      <c r="D19" t="str">
        <v/>
      </c>
      <c r="E19" t="str">
        <v>قطعة</v>
      </c>
      <c r="F19">
        <v>95</v>
      </c>
      <c r="G19">
        <v>50</v>
      </c>
      <c r="H19">
        <v>0</v>
      </c>
      <c r="I19">
        <v>3</v>
      </c>
      <c r="J19">
        <f>F19-G19</f>
        <v>45</v>
      </c>
      <c r="K19" s="1">
        <f>IF(G19&gt;0, (F19-G19)/G19, 0)</f>
        <v>0.9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SLD-NVY-43</v>
      </c>
      <c r="R19" t="str">
        <v>كحلي</v>
      </c>
      <c r="S19" t="str">
        <v>43</v>
      </c>
      <c r="T19" t="str">
        <v/>
      </c>
    </row>
    <row r="20">
      <c r="A20">
        <v>17</v>
      </c>
      <c r="B20" t="str">
        <v>شوز حريمي فلات مريح خروج</v>
      </c>
      <c r="C20" t="str">
        <v>6225504400071</v>
      </c>
      <c r="D20" t="str">
        <v/>
      </c>
      <c r="E20" t="str">
        <v>قطعة</v>
      </c>
      <c r="F20">
        <v>220</v>
      </c>
      <c r="G20">
        <v>135</v>
      </c>
      <c r="H20">
        <v>0</v>
      </c>
      <c r="I20">
        <v>2</v>
      </c>
      <c r="J20">
        <f>F20-G20</f>
        <v>85</v>
      </c>
      <c r="K20" s="1">
        <f>IF(G20&gt;0, (F20-G20)/G20, 0)</f>
        <v>0.6296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FLT-BEI-37</v>
      </c>
      <c r="R20" t="str">
        <v>بيج</v>
      </c>
      <c r="S20" t="str">
        <v>37</v>
      </c>
      <c r="T20" t="str">
        <v/>
      </c>
    </row>
    <row r="21">
      <c r="A21">
        <v>18</v>
      </c>
      <c r="B21" t="str">
        <v>شوز حريمي فلات مريح خروج</v>
      </c>
      <c r="C21" t="str">
        <v>6225504400072</v>
      </c>
      <c r="D21" t="str">
        <v/>
      </c>
      <c r="E21" t="str">
        <v>قطعة</v>
      </c>
      <c r="F21">
        <v>220</v>
      </c>
      <c r="G21">
        <v>135</v>
      </c>
      <c r="H21">
        <v>0</v>
      </c>
      <c r="I21">
        <v>2</v>
      </c>
      <c r="J21">
        <f>F21-G21</f>
        <v>85</v>
      </c>
      <c r="K21" s="1">
        <f>IF(G21&gt;0, (F21-G21)/G21, 0)</f>
        <v>0.6296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FLT-BEI-38</v>
      </c>
      <c r="R21" t="str">
        <v>بيج</v>
      </c>
      <c r="S21" t="str">
        <v>38</v>
      </c>
      <c r="T21" t="str">
        <v/>
      </c>
    </row>
    <row r="22">
      <c r="A22">
        <v>19</v>
      </c>
      <c r="B22" t="str">
        <v>شوز حريمي فلات مريح خروج</v>
      </c>
      <c r="C22" t="str">
        <v>6225504400073</v>
      </c>
      <c r="D22" t="str">
        <v/>
      </c>
      <c r="E22" t="str">
        <v>قطعة</v>
      </c>
      <c r="F22">
        <v>220</v>
      </c>
      <c r="G22">
        <v>135</v>
      </c>
      <c r="H22">
        <v>0</v>
      </c>
      <c r="I22">
        <v>2</v>
      </c>
      <c r="J22">
        <f>F22-G22</f>
        <v>85</v>
      </c>
      <c r="K22" s="1">
        <f>IF(G22&gt;0, (F22-G22)/G22, 0)</f>
        <v>0.6296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FLT-BEI-39</v>
      </c>
      <c r="R22" t="str">
        <v>بيج</v>
      </c>
      <c r="S22" t="str">
        <v>39</v>
      </c>
      <c r="T22" t="str">
        <v/>
      </c>
    </row>
    <row r="23">
      <c r="A23">
        <v>20</v>
      </c>
      <c r="B23" t="str">
        <v>شوز حريمي فلات مريح خروج</v>
      </c>
      <c r="C23" t="str">
        <v>6225504400074</v>
      </c>
      <c r="D23" t="str">
        <v/>
      </c>
      <c r="E23" t="str">
        <v>قطعة</v>
      </c>
      <c r="F23">
        <v>220</v>
      </c>
      <c r="G23">
        <v>135</v>
      </c>
      <c r="H23">
        <v>0</v>
      </c>
      <c r="I23">
        <v>2</v>
      </c>
      <c r="J23">
        <f>F23-G23</f>
        <v>85</v>
      </c>
      <c r="K23" s="1">
        <f>IF(G23&gt;0, (F23-G23)/G23, 0)</f>
        <v>0.6296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FLT-BLK-38</v>
      </c>
      <c r="R23" t="str">
        <v>أسود</v>
      </c>
      <c r="S23" t="str">
        <v>38</v>
      </c>
      <c r="T23" t="str">
        <v/>
      </c>
    </row>
    <row r="24">
      <c r="A24">
        <v>21</v>
      </c>
      <c r="B24" t="str">
        <v>شوز حريمي فلات مريح خروج</v>
      </c>
      <c r="C24" t="str">
        <v>6225504400075</v>
      </c>
      <c r="D24" t="str">
        <v/>
      </c>
      <c r="E24" t="str">
        <v>قطعة</v>
      </c>
      <c r="F24">
        <v>220</v>
      </c>
      <c r="G24">
        <v>135</v>
      </c>
      <c r="H24">
        <v>0</v>
      </c>
      <c r="I24">
        <v>2</v>
      </c>
      <c r="J24">
        <f>F24-G24</f>
        <v>85</v>
      </c>
      <c r="K24" s="1">
        <f>IF(G24&gt;0, (F24-G24)/G24, 0)</f>
        <v>0.6296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FLT-BLK-39</v>
      </c>
      <c r="R24" t="str">
        <v>أسود</v>
      </c>
      <c r="S24" t="str">
        <v>39</v>
      </c>
      <c r="T24" t="str">
        <v/>
      </c>
    </row>
    <row r="25">
      <c r="A25">
        <v>22</v>
      </c>
      <c r="B25" t="str">
        <v>شنطة يد حريمي كروس جلد راقية ماركة</v>
      </c>
      <c r="C25" t="str">
        <v>6225504400041</v>
      </c>
      <c r="D25" t="str">
        <v/>
      </c>
      <c r="E25" t="str">
        <v>قطعة</v>
      </c>
      <c r="F25">
        <v>280</v>
      </c>
      <c r="G25">
        <v>175</v>
      </c>
      <c r="H25">
        <v>0</v>
      </c>
      <c r="I25">
        <v>2</v>
      </c>
      <c r="J25">
        <f>F25-G25</f>
        <v>105</v>
      </c>
      <c r="K25" s="1">
        <f>IF(G25&gt;0, (F25-G25)/G25, 0)</f>
        <v>0.6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BAG-BLK-MD</v>
      </c>
      <c r="R25" t="str">
        <v>أسود</v>
      </c>
      <c r="S25" t="str">
        <v>وسط</v>
      </c>
      <c r="T25" t="str">
        <v/>
      </c>
    </row>
    <row r="26">
      <c r="A26">
        <v>23</v>
      </c>
      <c r="B26" t="str">
        <v>شنطة يد حريمي كروس جلد راقية ماركة</v>
      </c>
      <c r="C26" t="str">
        <v>6225504400042</v>
      </c>
      <c r="D26" t="str">
        <v/>
      </c>
      <c r="E26" t="str">
        <v>قطعة</v>
      </c>
      <c r="F26">
        <v>280</v>
      </c>
      <c r="G26">
        <v>175</v>
      </c>
      <c r="H26">
        <v>0</v>
      </c>
      <c r="I26">
        <v>2</v>
      </c>
      <c r="J26">
        <f>F26-G26</f>
        <v>105</v>
      </c>
      <c r="K26" s="1">
        <f>IF(G26&gt;0, (F26-G26)/G26, 0)</f>
        <v>0.6</v>
      </c>
      <c r="L26" s="2">
        <f>H26*G26</f>
        <v>0</v>
      </c>
      <c r="M26" s="2">
        <f>H26*F26</f>
        <v>0</v>
      </c>
      <c r="N26" s="2">
        <f>M26-L26</f>
        <v>0</v>
      </c>
      <c r="O26" t="str">
        <f>IF(H26&lt;=0, "نفد من المخزن", IF(H26&lt;=I26, "قارب على النفاد", "متوفر بالمخزن"))</f>
        <v>نفد من المخزن</v>
      </c>
      <c r="P26">
        <v>0</v>
      </c>
      <c r="Q26" t="str">
        <v>BAG-HVN-MD</v>
      </c>
      <c r="R26" t="str">
        <v>هافان</v>
      </c>
      <c r="S26" t="str">
        <v>وسط</v>
      </c>
      <c r="T26" t="str">
        <v/>
      </c>
    </row>
    <row r="27">
      <c r="A27">
        <v>24</v>
      </c>
      <c r="B27" t="str">
        <v>حقيبة ظهر باك باك للجامعة ضد الماء</v>
      </c>
      <c r="C27" t="str">
        <v>6225504400051</v>
      </c>
      <c r="D27" t="str">
        <v/>
      </c>
      <c r="E27" t="str">
        <v>قطعة</v>
      </c>
      <c r="F27">
        <v>290</v>
      </c>
      <c r="G27">
        <v>180</v>
      </c>
      <c r="H27">
        <v>0</v>
      </c>
      <c r="I27">
        <v>2</v>
      </c>
      <c r="J27">
        <f>F27-G27</f>
        <v>110</v>
      </c>
      <c r="K27" s="1">
        <f>IF(G27&gt;0, (F27-G27)/G27, 0)</f>
        <v>0.6111</v>
      </c>
      <c r="L27" s="2">
        <f>H27*G27</f>
        <v>0</v>
      </c>
      <c r="M27" s="2">
        <f>H27*F27</f>
        <v>0</v>
      </c>
      <c r="N27" s="2">
        <f>M27-L27</f>
        <v>0</v>
      </c>
      <c r="O27" t="str">
        <f>IF(H27&lt;=0, "نفد من المخزن", IF(H27&lt;=I27, "قارب على النفاد", "متوفر بالمخزن"))</f>
        <v>نفد من المخزن</v>
      </c>
      <c r="P27">
        <v>0</v>
      </c>
      <c r="Q27" t="str">
        <v>BPK-BLK-LG</v>
      </c>
      <c r="R27" t="str">
        <v>أسود</v>
      </c>
      <c r="S27" t="str">
        <v>كبير</v>
      </c>
      <c r="T27" t="str">
        <v/>
      </c>
    </row>
    <row r="28">
      <c r="A28">
        <v>25</v>
      </c>
      <c r="B28" t="str">
        <v>حقيبة ظهر باك باك للجامعة ضد الماء</v>
      </c>
      <c r="C28" t="str">
        <v>6225504400052</v>
      </c>
      <c r="D28" t="str">
        <v/>
      </c>
      <c r="E28" t="str">
        <v>قطعة</v>
      </c>
      <c r="F28">
        <v>290</v>
      </c>
      <c r="G28">
        <v>180</v>
      </c>
      <c r="H28">
        <v>0</v>
      </c>
      <c r="I28">
        <v>2</v>
      </c>
      <c r="J28">
        <f>F28-G28</f>
        <v>110</v>
      </c>
      <c r="K28" s="1">
        <f>IF(G28&gt;0, (F28-G28)/G28, 0)</f>
        <v>0.6111</v>
      </c>
      <c r="L28" s="2">
        <f>H28*G28</f>
        <v>0</v>
      </c>
      <c r="M28" s="2">
        <f>H28*F28</f>
        <v>0</v>
      </c>
      <c r="N28" s="2">
        <f>M28-L28</f>
        <v>0</v>
      </c>
      <c r="O28" t="str">
        <f>IF(H28&lt;=0, "نفد من المخزن", IF(H28&lt;=I28, "قارب على النفاد", "متوفر بالمخزن"))</f>
        <v>نفد من المخزن</v>
      </c>
      <c r="P28">
        <v>0</v>
      </c>
      <c r="Q28" t="str">
        <v>BPK-GRY-LG</v>
      </c>
      <c r="R28" t="str">
        <v>رمادي</v>
      </c>
      <c r="S28" t="str">
        <v>كبير</v>
      </c>
      <c r="T28" t="str">
        <v/>
      </c>
    </row>
    <row r="29">
      <c r="A29">
        <v>26</v>
      </c>
      <c r="B29" t="str">
        <v>محفظة جيب جلد طبيعي رجالي الأصلية</v>
      </c>
      <c r="C29" t="str">
        <v>6225504400061</v>
      </c>
      <c r="D29" t="str">
        <v/>
      </c>
      <c r="E29" t="str">
        <v>قطعة</v>
      </c>
      <c r="F29">
        <v>120</v>
      </c>
      <c r="G29">
        <v>65</v>
      </c>
      <c r="H29">
        <v>0</v>
      </c>
      <c r="I29">
        <v>3</v>
      </c>
      <c r="J29">
        <f>F29-G29</f>
        <v>55</v>
      </c>
      <c r="K29" s="1">
        <f>IF(G29&gt;0, (F29-G29)/G29, 0)</f>
        <v>0.8462</v>
      </c>
      <c r="L29" s="2">
        <f>H29*G29</f>
        <v>0</v>
      </c>
      <c r="M29" s="2">
        <f>H29*F29</f>
        <v>0</v>
      </c>
      <c r="N29" s="2">
        <f>M29-L29</f>
        <v>0</v>
      </c>
      <c r="O29" t="str">
        <f>IF(H29&lt;=0, "نفد من المخزن", IF(H29&lt;=I29, "قارب على النفاد", "متوفر بالمخزن"))</f>
        <v>نفد من المخزن</v>
      </c>
      <c r="P29">
        <v>0</v>
      </c>
      <c r="Q29" t="str">
        <v>WLT-BLK-CL</v>
      </c>
      <c r="R29" t="str">
        <v>أسود</v>
      </c>
      <c r="S29" t="str">
        <v>كلاسيك</v>
      </c>
      <c r="T29" t="str">
        <v/>
      </c>
    </row>
    <row r="30">
      <c r="A30">
        <v>27</v>
      </c>
      <c r="B30" t="str">
        <v>محفظة جيب جلد طبيعي رجالي الأصلية</v>
      </c>
      <c r="C30" t="str">
        <v>6225504400062</v>
      </c>
      <c r="D30" t="str">
        <v/>
      </c>
      <c r="E30" t="str">
        <v>قطعة</v>
      </c>
      <c r="F30">
        <v>120</v>
      </c>
      <c r="G30">
        <v>65</v>
      </c>
      <c r="H30">
        <v>0</v>
      </c>
      <c r="I30">
        <v>3</v>
      </c>
      <c r="J30">
        <f>F30-G30</f>
        <v>55</v>
      </c>
      <c r="K30" s="1">
        <f>IF(G30&gt;0, (F30-G30)/G30, 0)</f>
        <v>0.8462</v>
      </c>
      <c r="L30" s="2">
        <f>H30*G30</f>
        <v>0</v>
      </c>
      <c r="M30" s="2">
        <f>H30*F30</f>
        <v>0</v>
      </c>
      <c r="N30" s="2">
        <f>M30-L30</f>
        <v>0</v>
      </c>
      <c r="O30" t="str">
        <f>IF(H30&lt;=0, "نفد من المخزن", IF(H30&lt;=I30, "قارب على النفاد", "متوفر بالمخزن"))</f>
        <v>نفد من المخزن</v>
      </c>
      <c r="P30">
        <v>0</v>
      </c>
      <c r="Q30" t="str">
        <v>WLT-BRN-CL</v>
      </c>
      <c r="R30" t="str">
        <v>بني</v>
      </c>
      <c r="S30" t="str">
        <v>كلاسيك</v>
      </c>
      <c r="T30" t="str">
        <v/>
      </c>
    </row>
    <row r="31">
      <c r="A31" t="str">
        <v>الإجمالي</v>
      </c>
      <c r="B31" t="str">
        <v>إجمالي 27 صنف مسجل</v>
      </c>
      <c r="C31" t="str">
        <v/>
      </c>
      <c r="D31" t="str">
        <v/>
      </c>
      <c r="E31" t="str">
        <v/>
      </c>
      <c r="F31" s="2">
        <f>AVERAGE(F4:F30)</f>
      </c>
      <c r="G31" s="2">
        <f>AVERAGE(G4:G30)</f>
      </c>
      <c r="H31" s="3">
        <f>SUM(H4:H30)</f>
      </c>
      <c r="I31" t="str">
        <v/>
      </c>
      <c r="J31" s="2">
        <f>AVERAGE(J4:J30)</f>
      </c>
      <c r="K31" s="1">
        <f>IF(L31&gt;0, N31/L31, 0)</f>
      </c>
      <c r="L31" s="2">
        <f>SUM(L4:L30)</f>
      </c>
      <c r="M31" s="2">
        <f>SUM(M4:M30)</f>
      </c>
      <c r="N31" s="2">
        <f>SUM(N4:N30)</f>
      </c>
      <c r="O31" t="str">
        <v>محسوب بمعادلات إكسل</v>
      </c>
      <c r="P31" t="str">
        <v/>
      </c>
      <c r="Q31" t="str">
        <v/>
      </c>
      <c r="R31" t="str">
        <v/>
      </c>
      <c r="S31" t="str">
        <v/>
      </c>
      <c r="T31" t="str">
        <v/>
      </c>
    </row>
  </sheetData>
  <mergeCells count="2">
    <mergeCell ref="A1:T1"/>
    <mergeCell ref="A2:T2"/>
  </mergeCells>
  <ignoredErrors>
    <ignoredError numberStoredAsText="1" sqref="A1:T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[إكسسوارات ملابس]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حزام جلد طبيعي رجالي كلاسيك إبزيم معدني</v>
      </c>
      <c r="C4" t="str">
        <v>6225505500011</v>
      </c>
      <c r="D4" t="str">
        <v/>
      </c>
      <c r="E4" t="str">
        <v>قطعة</v>
      </c>
      <c r="F4">
        <v>85</v>
      </c>
      <c r="G4">
        <v>45</v>
      </c>
      <c r="H4">
        <v>0</v>
      </c>
      <c r="I4">
        <v>3</v>
      </c>
      <c r="J4">
        <f>F4-G4</f>
        <v>40</v>
      </c>
      <c r="K4" s="1">
        <f>IF(G4&gt;0, (F4-G4)/G4, 0)</f>
        <v>0.8889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BLT-BLK-115</v>
      </c>
      <c r="R4" t="str">
        <v>أسود</v>
      </c>
      <c r="S4" t="str">
        <v>115 سم</v>
      </c>
      <c r="T4" t="str">
        <v/>
      </c>
    </row>
    <row r="5">
      <c r="A5">
        <v>2</v>
      </c>
      <c r="B5" t="str">
        <v>حزام جلد طبيعي رجالي كلاسيك إبزيم معدني</v>
      </c>
      <c r="C5" t="str">
        <v>6225505500012</v>
      </c>
      <c r="D5" t="str">
        <v/>
      </c>
      <c r="E5" t="str">
        <v>قطعة</v>
      </c>
      <c r="F5">
        <v>85</v>
      </c>
      <c r="G5">
        <v>45</v>
      </c>
      <c r="H5">
        <v>0</v>
      </c>
      <c r="I5">
        <v>3</v>
      </c>
      <c r="J5">
        <f>F5-G5</f>
        <v>40</v>
      </c>
      <c r="K5" s="1">
        <f>IF(G5&gt;0, (F5-G5)/G5, 0)</f>
        <v>0.8889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BLT-BRN-115</v>
      </c>
      <c r="R5" t="str">
        <v>بني</v>
      </c>
      <c r="S5" t="str">
        <v>115 سم</v>
      </c>
      <c r="T5" t="str">
        <v/>
      </c>
    </row>
    <row r="6">
      <c r="A6">
        <v>3</v>
      </c>
      <c r="B6" t="str">
        <v>حزام كاجوال قماش مضفر رياضي مريح</v>
      </c>
      <c r="C6" t="str">
        <v>6225505500020</v>
      </c>
      <c r="D6" t="str">
        <v/>
      </c>
      <c r="E6" t="str">
        <v>قطعة</v>
      </c>
      <c r="F6">
        <v>55</v>
      </c>
      <c r="G6">
        <v>28</v>
      </c>
      <c r="H6">
        <v>0</v>
      </c>
      <c r="I6">
        <v>4</v>
      </c>
      <c r="J6">
        <f>F6-G6</f>
        <v>27</v>
      </c>
      <c r="K6" s="1">
        <f>IF(G6&gt;0, (F6-G6)/G6, 0)</f>
        <v>0.9643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BLT-NVY-FS</v>
      </c>
      <c r="R6" t="str">
        <v>كحلي</v>
      </c>
      <c r="S6" t="str">
        <v>فري سايز</v>
      </c>
      <c r="T6" t="str">
        <v/>
      </c>
    </row>
    <row r="7">
      <c r="A7">
        <v>4</v>
      </c>
      <c r="B7" t="str">
        <v>طرحة شيفون سادة ناعمة ألوان متعددة</v>
      </c>
      <c r="C7" t="str">
        <v>6225505500031</v>
      </c>
      <c r="D7" t="str">
        <v/>
      </c>
      <c r="E7" t="str">
        <v>قطعة</v>
      </c>
      <c r="F7">
        <v>65</v>
      </c>
      <c r="G7">
        <v>35</v>
      </c>
      <c r="H7">
        <v>0</v>
      </c>
      <c r="I7">
        <v>5</v>
      </c>
      <c r="J7">
        <f>F7-G7</f>
        <v>30</v>
      </c>
      <c r="K7" s="1">
        <f>IF(G7&gt;0, (F7-G7)/G7, 0)</f>
        <v>0.8571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TRH-CSH-STD</v>
      </c>
      <c r="R7" t="str">
        <v>كشمير</v>
      </c>
      <c r="S7" t="str">
        <v>70x180 سم</v>
      </c>
      <c r="T7" t="str">
        <v/>
      </c>
    </row>
    <row r="8">
      <c r="A8">
        <v>5</v>
      </c>
      <c r="B8" t="str">
        <v>طرحة شيفون سادة ناعمة ألوان متعددة</v>
      </c>
      <c r="C8" t="str">
        <v>6225505500032</v>
      </c>
      <c r="D8" t="str">
        <v/>
      </c>
      <c r="E8" t="str">
        <v>قطعة</v>
      </c>
      <c r="F8">
        <v>65</v>
      </c>
      <c r="G8">
        <v>35</v>
      </c>
      <c r="H8">
        <v>0</v>
      </c>
      <c r="I8">
        <v>5</v>
      </c>
      <c r="J8">
        <f>F8-G8</f>
        <v>30</v>
      </c>
      <c r="K8" s="1">
        <f>IF(G8&gt;0, (F8-G8)/G8, 0)</f>
        <v>0.8571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TRH-BEI-STD</v>
      </c>
      <c r="R8" t="str">
        <v>بيج</v>
      </c>
      <c r="S8" t="str">
        <v>70x180 سم</v>
      </c>
      <c r="T8" t="str">
        <v/>
      </c>
    </row>
    <row r="9">
      <c r="A9">
        <v>6</v>
      </c>
      <c r="B9" t="str">
        <v>طرحة شيفون سادة ناعمة ألوان متعددة</v>
      </c>
      <c r="C9" t="str">
        <v>6225505500033</v>
      </c>
      <c r="D9" t="str">
        <v/>
      </c>
      <c r="E9" t="str">
        <v>قطعة</v>
      </c>
      <c r="F9">
        <v>65</v>
      </c>
      <c r="G9">
        <v>35</v>
      </c>
      <c r="H9">
        <v>0</v>
      </c>
      <c r="I9">
        <v>6</v>
      </c>
      <c r="J9">
        <f>F9-G9</f>
        <v>30</v>
      </c>
      <c r="K9" s="1">
        <f>IF(G9&gt;0, (F9-G9)/G9, 0)</f>
        <v>0.8571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TRH-BLK-STD</v>
      </c>
      <c r="R9" t="str">
        <v>أسود</v>
      </c>
      <c r="S9" t="str">
        <v>70x180 سم</v>
      </c>
      <c r="T9" t="str">
        <v/>
      </c>
    </row>
    <row r="10">
      <c r="A10">
        <v>7</v>
      </c>
      <c r="B10" t="str">
        <v>طرحة كريب كويتي مطاط مريحة ألوان ثابتة</v>
      </c>
      <c r="C10" t="str">
        <v>6225505500041</v>
      </c>
      <c r="D10" t="str">
        <v/>
      </c>
      <c r="E10" t="str">
        <v>قطعة</v>
      </c>
      <c r="F10">
        <v>75</v>
      </c>
      <c r="G10">
        <v>42</v>
      </c>
      <c r="H10">
        <v>0</v>
      </c>
      <c r="I10">
        <v>4</v>
      </c>
      <c r="J10">
        <f>F10-G10</f>
        <v>33</v>
      </c>
      <c r="K10" s="1">
        <f>IF(G10&gt;0, (F10-G10)/G10, 0)</f>
        <v>0.7857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TRK-NVY-STD</v>
      </c>
      <c r="R10" t="str">
        <v>كحلي</v>
      </c>
      <c r="S10" t="str">
        <v>75x185 سم</v>
      </c>
      <c r="T10" t="str">
        <v/>
      </c>
    </row>
    <row r="11">
      <c r="A11">
        <v>8</v>
      </c>
      <c r="B11" t="str">
        <v>طرحة كريب كويتي مطاط مريحة ألوان ثابتة</v>
      </c>
      <c r="C11" t="str">
        <v>6225505500042</v>
      </c>
      <c r="D11" t="str">
        <v/>
      </c>
      <c r="E11" t="str">
        <v>قطعة</v>
      </c>
      <c r="F11">
        <v>75</v>
      </c>
      <c r="G11">
        <v>42</v>
      </c>
      <c r="H11">
        <v>0</v>
      </c>
      <c r="I11">
        <v>4</v>
      </c>
      <c r="J11">
        <f>F11-G11</f>
        <v>33</v>
      </c>
      <c r="K11" s="1">
        <f>IF(G11&gt;0, (F11-G11)/G11, 0)</f>
        <v>0.7857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TRK-OLV-STD</v>
      </c>
      <c r="R11" t="str">
        <v>زيتي</v>
      </c>
      <c r="S11" t="str">
        <v>75x185 سم</v>
      </c>
      <c r="T11" t="str">
        <v/>
      </c>
    </row>
    <row r="12">
      <c r="A12">
        <v>9</v>
      </c>
      <c r="B12" t="str">
        <v>شال صوف كشمير شتوي حريمي دافئ</v>
      </c>
      <c r="C12" t="str">
        <v>6225505500051</v>
      </c>
      <c r="D12" t="str">
        <v/>
      </c>
      <c r="E12" t="str">
        <v>قطعة</v>
      </c>
      <c r="F12">
        <v>130</v>
      </c>
      <c r="G12">
        <v>75</v>
      </c>
      <c r="H12">
        <v>0</v>
      </c>
      <c r="I12">
        <v>2</v>
      </c>
      <c r="J12">
        <f>F12-G12</f>
        <v>55</v>
      </c>
      <c r="K12" s="1">
        <f>IF(G12&gt;0, (F12-G12)/G12, 0)</f>
        <v>0.7333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SHL-BUR-LG</v>
      </c>
      <c r="R12" t="str">
        <v>نبيتي</v>
      </c>
      <c r="S12" t="str">
        <v>كبير</v>
      </c>
      <c r="T12" t="str">
        <v/>
      </c>
    </row>
    <row r="13">
      <c r="A13">
        <v>10</v>
      </c>
      <c r="B13" t="str">
        <v>شال صوف كشمير شتوي حريمي دافئ</v>
      </c>
      <c r="C13" t="str">
        <v>6225505500052</v>
      </c>
      <c r="D13" t="str">
        <v/>
      </c>
      <c r="E13" t="str">
        <v>قطعة</v>
      </c>
      <c r="F13">
        <v>130</v>
      </c>
      <c r="G13">
        <v>75</v>
      </c>
      <c r="H13">
        <v>0</v>
      </c>
      <c r="I13">
        <v>2</v>
      </c>
      <c r="J13">
        <f>F13-G13</f>
        <v>55</v>
      </c>
      <c r="K13" s="1">
        <f>IF(G13&gt;0, (F13-G13)/G13, 0)</f>
        <v>0.7333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SHL-GRY-LG</v>
      </c>
      <c r="R13" t="str">
        <v>رمادي</v>
      </c>
      <c r="S13" t="str">
        <v>كبير</v>
      </c>
      <c r="T13" t="str">
        <v/>
      </c>
    </row>
    <row r="14">
      <c r="A14">
        <v>11</v>
      </c>
      <c r="B14" t="str">
        <v>شراب قطن مصري طقم 3 قطع كعب مبطن</v>
      </c>
      <c r="C14" t="str">
        <v>6225505500061</v>
      </c>
      <c r="D14" t="str">
        <v/>
      </c>
      <c r="E14" t="str">
        <v>قطعة</v>
      </c>
      <c r="F14">
        <v>45</v>
      </c>
      <c r="G14">
        <v>25</v>
      </c>
      <c r="H14">
        <v>0</v>
      </c>
      <c r="I14">
        <v>6</v>
      </c>
      <c r="J14">
        <f>F14-G14</f>
        <v>20</v>
      </c>
      <c r="K14" s="1">
        <f>IF(G14&gt;0, (F14-G14)/G14, 0)</f>
        <v>0.8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SCK-BLK-4145</v>
      </c>
      <c r="R14" t="str">
        <v>أسود</v>
      </c>
      <c r="S14" t="str">
        <v>41-45</v>
      </c>
      <c r="T14" t="str">
        <v/>
      </c>
    </row>
    <row r="15">
      <c r="A15">
        <v>12</v>
      </c>
      <c r="B15" t="str">
        <v>شراب قطن مصري طقم 3 قطع كعب مبطن</v>
      </c>
      <c r="C15" t="str">
        <v>6225505500062</v>
      </c>
      <c r="D15" t="str">
        <v/>
      </c>
      <c r="E15" t="str">
        <v>قطعة</v>
      </c>
      <c r="F15">
        <v>45</v>
      </c>
      <c r="G15">
        <v>25</v>
      </c>
      <c r="H15">
        <v>0</v>
      </c>
      <c r="I15">
        <v>6</v>
      </c>
      <c r="J15">
        <f>F15-G15</f>
        <v>20</v>
      </c>
      <c r="K15" s="1">
        <f>IF(G15&gt;0, (F15-G15)/G15, 0)</f>
        <v>0.8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SCK-WHT-4145</v>
      </c>
      <c r="R15" t="str">
        <v>أبيض</v>
      </c>
      <c r="S15" t="str">
        <v>41-45</v>
      </c>
      <c r="T15" t="str">
        <v/>
      </c>
    </row>
    <row r="16">
      <c r="A16">
        <v>13</v>
      </c>
      <c r="B16" t="str">
        <v>كيس ملابس هدايا سميك فاخر للمحل</v>
      </c>
      <c r="C16" t="str">
        <v>6225505500071</v>
      </c>
      <c r="D16" t="str">
        <v/>
      </c>
      <c r="E16" t="str">
        <v>قطعة</v>
      </c>
      <c r="F16">
        <v>5</v>
      </c>
      <c r="G16">
        <v>2.2</v>
      </c>
      <c r="H16">
        <v>0</v>
      </c>
      <c r="I16">
        <v>20</v>
      </c>
      <c r="J16">
        <f>F16-G16</f>
        <v>2.8</v>
      </c>
      <c r="K16" s="1">
        <f>IF(G16&gt;0, (F16-G16)/G16, 0)</f>
        <v>1.2727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BAG-GFT-LG</v>
      </c>
      <c r="R16" t="str">
        <v>أبيض</v>
      </c>
      <c r="S16" t="str">
        <v>كبير</v>
      </c>
      <c r="T16" t="str">
        <v/>
      </c>
    </row>
    <row r="17">
      <c r="A17" t="str">
        <v>الإجمالي</v>
      </c>
      <c r="B17" t="str">
        <v>إجمالي 13 صنف مسجل</v>
      </c>
      <c r="C17" t="str">
        <v/>
      </c>
      <c r="D17" t="str">
        <v/>
      </c>
      <c r="E17" t="str">
        <v/>
      </c>
      <c r="F17" s="2">
        <f>AVERAGE(F4:F16)</f>
      </c>
      <c r="G17" s="2">
        <f>AVERAGE(G4:G16)</f>
      </c>
      <c r="H17" s="3">
        <f>SUM(H4:H16)</f>
      </c>
      <c r="I17" t="str">
        <v/>
      </c>
      <c r="J17" s="2">
        <f>AVERAGE(J4:J16)</f>
      </c>
      <c r="K17" s="1">
        <f>IF(L17&gt;0, N17/L17, 0)</f>
      </c>
      <c r="L17" s="2">
        <f>SUM(L4:L16)</f>
      </c>
      <c r="M17" s="2">
        <f>SUM(M4:M16)</f>
      </c>
      <c r="N17" s="2">
        <f>SUM(N4:N16)</f>
      </c>
      <c r="O17" t="str">
        <v>محسوب بمعادلات إكسل</v>
      </c>
      <c r="P17" t="str">
        <v/>
      </c>
      <c r="Q17" t="str">
        <v/>
      </c>
      <c r="R17" t="str">
        <v/>
      </c>
      <c r="S17" t="str">
        <v/>
      </c>
      <c r="T17" t="str">
        <v/>
      </c>
    </row>
  </sheetData>
  <mergeCells count="2">
    <mergeCell ref="A1:T1"/>
    <mergeCell ref="A2:T2"/>
  </mergeCells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ملابس رجالي</vt:lpstr>
      <vt:lpstr>ملابس حريمي</vt:lpstr>
      <vt:lpstr>ملابس أطفال</vt:lpstr>
      <vt:lpstr>أحذية وحقائب</vt:lpstr>
      <vt:lpstr>إكسسوارات ملابس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