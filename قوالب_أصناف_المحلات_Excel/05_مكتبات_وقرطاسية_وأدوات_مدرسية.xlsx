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طباعة وتصوير مستندات" sheetId="1" r:id="rId1"/>
    <sheet name="أدوات كتابة وأقلام" sheetId="2" r:id="rId2"/>
    <sheet name="كشاكيل ودفاتر" sheetId="3" r:id="rId3"/>
    <sheet name="أدوات هندسية ومدرسية" sheetId="4" r:id="rId4"/>
    <sheet name="ألعاب وهدايا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0.0%"/>
    <numFmt numFmtId="61" formatCode="#,##0.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[طباعة وتصوير مستندات]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باكت ورق تصوير A4 دبل إيه Double A 80 جم</v>
      </c>
      <c r="C4" t="str">
        <v>8851100110012</v>
      </c>
      <c r="D4" t="str">
        <v/>
      </c>
      <c r="E4" t="str">
        <v>قطعة</v>
      </c>
      <c r="F4">
        <v>210</v>
      </c>
      <c r="G4">
        <v>180</v>
      </c>
      <c r="H4">
        <v>0</v>
      </c>
      <c r="I4">
        <v>3</v>
      </c>
      <c r="J4">
        <f>F4-G4</f>
        <v>30</v>
      </c>
      <c r="K4" s="1">
        <f>IF(G4&gt;0, (F4-G4)/G4, 0)</f>
        <v>0.1667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SKU-0001</v>
      </c>
      <c r="R4" t="str">
        <v/>
      </c>
      <c r="S4" t="str">
        <v/>
      </c>
      <c r="T4" t="str">
        <v/>
      </c>
    </row>
    <row r="5">
      <c r="A5">
        <v>2</v>
      </c>
      <c r="B5" t="str">
        <v>باكت ورق تصوير A4 مالتي أوفيس 75 جم</v>
      </c>
      <c r="C5" t="str">
        <v>8851100110029</v>
      </c>
      <c r="D5" t="str">
        <v/>
      </c>
      <c r="E5" t="str">
        <v>قطعة</v>
      </c>
      <c r="F5">
        <v>175</v>
      </c>
      <c r="G5">
        <v>150</v>
      </c>
      <c r="H5">
        <v>0</v>
      </c>
      <c r="I5">
        <v>4</v>
      </c>
      <c r="J5">
        <f>F5-G5</f>
        <v>25</v>
      </c>
      <c r="K5" s="1">
        <f>IF(G5&gt;0, (F5-G5)/G5, 0)</f>
        <v>0.1667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SKU-0002</v>
      </c>
      <c r="R5" t="str">
        <v/>
      </c>
      <c r="S5" t="str">
        <v/>
      </c>
      <c r="T5" t="str">
        <v/>
      </c>
    </row>
    <row r="6">
      <c r="A6">
        <v>3</v>
      </c>
      <c r="B6" t="str">
        <v>تصوير مستند ورقة واحدة وجه أبيض وأسود</v>
      </c>
      <c r="C6" t="str">
        <v>8851100110036</v>
      </c>
      <c r="D6" t="str">
        <v/>
      </c>
      <c r="E6" t="str">
        <v>قطعة</v>
      </c>
      <c r="F6">
        <v>1.5</v>
      </c>
      <c r="G6">
        <v>0.5</v>
      </c>
      <c r="H6">
        <v>0</v>
      </c>
      <c r="I6">
        <v>1</v>
      </c>
      <c r="J6">
        <f>F6-G6</f>
        <v>1</v>
      </c>
      <c r="K6" s="1">
        <f>IF(G6&gt;0, (F6-G6)/G6, 0)</f>
        <v>2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SKU-0003</v>
      </c>
      <c r="R6" t="str">
        <v/>
      </c>
      <c r="S6" t="str">
        <v/>
      </c>
      <c r="T6" t="str">
        <v/>
      </c>
    </row>
    <row r="7">
      <c r="A7">
        <v>4</v>
      </c>
      <c r="B7" t="str">
        <v>تصوير مستند وجهين أبيض وأسود</v>
      </c>
      <c r="C7" t="str">
        <v>8851100110043</v>
      </c>
      <c r="D7" t="str">
        <v/>
      </c>
      <c r="E7" t="str">
        <v>قطعة</v>
      </c>
      <c r="F7">
        <v>2.5</v>
      </c>
      <c r="G7">
        <v>0.8</v>
      </c>
      <c r="H7">
        <v>0</v>
      </c>
      <c r="I7">
        <v>1</v>
      </c>
      <c r="J7">
        <f>F7-G7</f>
        <v>1.7</v>
      </c>
      <c r="K7" s="1">
        <f>IF(G7&gt;0, (F7-G7)/G7, 0)</f>
        <v>2.125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SKU-0004</v>
      </c>
      <c r="R7" t="str">
        <v/>
      </c>
      <c r="S7" t="str">
        <v/>
      </c>
      <c r="T7" t="str">
        <v/>
      </c>
    </row>
    <row r="8">
      <c r="A8">
        <v>5</v>
      </c>
      <c r="B8" t="str">
        <v>طباعة ورق ألوان ليزر فاخرة</v>
      </c>
      <c r="C8" t="str">
        <v>8851100110050</v>
      </c>
      <c r="D8" t="str">
        <v/>
      </c>
      <c r="E8" t="str">
        <v>قطعة</v>
      </c>
      <c r="F8">
        <v>6</v>
      </c>
      <c r="G8">
        <v>2.5</v>
      </c>
      <c r="H8">
        <v>0</v>
      </c>
      <c r="I8">
        <v>1</v>
      </c>
      <c r="J8">
        <f>F8-G8</f>
        <v>3.5</v>
      </c>
      <c r="K8" s="1">
        <f>IF(G8&gt;0, (F8-G8)/G8, 0)</f>
        <v>1.4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SKU-0005</v>
      </c>
      <c r="R8" t="str">
        <v/>
      </c>
      <c r="S8" t="str">
        <v/>
      </c>
      <c r="T8" t="str">
        <v/>
      </c>
    </row>
    <row r="9">
      <c r="A9">
        <v>6</v>
      </c>
      <c r="B9" t="str">
        <v>تغليف مستند حراري مقاس A4 باوتش</v>
      </c>
      <c r="C9" t="str">
        <v>8851100110067</v>
      </c>
      <c r="D9" t="str">
        <v/>
      </c>
      <c r="E9" t="str">
        <v>قطعة</v>
      </c>
      <c r="F9">
        <v>5</v>
      </c>
      <c r="G9">
        <v>2</v>
      </c>
      <c r="H9">
        <v>0</v>
      </c>
      <c r="I9">
        <v>2</v>
      </c>
      <c r="J9">
        <f>F9-G9</f>
        <v>3</v>
      </c>
      <c r="K9" s="1">
        <f>IF(G9&gt;0, (F9-G9)/G9, 0)</f>
        <v>1.5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SKU-0006</v>
      </c>
      <c r="R9" t="str">
        <v/>
      </c>
      <c r="S9" t="str">
        <v/>
      </c>
      <c r="T9" t="str">
        <v/>
      </c>
    </row>
    <row r="10">
      <c r="A10">
        <v>7</v>
      </c>
      <c r="B10" t="str">
        <v>سلك حلزوني وتجليد مذكرة مع غلاف بلاستيك</v>
      </c>
      <c r="C10" t="str">
        <v>8851100110074</v>
      </c>
      <c r="D10" t="str">
        <v/>
      </c>
      <c r="E10" t="str">
        <v>قطعة</v>
      </c>
      <c r="F10">
        <v>15</v>
      </c>
      <c r="G10">
        <v>6</v>
      </c>
      <c r="H10">
        <v>0</v>
      </c>
      <c r="I10">
        <v>2</v>
      </c>
      <c r="J10">
        <f>F10-G10</f>
        <v>9</v>
      </c>
      <c r="K10" s="1">
        <f>IF(G10&gt;0, (F10-G10)/G10, 0)</f>
        <v>1.5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SKU-0007</v>
      </c>
      <c r="R10" t="str">
        <v/>
      </c>
      <c r="S10" t="str">
        <v/>
      </c>
      <c r="T10" t="str">
        <v/>
      </c>
    </row>
    <row r="11">
      <c r="A11" t="str">
        <v>الإجمالي</v>
      </c>
      <c r="B11" t="str">
        <v>إجمالي 7 صنف مسجل</v>
      </c>
      <c r="C11" t="str">
        <v/>
      </c>
      <c r="D11" t="str">
        <v/>
      </c>
      <c r="E11" t="str">
        <v/>
      </c>
      <c r="F11" s="2">
        <f>AVERAGE(F4:F10)</f>
      </c>
      <c r="G11" s="2">
        <f>AVERAGE(G4:G10)</f>
      </c>
      <c r="H11" s="3">
        <f>SUM(H4:H10)</f>
      </c>
      <c r="I11" t="str">
        <v/>
      </c>
      <c r="J11" s="2">
        <f>AVERAGE(J4:J10)</f>
      </c>
      <c r="K11" s="1">
        <f>IF(L11&gt;0, N11/L11, 0)</f>
      </c>
      <c r="L11" s="2">
        <f>SUM(L4:L10)</f>
      </c>
      <c r="M11" s="2">
        <f>SUM(M4:M10)</f>
      </c>
      <c r="N11" s="2">
        <f>SUM(N4:N10)</f>
      </c>
      <c r="O11" t="str">
        <v>محسوب بمعادلات إكسل</v>
      </c>
      <c r="P11" t="str">
        <v/>
      </c>
      <c r="Q11" t="str">
        <v/>
      </c>
      <c r="R11" t="str">
        <v/>
      </c>
      <c r="S11" t="str">
        <v/>
      </c>
      <c r="T11" t="str">
        <v/>
      </c>
    </row>
  </sheetData>
  <mergeCells count="2">
    <mergeCell ref="A1:T1"/>
    <mergeCell ref="A2:T2"/>
  </mergeCells>
  <ignoredErrors>
    <ignoredError numberStoredAsText="1" sqref="A1:T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[أدوات كتابة وأقلام]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قلم جاف أزرق روتو 0.7 ملم Roto Canco</v>
      </c>
      <c r="C4" t="str">
        <v>8852200220014</v>
      </c>
      <c r="D4" t="str">
        <v/>
      </c>
      <c r="E4" t="str">
        <v>قطعة</v>
      </c>
      <c r="F4">
        <v>6</v>
      </c>
      <c r="G4">
        <v>4.2</v>
      </c>
      <c r="H4">
        <v>0</v>
      </c>
      <c r="I4">
        <v>15</v>
      </c>
      <c r="J4">
        <f>F4-G4</f>
        <v>1.8</v>
      </c>
      <c r="K4" s="1">
        <f>IF(G4&gt;0, (F4-G4)/G4, 0)</f>
        <v>0.4286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SKU-0008</v>
      </c>
      <c r="R4" t="str">
        <v/>
      </c>
      <c r="S4" t="str">
        <v/>
      </c>
      <c r="T4" t="str">
        <v/>
      </c>
    </row>
    <row r="5">
      <c r="A5">
        <v>2</v>
      </c>
      <c r="B5" t="str">
        <v>قلم جاف أحمر روتو 0.7 ملم Roto Canco</v>
      </c>
      <c r="C5" t="str">
        <v>8852200220021</v>
      </c>
      <c r="D5" t="str">
        <v/>
      </c>
      <c r="E5" t="str">
        <v>قطعة</v>
      </c>
      <c r="F5">
        <v>6</v>
      </c>
      <c r="G5">
        <v>4.2</v>
      </c>
      <c r="H5">
        <v>0</v>
      </c>
      <c r="I5">
        <v>8</v>
      </c>
      <c r="J5">
        <f>F5-G5</f>
        <v>1.8</v>
      </c>
      <c r="K5" s="1">
        <f>IF(G5&gt;0, (F5-G5)/G5, 0)</f>
        <v>0.4286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SKU-0009</v>
      </c>
      <c r="R5" t="str">
        <v/>
      </c>
      <c r="S5" t="str">
        <v/>
      </c>
      <c r="T5" t="str">
        <v/>
      </c>
    </row>
    <row r="6">
      <c r="A6">
        <v>3</v>
      </c>
      <c r="B6" t="str">
        <v>قلم جاف أسود روتو 0.7 ملم Roto Canco</v>
      </c>
      <c r="C6" t="str">
        <v>8852200220038</v>
      </c>
      <c r="D6" t="str">
        <v/>
      </c>
      <c r="E6" t="str">
        <v>قطعة</v>
      </c>
      <c r="F6">
        <v>6</v>
      </c>
      <c r="G6">
        <v>4.2</v>
      </c>
      <c r="H6">
        <v>0</v>
      </c>
      <c r="I6">
        <v>8</v>
      </c>
      <c r="J6">
        <f>F6-G6</f>
        <v>1.8</v>
      </c>
      <c r="K6" s="1">
        <f>IF(G6&gt;0, (F6-G6)/G6, 0)</f>
        <v>0.4286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SKU-0010</v>
      </c>
      <c r="R6" t="str">
        <v/>
      </c>
      <c r="S6" t="str">
        <v/>
      </c>
      <c r="T6" t="str">
        <v/>
      </c>
    </row>
    <row r="7">
      <c r="A7">
        <v>4</v>
      </c>
      <c r="B7" t="str">
        <v>قلم جاف بريكس أزرق ناعم Brix Fine</v>
      </c>
      <c r="C7" t="str">
        <v>8852200220045</v>
      </c>
      <c r="D7" t="str">
        <v/>
      </c>
      <c r="E7" t="str">
        <v>قطعة</v>
      </c>
      <c r="F7">
        <v>5</v>
      </c>
      <c r="G7">
        <v>3.5</v>
      </c>
      <c r="H7">
        <v>0</v>
      </c>
      <c r="I7">
        <v>20</v>
      </c>
      <c r="J7">
        <f>F7-G7</f>
        <v>1.5</v>
      </c>
      <c r="K7" s="1">
        <f>IF(G7&gt;0, (F7-G7)/G7, 0)</f>
        <v>0.4286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SKU-0011</v>
      </c>
      <c r="R7" t="str">
        <v/>
      </c>
      <c r="S7" t="str">
        <v/>
      </c>
      <c r="T7" t="str">
        <v/>
      </c>
    </row>
    <row r="8">
      <c r="A8">
        <v>5</v>
      </c>
      <c r="B8" t="str">
        <v>قلم جاف يوني بول كروي ياباني أصلي Uni-ball</v>
      </c>
      <c r="C8" t="str">
        <v>8852200220052</v>
      </c>
      <c r="D8" t="str">
        <v/>
      </c>
      <c r="E8" t="str">
        <v>قطعة</v>
      </c>
      <c r="F8">
        <v>30</v>
      </c>
      <c r="G8">
        <v>22</v>
      </c>
      <c r="H8">
        <v>0</v>
      </c>
      <c r="I8">
        <v>6</v>
      </c>
      <c r="J8">
        <f>F8-G8</f>
        <v>8</v>
      </c>
      <c r="K8" s="1">
        <f>IF(G8&gt;0, (F8-G8)/G8, 0)</f>
        <v>0.3636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SKU-0012</v>
      </c>
      <c r="R8" t="str">
        <v/>
      </c>
      <c r="S8" t="str">
        <v/>
      </c>
      <c r="T8" t="str">
        <v/>
      </c>
    </row>
    <row r="9">
      <c r="A9">
        <v>6</v>
      </c>
      <c r="B9" t="str">
        <v>قلم رصاص فابر كاستل ألماني أصلي HB</v>
      </c>
      <c r="C9" t="str">
        <v>8852200220069</v>
      </c>
      <c r="D9" t="str">
        <v/>
      </c>
      <c r="E9" t="str">
        <v>قطعة</v>
      </c>
      <c r="F9">
        <v>8</v>
      </c>
      <c r="G9">
        <v>5</v>
      </c>
      <c r="H9">
        <v>0</v>
      </c>
      <c r="I9">
        <v>12</v>
      </c>
      <c r="J9">
        <f>F9-G9</f>
        <v>3</v>
      </c>
      <c r="K9" s="1">
        <f>IF(G9&gt;0, (F9-G9)/G9, 0)</f>
        <v>0.6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SKU-0013</v>
      </c>
      <c r="R9" t="str">
        <v/>
      </c>
      <c r="S9" t="str">
        <v/>
      </c>
      <c r="T9" t="str">
        <v/>
      </c>
    </row>
    <row r="10">
      <c r="A10">
        <v>7</v>
      </c>
      <c r="B10" t="str">
        <v>طقم أقلام سنون 0.5 ملم ميتاليك زيبرا</v>
      </c>
      <c r="C10" t="str">
        <v>8852200220076</v>
      </c>
      <c r="D10" t="str">
        <v/>
      </c>
      <c r="E10" t="str">
        <v>قطعة</v>
      </c>
      <c r="F10">
        <v>25</v>
      </c>
      <c r="G10">
        <v>16</v>
      </c>
      <c r="H10">
        <v>0</v>
      </c>
      <c r="I10">
        <v>7</v>
      </c>
      <c r="J10">
        <f>F10-G10</f>
        <v>9</v>
      </c>
      <c r="K10" s="1">
        <f>IF(G10&gt;0, (F10-G10)/G10, 0)</f>
        <v>0.5625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SKU-0014</v>
      </c>
      <c r="R10" t="str">
        <v/>
      </c>
      <c r="S10" t="str">
        <v/>
      </c>
      <c r="T10" t="str">
        <v/>
      </c>
    </row>
    <row r="11">
      <c r="A11">
        <v>8</v>
      </c>
      <c r="B11" t="str">
        <v>علبة سنون رصاص 0.5 ملم روتو 2B</v>
      </c>
      <c r="C11" t="str">
        <v>8852200220083</v>
      </c>
      <c r="D11" t="str">
        <v/>
      </c>
      <c r="E11" t="str">
        <v>قطعة</v>
      </c>
      <c r="F11">
        <v>8</v>
      </c>
      <c r="G11">
        <v>4.5</v>
      </c>
      <c r="H11">
        <v>0</v>
      </c>
      <c r="I11">
        <v>8</v>
      </c>
      <c r="J11">
        <f>F11-G11</f>
        <v>3.5</v>
      </c>
      <c r="K11" s="1">
        <f>IF(G11&gt;0, (F11-G11)/G11, 0)</f>
        <v>0.7778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SKU-0015</v>
      </c>
      <c r="R11" t="str">
        <v/>
      </c>
      <c r="S11" t="str">
        <v/>
      </c>
      <c r="T11" t="str">
        <v/>
      </c>
    </row>
    <row r="12">
      <c r="A12">
        <v>9</v>
      </c>
      <c r="B12" t="str">
        <v>طقم أقلام ماركر فسفوري تظليل 4 ألوان</v>
      </c>
      <c r="C12" t="str">
        <v>8852200220090</v>
      </c>
      <c r="D12" t="str">
        <v/>
      </c>
      <c r="E12" t="str">
        <v>قطعة</v>
      </c>
      <c r="F12">
        <v>35</v>
      </c>
      <c r="G12">
        <v>22</v>
      </c>
      <c r="H12">
        <v>0</v>
      </c>
      <c r="I12">
        <v>5</v>
      </c>
      <c r="J12">
        <f>F12-G12</f>
        <v>13</v>
      </c>
      <c r="K12" s="1">
        <f>IF(G12&gt;0, (F12-G12)/G12, 0)</f>
        <v>0.5909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SKU-0016</v>
      </c>
      <c r="R12" t="str">
        <v/>
      </c>
      <c r="S12" t="str">
        <v/>
      </c>
      <c r="T12" t="str">
        <v/>
      </c>
    </row>
    <row r="13">
      <c r="A13">
        <v>10</v>
      </c>
      <c r="B13" t="str">
        <v>قلم ماركر سبورة أبيض أسود شنايدر</v>
      </c>
      <c r="C13" t="str">
        <v>8852200220106</v>
      </c>
      <c r="D13" t="str">
        <v/>
      </c>
      <c r="E13" t="str">
        <v>قطعة</v>
      </c>
      <c r="F13">
        <v>18</v>
      </c>
      <c r="G13">
        <v>12</v>
      </c>
      <c r="H13">
        <v>0</v>
      </c>
      <c r="I13">
        <v>6</v>
      </c>
      <c r="J13">
        <f>F13-G13</f>
        <v>6</v>
      </c>
      <c r="K13" s="1">
        <f>IF(G13&gt;0, (F13-G13)/G13, 0)</f>
        <v>0.5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SKU-0017</v>
      </c>
      <c r="R13" t="str">
        <v/>
      </c>
      <c r="S13" t="str">
        <v/>
      </c>
      <c r="T13" t="str">
        <v/>
      </c>
    </row>
    <row r="14">
      <c r="A14">
        <v>11</v>
      </c>
      <c r="B14" t="str">
        <v>قلم تصحيح حبر كوريكتور سائل بريكس</v>
      </c>
      <c r="C14" t="str">
        <v>8852200220113</v>
      </c>
      <c r="D14" t="str">
        <v/>
      </c>
      <c r="E14" t="str">
        <v>قطعة</v>
      </c>
      <c r="F14">
        <v>15</v>
      </c>
      <c r="G14">
        <v>9.5</v>
      </c>
      <c r="H14">
        <v>0</v>
      </c>
      <c r="I14">
        <v>8</v>
      </c>
      <c r="J14">
        <f>F14-G14</f>
        <v>5.5</v>
      </c>
      <c r="K14" s="1">
        <f>IF(G14&gt;0, (F14-G14)/G14, 0)</f>
        <v>0.5789</v>
      </c>
      <c r="L14" s="2">
        <f>H14*G14</f>
        <v>0</v>
      </c>
      <c r="M14" s="2">
        <f>H14*F14</f>
        <v>0</v>
      </c>
      <c r="N14" s="2">
        <f>M14-L14</f>
        <v>0</v>
      </c>
      <c r="O14" t="str">
        <f>IF(H14&lt;=0, "نفد من المخزن", IF(H14&lt;=I14, "قارب على النفاد", "متوفر بالمخزن"))</f>
        <v>نفد من المخزن</v>
      </c>
      <c r="P14">
        <v>0</v>
      </c>
      <c r="Q14" t="str">
        <v>SKU-0018</v>
      </c>
      <c r="R14" t="str">
        <v/>
      </c>
      <c r="S14" t="str">
        <v/>
      </c>
      <c r="T14" t="str">
        <v/>
      </c>
    </row>
    <row r="15">
      <c r="A15" t="str">
        <v>الإجمالي</v>
      </c>
      <c r="B15" t="str">
        <v>إجمالي 11 صنف مسجل</v>
      </c>
      <c r="C15" t="str">
        <v/>
      </c>
      <c r="D15" t="str">
        <v/>
      </c>
      <c r="E15" t="str">
        <v/>
      </c>
      <c r="F15" s="2">
        <f>AVERAGE(F4:F14)</f>
      </c>
      <c r="G15" s="2">
        <f>AVERAGE(G4:G14)</f>
      </c>
      <c r="H15" s="3">
        <f>SUM(H4:H14)</f>
      </c>
      <c r="I15" t="str">
        <v/>
      </c>
      <c r="J15" s="2">
        <f>AVERAGE(J4:J14)</f>
      </c>
      <c r="K15" s="1">
        <f>IF(L15&gt;0, N15/L15, 0)</f>
      </c>
      <c r="L15" s="2">
        <f>SUM(L4:L14)</f>
      </c>
      <c r="M15" s="2">
        <f>SUM(M4:M14)</f>
      </c>
      <c r="N15" s="2">
        <f>SUM(N4:N14)</f>
      </c>
      <c r="O15" t="str">
        <v>محسوب بمعادلات إكسل</v>
      </c>
      <c r="P15" t="str">
        <v/>
      </c>
      <c r="Q15" t="str">
        <v/>
      </c>
      <c r="R15" t="str">
        <v/>
      </c>
      <c r="S15" t="str">
        <v/>
      </c>
      <c r="T15" t="str">
        <v/>
      </c>
    </row>
  </sheetData>
  <mergeCells count="2">
    <mergeCell ref="A1:T1"/>
    <mergeCell ref="A2:T2"/>
  </mergeCells>
  <ignoredErrors>
    <ignoredError numberStoredAsText="1" sqref="A1:T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12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[كشاكيل ودفاتر]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كشكول سلك كبير 80 ورقة مربعات/مسطر فاخر</v>
      </c>
      <c r="C4" t="str">
        <v>8853300330016</v>
      </c>
      <c r="D4" t="str">
        <v/>
      </c>
      <c r="E4" t="str">
        <v>قطعة</v>
      </c>
      <c r="F4">
        <v>25</v>
      </c>
      <c r="G4">
        <v>17.5</v>
      </c>
      <c r="H4">
        <v>0</v>
      </c>
      <c r="I4">
        <v>8</v>
      </c>
      <c r="J4">
        <f>F4-G4</f>
        <v>7.5</v>
      </c>
      <c r="K4" s="1">
        <f>IF(G4&gt;0, (F4-G4)/G4, 0)</f>
        <v>0.4286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SKU-0019</v>
      </c>
      <c r="R4" t="str">
        <v/>
      </c>
      <c r="S4" t="str">
        <v/>
      </c>
      <c r="T4" t="str">
        <v/>
      </c>
    </row>
    <row r="5">
      <c r="A5">
        <v>2</v>
      </c>
      <c r="B5" t="str">
        <v>كشكول سلك فاخر 140 ورقة مقسم 4 فواصل</v>
      </c>
      <c r="C5" t="str">
        <v>8853300330023</v>
      </c>
      <c r="D5" t="str">
        <v/>
      </c>
      <c r="E5" t="str">
        <v>قطعة</v>
      </c>
      <c r="F5">
        <v>45</v>
      </c>
      <c r="G5">
        <v>32</v>
      </c>
      <c r="H5">
        <v>0</v>
      </c>
      <c r="I5">
        <v>5</v>
      </c>
      <c r="J5">
        <f>F5-G5</f>
        <v>13</v>
      </c>
      <c r="K5" s="1">
        <f>IF(G5&gt;0, (F5-G5)/G5, 0)</f>
        <v>0.4063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SKU-0020</v>
      </c>
      <c r="R5" t="str">
        <v/>
      </c>
      <c r="S5" t="str">
        <v/>
      </c>
      <c r="T5" t="str">
        <v/>
      </c>
    </row>
    <row r="6">
      <c r="A6">
        <v>3</v>
      </c>
      <c r="B6" t="str">
        <v>كراسة رسم كانسون Canson مقاس وسط</v>
      </c>
      <c r="C6" t="str">
        <v>8853300330030</v>
      </c>
      <c r="D6" t="str">
        <v/>
      </c>
      <c r="E6" t="str">
        <v>قطعة</v>
      </c>
      <c r="F6">
        <v>30</v>
      </c>
      <c r="G6">
        <v>21</v>
      </c>
      <c r="H6">
        <v>0</v>
      </c>
      <c r="I6">
        <v>6</v>
      </c>
      <c r="J6">
        <f>F6-G6</f>
        <v>9</v>
      </c>
      <c r="K6" s="1">
        <f>IF(G6&gt;0, (F6-G6)/G6, 0)</f>
        <v>0.4286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SKU-0021</v>
      </c>
      <c r="R6" t="str">
        <v/>
      </c>
      <c r="S6" t="str">
        <v/>
      </c>
      <c r="T6" t="str">
        <v/>
      </c>
    </row>
    <row r="7">
      <c r="A7">
        <v>4</v>
      </c>
      <c r="B7" t="str">
        <v>كراس لغة عربية 28 ورقة تسطير عريض</v>
      </c>
      <c r="C7" t="str">
        <v>8853300330047</v>
      </c>
      <c r="D7" t="str">
        <v/>
      </c>
      <c r="E7" t="str">
        <v>قطعة</v>
      </c>
      <c r="F7">
        <v>8</v>
      </c>
      <c r="G7">
        <v>5.5</v>
      </c>
      <c r="H7">
        <v>0</v>
      </c>
      <c r="I7">
        <v>10</v>
      </c>
      <c r="J7">
        <f>F7-G7</f>
        <v>2.5</v>
      </c>
      <c r="K7" s="1">
        <f>IF(G7&gt;0, (F7-G7)/G7, 0)</f>
        <v>0.4545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SKU-0022</v>
      </c>
      <c r="R7" t="str">
        <v/>
      </c>
      <c r="S7" t="str">
        <v/>
      </c>
      <c r="T7" t="str">
        <v/>
      </c>
    </row>
    <row r="8">
      <c r="A8">
        <v>5</v>
      </c>
      <c r="B8" t="str">
        <v>كراس حساب مربعات 28 ورقة</v>
      </c>
      <c r="C8" t="str">
        <v>8853300330054</v>
      </c>
      <c r="D8" t="str">
        <v/>
      </c>
      <c r="E8" t="str">
        <v>قطعة</v>
      </c>
      <c r="F8">
        <v>8</v>
      </c>
      <c r="G8">
        <v>5.5</v>
      </c>
      <c r="H8">
        <v>0</v>
      </c>
      <c r="I8">
        <v>10</v>
      </c>
      <c r="J8">
        <f>F8-G8</f>
        <v>2.5</v>
      </c>
      <c r="K8" s="1">
        <f>IF(G8&gt;0, (F8-G8)/G8, 0)</f>
        <v>0.4545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SKU-0023</v>
      </c>
      <c r="R8" t="str">
        <v/>
      </c>
      <c r="S8" t="str">
        <v/>
      </c>
      <c r="T8" t="str">
        <v/>
      </c>
    </row>
    <row r="9">
      <c r="A9">
        <v>6</v>
      </c>
      <c r="B9" t="str">
        <v>كراس لغة إنجليزية 28 ورقة سطرين</v>
      </c>
      <c r="C9" t="str">
        <v>8853300330061</v>
      </c>
      <c r="D9" t="str">
        <v/>
      </c>
      <c r="E9" t="str">
        <v>قطعة</v>
      </c>
      <c r="F9">
        <v>8</v>
      </c>
      <c r="G9">
        <v>5.5</v>
      </c>
      <c r="H9">
        <v>0</v>
      </c>
      <c r="I9">
        <v>10</v>
      </c>
      <c r="J9">
        <f>F9-G9</f>
        <v>2.5</v>
      </c>
      <c r="K9" s="1">
        <f>IF(G9&gt;0, (F9-G9)/G9, 0)</f>
        <v>0.4545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SKU-0024</v>
      </c>
      <c r="R9" t="str">
        <v/>
      </c>
      <c r="S9" t="str">
        <v/>
      </c>
      <c r="T9" t="str">
        <v/>
      </c>
    </row>
    <row r="10">
      <c r="A10">
        <v>7</v>
      </c>
      <c r="B10" t="str">
        <v>نوت بوك جيب سلك غلاف مقوى</v>
      </c>
      <c r="C10" t="str">
        <v>8853300330078</v>
      </c>
      <c r="D10" t="str">
        <v/>
      </c>
      <c r="E10" t="str">
        <v>قطعة</v>
      </c>
      <c r="F10">
        <v>15</v>
      </c>
      <c r="G10">
        <v>9</v>
      </c>
      <c r="H10">
        <v>0</v>
      </c>
      <c r="I10">
        <v>6</v>
      </c>
      <c r="J10">
        <f>F10-G10</f>
        <v>6</v>
      </c>
      <c r="K10" s="1">
        <f>IF(G10&gt;0, (F10-G10)/G10, 0)</f>
        <v>0.6667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SKU-0025</v>
      </c>
      <c r="R10" t="str">
        <v/>
      </c>
      <c r="S10" t="str">
        <v/>
      </c>
      <c r="T10" t="str">
        <v/>
      </c>
    </row>
    <row r="11">
      <c r="A11">
        <v>8</v>
      </c>
      <c r="B11" t="str">
        <v>ورق فوم جليتر لاصق ألوان متعددة فرخ</v>
      </c>
      <c r="C11" t="str">
        <v>8853300330085</v>
      </c>
      <c r="D11" t="str">
        <v/>
      </c>
      <c r="E11" t="str">
        <v>قطعة</v>
      </c>
      <c r="F11">
        <v>10</v>
      </c>
      <c r="G11">
        <v>6</v>
      </c>
      <c r="H11">
        <v>0</v>
      </c>
      <c r="I11">
        <v>7</v>
      </c>
      <c r="J11">
        <f>F11-G11</f>
        <v>4</v>
      </c>
      <c r="K11" s="1">
        <f>IF(G11&gt;0, (F11-G11)/G11, 0)</f>
        <v>0.6667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SKU-0026</v>
      </c>
      <c r="R11" t="str">
        <v/>
      </c>
      <c r="S11" t="str">
        <v/>
      </c>
      <c r="T11" t="str">
        <v/>
      </c>
    </row>
    <row r="12">
      <c r="A12" t="str">
        <v>الإجمالي</v>
      </c>
      <c r="B12" t="str">
        <v>إجمالي 8 صنف مسجل</v>
      </c>
      <c r="C12" t="str">
        <v/>
      </c>
      <c r="D12" t="str">
        <v/>
      </c>
      <c r="E12" t="str">
        <v/>
      </c>
      <c r="F12" s="2">
        <f>AVERAGE(F4:F11)</f>
      </c>
      <c r="G12" s="2">
        <f>AVERAGE(G4:G11)</f>
      </c>
      <c r="H12" s="3">
        <f>SUM(H4:H11)</f>
      </c>
      <c r="I12" t="str">
        <v/>
      </c>
      <c r="J12" s="2">
        <f>AVERAGE(J4:J11)</f>
      </c>
      <c r="K12" s="1">
        <f>IF(L12&gt;0, N12/L12, 0)</f>
      </c>
      <c r="L12" s="2">
        <f>SUM(L4:L11)</f>
      </c>
      <c r="M12" s="2">
        <f>SUM(M4:M11)</f>
      </c>
      <c r="N12" s="2">
        <f>SUM(N4:N11)</f>
      </c>
      <c r="O12" t="str">
        <v>محسوب بمعادلات إكسل</v>
      </c>
      <c r="P12" t="str">
        <v/>
      </c>
      <c r="Q12" t="str">
        <v/>
      </c>
      <c r="R12" t="str">
        <v/>
      </c>
      <c r="S12" t="str">
        <v/>
      </c>
      <c r="T12" t="str">
        <v/>
      </c>
    </row>
  </sheetData>
  <mergeCells count="2">
    <mergeCell ref="A1:T1"/>
    <mergeCell ref="A2:T2"/>
  </mergeCells>
  <ignoredErrors>
    <ignoredError numberStoredAsText="1" sqref="A1:T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14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[أدوات هندسية ومدرسية]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طقم أدوات هندسية متكامل برجل ومثلثات روتو</v>
      </c>
      <c r="C4" t="str">
        <v>8854400440018</v>
      </c>
      <c r="D4" t="str">
        <v/>
      </c>
      <c r="E4" t="str">
        <v>قطعة</v>
      </c>
      <c r="F4">
        <v>35</v>
      </c>
      <c r="G4">
        <v>22</v>
      </c>
      <c r="H4">
        <v>0</v>
      </c>
      <c r="I4">
        <v>5</v>
      </c>
      <c r="J4">
        <f>F4-G4</f>
        <v>13</v>
      </c>
      <c r="K4" s="1">
        <f>IF(G4&gt;0, (F4-G4)/G4, 0)</f>
        <v>0.5909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SKU-0027</v>
      </c>
      <c r="R4" t="str">
        <v/>
      </c>
      <c r="S4" t="str">
        <v/>
      </c>
      <c r="T4" t="str">
        <v/>
      </c>
    </row>
    <row r="5">
      <c r="A5">
        <v>2</v>
      </c>
      <c r="B5" t="str">
        <v>مسطرة حديد 30 سم غير قابلة للكسر</v>
      </c>
      <c r="C5" t="str">
        <v>8854400440025</v>
      </c>
      <c r="D5" t="str">
        <v/>
      </c>
      <c r="E5" t="str">
        <v>قطعة</v>
      </c>
      <c r="F5">
        <v>15</v>
      </c>
      <c r="G5">
        <v>8.5</v>
      </c>
      <c r="H5">
        <v>0</v>
      </c>
      <c r="I5">
        <v>8</v>
      </c>
      <c r="J5">
        <f>F5-G5</f>
        <v>6.5</v>
      </c>
      <c r="K5" s="1">
        <f>IF(G5&gt;0, (F5-G5)/G5, 0)</f>
        <v>0.7647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SKU-0028</v>
      </c>
      <c r="R5" t="str">
        <v/>
      </c>
      <c r="S5" t="str">
        <v/>
      </c>
      <c r="T5" t="str">
        <v/>
      </c>
    </row>
    <row r="6">
      <c r="A6">
        <v>3</v>
      </c>
      <c r="B6" t="str">
        <v>براية معدنية ألمانية فاخرة فابر كاستل</v>
      </c>
      <c r="C6" t="str">
        <v>8854400440032</v>
      </c>
      <c r="D6" t="str">
        <v/>
      </c>
      <c r="E6" t="str">
        <v>قطعة</v>
      </c>
      <c r="F6">
        <v>10</v>
      </c>
      <c r="G6">
        <v>6</v>
      </c>
      <c r="H6">
        <v>0</v>
      </c>
      <c r="I6">
        <v>9</v>
      </c>
      <c r="J6">
        <f>F6-G6</f>
        <v>4</v>
      </c>
      <c r="K6" s="1">
        <f>IF(G6&gt;0, (F6-G6)/G6, 0)</f>
        <v>0.6667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SKU-0029</v>
      </c>
      <c r="R6" t="str">
        <v/>
      </c>
      <c r="S6" t="str">
        <v/>
      </c>
      <c r="T6" t="str">
        <v/>
      </c>
    </row>
    <row r="7">
      <c r="A7">
        <v>4</v>
      </c>
      <c r="B7" t="str">
        <v>ممحاة فابر كاستل بيضاء كبيرة بدون غبار</v>
      </c>
      <c r="C7" t="str">
        <v>8854400440049</v>
      </c>
      <c r="D7" t="str">
        <v/>
      </c>
      <c r="E7" t="str">
        <v>قطعة</v>
      </c>
      <c r="F7">
        <v>8</v>
      </c>
      <c r="G7">
        <v>5</v>
      </c>
      <c r="H7">
        <v>0</v>
      </c>
      <c r="I7">
        <v>12</v>
      </c>
      <c r="J7">
        <f>F7-G7</f>
        <v>3</v>
      </c>
      <c r="K7" s="1">
        <f>IF(G7&gt;0, (F7-G7)/G7, 0)</f>
        <v>0.6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SKU-0030</v>
      </c>
      <c r="R7" t="str">
        <v/>
      </c>
      <c r="S7" t="str">
        <v/>
      </c>
      <c r="T7" t="str">
        <v/>
      </c>
    </row>
    <row r="8">
      <c r="A8">
        <v>5</v>
      </c>
      <c r="B8" t="str">
        <v>صمغ جلو ستيك يو هيد UHU أصلي 21 جم</v>
      </c>
      <c r="C8" t="str">
        <v>8854400440056</v>
      </c>
      <c r="D8" t="str">
        <v/>
      </c>
      <c r="E8" t="str">
        <v>قطعة</v>
      </c>
      <c r="F8">
        <v>20</v>
      </c>
      <c r="G8">
        <v>13.5</v>
      </c>
      <c r="H8">
        <v>0</v>
      </c>
      <c r="I8">
        <v>7</v>
      </c>
      <c r="J8">
        <f>F8-G8</f>
        <v>6.5</v>
      </c>
      <c r="K8" s="1">
        <f>IF(G8&gt;0, (F8-G8)/G8, 0)</f>
        <v>0.4815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SKU-0031</v>
      </c>
      <c r="R8" t="str">
        <v/>
      </c>
      <c r="S8" t="str">
        <v/>
      </c>
      <c r="T8" t="str">
        <v/>
      </c>
    </row>
    <row r="9">
      <c r="A9">
        <v>6</v>
      </c>
      <c r="B9" t="str">
        <v>علبة ألوان خشبية فابر كاستل 12 لون كلاسيك</v>
      </c>
      <c r="C9" t="str">
        <v>8854400440063</v>
      </c>
      <c r="D9" t="str">
        <v/>
      </c>
      <c r="E9" t="str">
        <v>قطعة</v>
      </c>
      <c r="F9">
        <v>45</v>
      </c>
      <c r="G9">
        <v>31</v>
      </c>
      <c r="H9">
        <v>0</v>
      </c>
      <c r="I9">
        <v>5</v>
      </c>
      <c r="J9">
        <f>F9-G9</f>
        <v>14</v>
      </c>
      <c r="K9" s="1">
        <f>IF(G9&gt;0, (F9-G9)/G9, 0)</f>
        <v>0.4516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SKU-0032</v>
      </c>
      <c r="R9" t="str">
        <v/>
      </c>
      <c r="S9" t="str">
        <v/>
      </c>
      <c r="T9" t="str">
        <v/>
      </c>
    </row>
    <row r="10">
      <c r="A10">
        <v>7</v>
      </c>
      <c r="B10" t="str">
        <v>علبة ألوان فلوماستر بريما 12 لون</v>
      </c>
      <c r="C10" t="str">
        <v>8854400440070</v>
      </c>
      <c r="D10" t="str">
        <v/>
      </c>
      <c r="E10" t="str">
        <v>قطعة</v>
      </c>
      <c r="F10">
        <v>30</v>
      </c>
      <c r="G10">
        <v>19</v>
      </c>
      <c r="H10">
        <v>0</v>
      </c>
      <c r="I10">
        <v>6</v>
      </c>
      <c r="J10">
        <f>F10-G10</f>
        <v>11</v>
      </c>
      <c r="K10" s="1">
        <f>IF(G10&gt;0, (F10-G10)/G10, 0)</f>
        <v>0.5789</v>
      </c>
      <c r="L10" s="2">
        <f>H10*G10</f>
        <v>0</v>
      </c>
      <c r="M10" s="2">
        <f>H10*F10</f>
        <v>0</v>
      </c>
      <c r="N10" s="2">
        <f>M10-L10</f>
        <v>0</v>
      </c>
      <c r="O10" t="str">
        <f>IF(H10&lt;=0, "نفد من المخزن", IF(H10&lt;=I10, "قارب على النفاد", "متوفر بالمخزن"))</f>
        <v>نفد من المخزن</v>
      </c>
      <c r="P10">
        <v>0</v>
      </c>
      <c r="Q10" t="str">
        <v>SKU-0033</v>
      </c>
      <c r="R10" t="str">
        <v/>
      </c>
      <c r="S10" t="str">
        <v/>
      </c>
      <c r="T10" t="str">
        <v/>
      </c>
    </row>
    <row r="11">
      <c r="A11">
        <v>8</v>
      </c>
      <c r="B11" t="str">
        <v>مقص مدرسي أطفال حواف بلاستيك آمنة</v>
      </c>
      <c r="C11" t="str">
        <v>8854400440087</v>
      </c>
      <c r="D11" t="str">
        <v/>
      </c>
      <c r="E11" t="str">
        <v>قطعة</v>
      </c>
      <c r="F11">
        <v>12</v>
      </c>
      <c r="G11">
        <v>7</v>
      </c>
      <c r="H11">
        <v>0</v>
      </c>
      <c r="I11">
        <v>5</v>
      </c>
      <c r="J11">
        <f>F11-G11</f>
        <v>5</v>
      </c>
      <c r="K11" s="1">
        <f>IF(G11&gt;0, (F11-G11)/G11, 0)</f>
        <v>0.7143</v>
      </c>
      <c r="L11" s="2">
        <f>H11*G11</f>
        <v>0</v>
      </c>
      <c r="M11" s="2">
        <f>H11*F11</f>
        <v>0</v>
      </c>
      <c r="N11" s="2">
        <f>M11-L11</f>
        <v>0</v>
      </c>
      <c r="O11" t="str">
        <f>IF(H11&lt;=0, "نفد من المخزن", IF(H11&lt;=I11, "قارب على النفاد", "متوفر بالمخزن"))</f>
        <v>نفد من المخزن</v>
      </c>
      <c r="P11">
        <v>0</v>
      </c>
      <c r="Q11" t="str">
        <v>SKU-0034</v>
      </c>
      <c r="R11" t="str">
        <v/>
      </c>
      <c r="S11" t="str">
        <v/>
      </c>
      <c r="T11" t="str">
        <v/>
      </c>
    </row>
    <row r="12">
      <c r="A12">
        <v>9</v>
      </c>
      <c r="B12" t="str">
        <v>آلة حاسبة علمية كاسيو الأصلية Casio fx-991ARX</v>
      </c>
      <c r="C12" t="str">
        <v>8855500550010</v>
      </c>
      <c r="D12" t="str">
        <v/>
      </c>
      <c r="E12" t="str">
        <v>قطعة</v>
      </c>
      <c r="F12">
        <v>450</v>
      </c>
      <c r="G12">
        <v>340</v>
      </c>
      <c r="H12">
        <v>0</v>
      </c>
      <c r="I12">
        <v>1</v>
      </c>
      <c r="J12">
        <f>F12-G12</f>
        <v>110</v>
      </c>
      <c r="K12" s="1">
        <f>IF(G12&gt;0, (F12-G12)/G12, 0)</f>
        <v>0.3235</v>
      </c>
      <c r="L12" s="2">
        <f>H12*G12</f>
        <v>0</v>
      </c>
      <c r="M12" s="2">
        <f>H12*F12</f>
        <v>0</v>
      </c>
      <c r="N12" s="2">
        <f>M12-L12</f>
        <v>0</v>
      </c>
      <c r="O12" t="str">
        <f>IF(H12&lt;=0, "نفد من المخزن", IF(H12&lt;=I12, "قارب على النفاد", "متوفر بالمخزن"))</f>
        <v>نفد من المخزن</v>
      </c>
      <c r="P12">
        <v>0</v>
      </c>
      <c r="Q12" t="str">
        <v>SKU-0035</v>
      </c>
      <c r="R12" t="str">
        <v/>
      </c>
      <c r="S12" t="str">
        <v/>
      </c>
      <c r="T12" t="str">
        <v/>
      </c>
    </row>
    <row r="13">
      <c r="A13">
        <v>10</v>
      </c>
      <c r="B13" t="str">
        <v>بطارية إنرجايزر قلم AA طقم قطعتين ألكالاين</v>
      </c>
      <c r="C13" t="str">
        <v>8856600660012</v>
      </c>
      <c r="D13" t="str">
        <v/>
      </c>
      <c r="E13" t="str">
        <v>قطعة</v>
      </c>
      <c r="F13">
        <v>35</v>
      </c>
      <c r="G13">
        <v>24</v>
      </c>
      <c r="H13">
        <v>0</v>
      </c>
      <c r="I13">
        <v>6</v>
      </c>
      <c r="J13">
        <f>F13-G13</f>
        <v>11</v>
      </c>
      <c r="K13" s="1">
        <f>IF(G13&gt;0, (F13-G13)/G13, 0)</f>
        <v>0.4583</v>
      </c>
      <c r="L13" s="2">
        <f>H13*G13</f>
        <v>0</v>
      </c>
      <c r="M13" s="2">
        <f>H13*F13</f>
        <v>0</v>
      </c>
      <c r="N13" s="2">
        <f>M13-L13</f>
        <v>0</v>
      </c>
      <c r="O13" t="str">
        <f>IF(H13&lt;=0, "نفد من المخزن", IF(H13&lt;=I13, "قارب على النفاد", "متوفر بالمخزن"))</f>
        <v>نفد من المخزن</v>
      </c>
      <c r="P13">
        <v>0</v>
      </c>
      <c r="Q13" t="str">
        <v>SKU-0036</v>
      </c>
      <c r="R13" t="str">
        <v/>
      </c>
      <c r="S13" t="str">
        <v/>
      </c>
      <c r="T13" t="str">
        <v/>
      </c>
    </row>
    <row r="14">
      <c r="A14" t="str">
        <v>الإجمالي</v>
      </c>
      <c r="B14" t="str">
        <v>إجمالي 10 صنف مسجل</v>
      </c>
      <c r="C14" t="str">
        <v/>
      </c>
      <c r="D14" t="str">
        <v/>
      </c>
      <c r="E14" t="str">
        <v/>
      </c>
      <c r="F14" s="2">
        <f>AVERAGE(F4:F13)</f>
      </c>
      <c r="G14" s="2">
        <f>AVERAGE(G4:G13)</f>
      </c>
      <c r="H14" s="3">
        <f>SUM(H4:H13)</f>
      </c>
      <c r="I14" t="str">
        <v/>
      </c>
      <c r="J14" s="2">
        <f>AVERAGE(J4:J13)</f>
      </c>
      <c r="K14" s="1">
        <f>IF(L14&gt;0, N14/L14, 0)</f>
      </c>
      <c r="L14" s="2">
        <f>SUM(L4:L13)</f>
      </c>
      <c r="M14" s="2">
        <f>SUM(M4:M13)</f>
      </c>
      <c r="N14" s="2">
        <f>SUM(N4:N13)</f>
      </c>
      <c r="O14" t="str">
        <v>محسوب بمعادلات إكسل</v>
      </c>
      <c r="P14" t="str">
        <v/>
      </c>
      <c r="Q14" t="str">
        <v/>
      </c>
      <c r="R14" t="str">
        <v/>
      </c>
      <c r="S14" t="str">
        <v/>
      </c>
      <c r="T14" t="str">
        <v/>
      </c>
    </row>
  </sheetData>
  <mergeCells count="2">
    <mergeCell ref="A1:T1"/>
    <mergeCell ref="A2:T2"/>
  </mergeCells>
  <ignoredErrors>
    <ignoredError numberStoredAsText="1" sqref="A1:T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0"/>
  <sheetViews>
    <sheetView workbookViewId="0"/>
  </sheetViews>
  <cols>
    <col min="1" max="1" width="6.83203125" customWidth="1"/>
    <col min="2" max="2" width="38.83203125" customWidth="1"/>
    <col min="3" max="3" width="20.83203125" customWidth="1"/>
    <col min="4" max="4" width="24.83203125" customWidth="1"/>
    <col min="5" max="5" width="14.83203125" customWidth="1"/>
    <col min="6" max="6" width="16.83203125" customWidth="1"/>
    <col min="7" max="7" width="16.83203125" customWidth="1"/>
    <col min="8" max="8" width="16.83203125" customWidth="1"/>
    <col min="9" max="9" width="16.83203125" customWidth="1"/>
    <col min="10" max="10" width="18.83203125" customWidth="1"/>
    <col min="11" max="11" width="15.83203125" customWidth="1"/>
    <col min="12" max="12" width="22.83203125" customWidth="1"/>
    <col min="13" max="13" width="22.83203125" customWidth="1"/>
    <col min="14" max="14" width="22.83203125" customWidth="1"/>
    <col min="15" max="15" width="18.83203125" customWidth="1"/>
    <col min="16" max="16" width="14.83203125" customWidth="1"/>
    <col min="17" max="17" width="20.83203125" customWidth="1"/>
    <col min="18" max="18" width="18.83203125" customWidth="1"/>
    <col min="19" max="19" width="18.83203125" customWidth="1"/>
    <col min="20" max="20" width="22.83203125" customWidth="1"/>
  </cols>
  <sheetData>
    <row r="1">
      <c r="A1" t="str">
        <v>رفيق POS - قائمة أصناف قسم: [ألعاب وهدايا]</v>
      </c>
    </row>
    <row r="2">
      <c r="A2" t="str">
        <v>تعليمات هامة: الأعمدة المميزة بنجمة (*) إلزامية | اسم التابة يمثل القسم تلقائياً | المبالغ بالجنيه المصري | الأعمدة الملونة تحتوي على معادلات إكسل تتحدث تلقائياً</v>
      </c>
    </row>
    <row r="3">
      <c r="A3" t="str">
        <v>م</v>
      </c>
      <c r="B3" t="str">
        <v>اسم الصنف *</v>
      </c>
      <c r="C3" t="str">
        <v>الباركود الرئيسي</v>
      </c>
      <c r="D3" t="str">
        <v>باركودات إضافية (مفصولة بفاصلة)</v>
      </c>
      <c r="E3" t="str">
        <v>الوحدة (قطعة / كجم)</v>
      </c>
      <c r="F3" t="str">
        <v>سعر البيع (بالجنيه) *</v>
      </c>
      <c r="G3" t="str">
        <v>سعر التكلفة (بالجنيه)</v>
      </c>
      <c r="H3" t="str">
        <v>الرصيد الافتتاحي</v>
      </c>
      <c r="I3" t="str">
        <v>حد الطلب الأدنى</v>
      </c>
      <c r="J3" t="str">
        <v>هامش الربح للقطعة (ج.م)</v>
      </c>
      <c r="K3" t="str">
        <v>نسبة الربح (%)</v>
      </c>
      <c r="L3" t="str">
        <v>إجمالي قيمة التكلفة (ج.م)</v>
      </c>
      <c r="M3" t="str">
        <v>إجمالي القيمة البيعية (ج.م)</v>
      </c>
      <c r="N3" t="str">
        <v>إجمالي الربح المتوقع (ج.م)</v>
      </c>
      <c r="O3" t="str">
        <v>حالة المخزون التلقائية</v>
      </c>
      <c r="P3" t="str">
        <v>نسبة الضريبة (%)</v>
      </c>
      <c r="Q3" t="str">
        <v>كود الصنف الداخلي (SKU)</v>
      </c>
      <c r="R3" t="str">
        <v>اللون (اختياري / للملابس)</v>
      </c>
      <c r="S3" t="str">
        <v>المقاس (اختياري / للملابس)</v>
      </c>
      <c r="T3" t="str">
        <v>كود التصنيف الضريبي (GS1/EGS)</v>
      </c>
    </row>
    <row r="4">
      <c r="A4">
        <v>1</v>
      </c>
      <c r="B4" t="str">
        <v>كيس هدايا كرتون فاخر مقاس كبير مطبوع</v>
      </c>
      <c r="C4" t="str">
        <v>8857700770014</v>
      </c>
      <c r="D4" t="str">
        <v/>
      </c>
      <c r="E4" t="str">
        <v>قطعة</v>
      </c>
      <c r="F4">
        <v>15</v>
      </c>
      <c r="G4">
        <v>8</v>
      </c>
      <c r="H4">
        <v>0</v>
      </c>
      <c r="I4">
        <v>8</v>
      </c>
      <c r="J4">
        <f>F4-G4</f>
        <v>7</v>
      </c>
      <c r="K4" s="1">
        <f>IF(G4&gt;0, (F4-G4)/G4, 0)</f>
        <v>0.875</v>
      </c>
      <c r="L4" s="2">
        <f>H4*G4</f>
        <v>0</v>
      </c>
      <c r="M4" s="2">
        <f>H4*F4</f>
        <v>0</v>
      </c>
      <c r="N4" s="2">
        <f>M4-L4</f>
        <v>0</v>
      </c>
      <c r="O4" t="str">
        <f>IF(H4&lt;=0, "نفد من المخزن", IF(H4&lt;=I4, "قارب على النفاد", "متوفر بالمخزن"))</f>
        <v>نفد من المخزن</v>
      </c>
      <c r="P4">
        <v>0</v>
      </c>
      <c r="Q4" t="str">
        <v>SKU-0037</v>
      </c>
      <c r="R4" t="str">
        <v/>
      </c>
      <c r="S4" t="str">
        <v/>
      </c>
      <c r="T4" t="str">
        <v/>
      </c>
    </row>
    <row r="5">
      <c r="A5">
        <v>2</v>
      </c>
      <c r="B5" t="str">
        <v>صندوق هدايا كرتون مقوى مع فيونكة ستان</v>
      </c>
      <c r="C5" t="str">
        <v>8857700770021</v>
      </c>
      <c r="D5" t="str">
        <v/>
      </c>
      <c r="E5" t="str">
        <v>قطعة</v>
      </c>
      <c r="F5">
        <v>35</v>
      </c>
      <c r="G5">
        <v>18</v>
      </c>
      <c r="H5">
        <v>0</v>
      </c>
      <c r="I5">
        <v>4</v>
      </c>
      <c r="J5">
        <f>F5-G5</f>
        <v>17</v>
      </c>
      <c r="K5" s="1">
        <f>IF(G5&gt;0, (F5-G5)/G5, 0)</f>
        <v>0.9444</v>
      </c>
      <c r="L5" s="2">
        <f>H5*G5</f>
        <v>0</v>
      </c>
      <c r="M5" s="2">
        <f>H5*F5</f>
        <v>0</v>
      </c>
      <c r="N5" s="2">
        <f>M5-L5</f>
        <v>0</v>
      </c>
      <c r="O5" t="str">
        <f>IF(H5&lt;=0, "نفد من المخزن", IF(H5&lt;=I5, "قارب على النفاد", "متوفر بالمخزن"))</f>
        <v>نفد من المخزن</v>
      </c>
      <c r="P5">
        <v>0</v>
      </c>
      <c r="Q5" t="str">
        <v>SKU-0038</v>
      </c>
      <c r="R5" t="str">
        <v/>
      </c>
      <c r="S5" t="str">
        <v/>
      </c>
      <c r="T5" t="str">
        <v/>
      </c>
    </row>
    <row r="6">
      <c r="A6">
        <v>3</v>
      </c>
      <c r="B6" t="str">
        <v>دبدوب هدية قطيفة متوسط ناعم 30 سم</v>
      </c>
      <c r="C6" t="str">
        <v>8857700770038</v>
      </c>
      <c r="D6" t="str">
        <v/>
      </c>
      <c r="E6" t="str">
        <v>قطعة</v>
      </c>
      <c r="F6">
        <v>120</v>
      </c>
      <c r="G6">
        <v>75</v>
      </c>
      <c r="H6">
        <v>0</v>
      </c>
      <c r="I6">
        <v>2</v>
      </c>
      <c r="J6">
        <f>F6-G6</f>
        <v>45</v>
      </c>
      <c r="K6" s="1">
        <f>IF(G6&gt;0, (F6-G6)/G6, 0)</f>
        <v>0.6</v>
      </c>
      <c r="L6" s="2">
        <f>H6*G6</f>
        <v>0</v>
      </c>
      <c r="M6" s="2">
        <f>H6*F6</f>
        <v>0</v>
      </c>
      <c r="N6" s="2">
        <f>M6-L6</f>
        <v>0</v>
      </c>
      <c r="O6" t="str">
        <f>IF(H6&lt;=0, "نفد من المخزن", IF(H6&lt;=I6, "قارب على النفاد", "متوفر بالمخزن"))</f>
        <v>نفد من المخزن</v>
      </c>
      <c r="P6">
        <v>0</v>
      </c>
      <c r="Q6" t="str">
        <v>SKU-0039</v>
      </c>
      <c r="R6" t="str">
        <v/>
      </c>
      <c r="S6" t="str">
        <v/>
      </c>
      <c r="T6" t="str">
        <v/>
      </c>
    </row>
    <row r="7">
      <c r="A7">
        <v>4</v>
      </c>
      <c r="B7" t="str">
        <v>مكعب روبيك سحري سرعة أصلي 3x3</v>
      </c>
      <c r="C7" t="str">
        <v>8857700770045</v>
      </c>
      <c r="D7" t="str">
        <v/>
      </c>
      <c r="E7" t="str">
        <v>قطعة</v>
      </c>
      <c r="F7">
        <v>45</v>
      </c>
      <c r="G7">
        <v>25</v>
      </c>
      <c r="H7">
        <v>0</v>
      </c>
      <c r="I7">
        <v>4</v>
      </c>
      <c r="J7">
        <f>F7-G7</f>
        <v>20</v>
      </c>
      <c r="K7" s="1">
        <f>IF(G7&gt;0, (F7-G7)/G7, 0)</f>
        <v>0.8</v>
      </c>
      <c r="L7" s="2">
        <f>H7*G7</f>
        <v>0</v>
      </c>
      <c r="M7" s="2">
        <f>H7*F7</f>
        <v>0</v>
      </c>
      <c r="N7" s="2">
        <f>M7-L7</f>
        <v>0</v>
      </c>
      <c r="O7" t="str">
        <f>IF(H7&lt;=0, "نفد من المخزن", IF(H7&lt;=I7, "قارب على النفاد", "متوفر بالمخزن"))</f>
        <v>نفد من المخزن</v>
      </c>
      <c r="P7">
        <v>0</v>
      </c>
      <c r="Q7" t="str">
        <v>SKU-0040</v>
      </c>
      <c r="R7" t="str">
        <v/>
      </c>
      <c r="S7" t="str">
        <v/>
      </c>
      <c r="T7" t="str">
        <v/>
      </c>
    </row>
    <row r="8">
      <c r="A8">
        <v>5</v>
      </c>
      <c r="B8" t="str">
        <v>صلصال أطفال ألوان صحي آمن علبة</v>
      </c>
      <c r="C8" t="str">
        <v>8857700770052</v>
      </c>
      <c r="D8" t="str">
        <v/>
      </c>
      <c r="E8" t="str">
        <v>قطعة</v>
      </c>
      <c r="F8">
        <v>25</v>
      </c>
      <c r="G8">
        <v>15</v>
      </c>
      <c r="H8">
        <v>0</v>
      </c>
      <c r="I8">
        <v>5</v>
      </c>
      <c r="J8">
        <f>F8-G8</f>
        <v>10</v>
      </c>
      <c r="K8" s="1">
        <f>IF(G8&gt;0, (F8-G8)/G8, 0)</f>
        <v>0.6667</v>
      </c>
      <c r="L8" s="2">
        <f>H8*G8</f>
        <v>0</v>
      </c>
      <c r="M8" s="2">
        <f>H8*F8</f>
        <v>0</v>
      </c>
      <c r="N8" s="2">
        <f>M8-L8</f>
        <v>0</v>
      </c>
      <c r="O8" t="str">
        <f>IF(H8&lt;=0, "نفد من المخزن", IF(H8&lt;=I8, "قارب على النفاد", "متوفر بالمخزن"))</f>
        <v>نفد من المخزن</v>
      </c>
      <c r="P8">
        <v>0</v>
      </c>
      <c r="Q8" t="str">
        <v>SKU-0041</v>
      </c>
      <c r="R8" t="str">
        <v/>
      </c>
      <c r="S8" t="str">
        <v/>
      </c>
      <c r="T8" t="str">
        <v/>
      </c>
    </row>
    <row r="9">
      <c r="A9">
        <v>6</v>
      </c>
      <c r="B9" t="str">
        <v>مج حراري بورسلين هدية فاخر بعلبة راقية</v>
      </c>
      <c r="C9" t="str">
        <v>8857700770069</v>
      </c>
      <c r="D9" t="str">
        <v/>
      </c>
      <c r="E9" t="str">
        <v>قطعة</v>
      </c>
      <c r="F9">
        <v>85</v>
      </c>
      <c r="G9">
        <v>50</v>
      </c>
      <c r="H9">
        <v>0</v>
      </c>
      <c r="I9">
        <v>3</v>
      </c>
      <c r="J9">
        <f>F9-G9</f>
        <v>35</v>
      </c>
      <c r="K9" s="1">
        <f>IF(G9&gt;0, (F9-G9)/G9, 0)</f>
        <v>0.7</v>
      </c>
      <c r="L9" s="2">
        <f>H9*G9</f>
        <v>0</v>
      </c>
      <c r="M9" s="2">
        <f>H9*F9</f>
        <v>0</v>
      </c>
      <c r="N9" s="2">
        <f>M9-L9</f>
        <v>0</v>
      </c>
      <c r="O9" t="str">
        <f>IF(H9&lt;=0, "نفد من المخزن", IF(H9&lt;=I9, "قارب على النفاد", "متوفر بالمخزن"))</f>
        <v>نفد من المخزن</v>
      </c>
      <c r="P9">
        <v>0</v>
      </c>
      <c r="Q9" t="str">
        <v>SKU-0042</v>
      </c>
      <c r="R9" t="str">
        <v/>
      </c>
      <c r="S9" t="str">
        <v/>
      </c>
      <c r="T9" t="str">
        <v/>
      </c>
    </row>
    <row r="10">
      <c r="A10" t="str">
        <v>الإجمالي</v>
      </c>
      <c r="B10" t="str">
        <v>إجمالي 6 صنف مسجل</v>
      </c>
      <c r="C10" t="str">
        <v/>
      </c>
      <c r="D10" t="str">
        <v/>
      </c>
      <c r="E10" t="str">
        <v/>
      </c>
      <c r="F10" s="2">
        <f>AVERAGE(F4:F9)</f>
      </c>
      <c r="G10" s="2">
        <f>AVERAGE(G4:G9)</f>
      </c>
      <c r="H10" s="3">
        <f>SUM(H4:H9)</f>
      </c>
      <c r="I10" t="str">
        <v/>
      </c>
      <c r="J10" s="2">
        <f>AVERAGE(J4:J9)</f>
      </c>
      <c r="K10" s="1">
        <f>IF(L10&gt;0, N10/L10, 0)</f>
      </c>
      <c r="L10" s="2">
        <f>SUM(L4:L9)</f>
      </c>
      <c r="M10" s="2">
        <f>SUM(M4:M9)</f>
      </c>
      <c r="N10" s="2">
        <f>SUM(N4:N9)</f>
      </c>
      <c r="O10" t="str">
        <v>محسوب بمعادلات إكسل</v>
      </c>
      <c r="P10" t="str">
        <v/>
      </c>
      <c r="Q10" t="str">
        <v/>
      </c>
      <c r="R10" t="str">
        <v/>
      </c>
      <c r="S10" t="str">
        <v/>
      </c>
      <c r="T10" t="str">
        <v/>
      </c>
    </row>
  </sheetData>
  <mergeCells count="2">
    <mergeCell ref="A1:T1"/>
    <mergeCell ref="A2:T2"/>
  </mergeCells>
  <ignoredErrors>
    <ignoredError numberStoredAsText="1" sqref="A1:T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طباعة وتصوير مستندات</vt:lpstr>
      <vt:lpstr>أدوات كتابة وأقلام</vt:lpstr>
      <vt:lpstr>كشاكيل ودفاتر</vt:lpstr>
      <vt:lpstr>أدوات هندسية ومدرسية</vt:lpstr>
      <vt:lpstr>ألعاب وهدايا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