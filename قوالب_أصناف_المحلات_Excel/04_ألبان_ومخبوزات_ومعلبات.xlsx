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لبان سائبة ومعبأة" sheetId="1" r:id="rId1"/>
    <sheet name="أجبان بيضاء ومطبوخة" sheetId="2" r:id="rId2"/>
    <sheet name="مخبوزات طازجة" sheetId="3" r:id="rId3"/>
    <sheet name="بيض ومستلزمات" sheetId="4" r:id="rId4"/>
    <sheet name="معلبات وعسل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[ألبان سائبة ومعبأة]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لبن جاموسي طازج فلاحي كجم</v>
      </c>
      <c r="C4" t="str">
        <v>6228801100017</v>
      </c>
      <c r="D4" t="str">
        <v/>
      </c>
      <c r="E4" t="str">
        <v>كجم</v>
      </c>
      <c r="F4">
        <v>32</v>
      </c>
      <c r="G4">
        <v>26</v>
      </c>
      <c r="H4">
        <v>0</v>
      </c>
      <c r="I4">
        <v>10</v>
      </c>
      <c r="J4">
        <f>F4-G4</f>
        <v>6</v>
      </c>
      <c r="K4" s="1">
        <f>IF(G4&gt;0, (F4-G4)/G4, 0)</f>
        <v>0.2308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SKU-0001</v>
      </c>
      <c r="R4" t="str">
        <v/>
      </c>
      <c r="S4" t="str">
        <v/>
      </c>
      <c r="T4" t="str">
        <v/>
      </c>
    </row>
    <row r="5">
      <c r="A5">
        <v>2</v>
      </c>
      <c r="B5" t="str">
        <v>لبن بقري طبيعي طازج كجم</v>
      </c>
      <c r="C5" t="str">
        <v>6228801100024</v>
      </c>
      <c r="D5" t="str">
        <v/>
      </c>
      <c r="E5" t="str">
        <v>كجم</v>
      </c>
      <c r="F5">
        <v>28</v>
      </c>
      <c r="G5">
        <v>23</v>
      </c>
      <c r="H5">
        <v>0</v>
      </c>
      <c r="I5">
        <v>8</v>
      </c>
      <c r="J5">
        <f>F5-G5</f>
        <v>5</v>
      </c>
      <c r="K5" s="1">
        <f>IF(G5&gt;0, (F5-G5)/G5, 0)</f>
        <v>0.2174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SKU-0002</v>
      </c>
      <c r="R5" t="str">
        <v/>
      </c>
      <c r="S5" t="str">
        <v/>
      </c>
      <c r="T5" t="str">
        <v/>
      </c>
    </row>
    <row r="6">
      <c r="A6">
        <v>3</v>
      </c>
      <c r="B6" t="str">
        <v>لبن رايب بلدي فلاحي طازج كجم</v>
      </c>
      <c r="C6" t="str">
        <v>6228801100031</v>
      </c>
      <c r="D6" t="str">
        <v/>
      </c>
      <c r="E6" t="str">
        <v>كجم</v>
      </c>
      <c r="F6">
        <v>30</v>
      </c>
      <c r="G6">
        <v>24</v>
      </c>
      <c r="H6">
        <v>0</v>
      </c>
      <c r="I6">
        <v>6</v>
      </c>
      <c r="J6">
        <f>F6-G6</f>
        <v>6</v>
      </c>
      <c r="K6" s="1">
        <f>IF(G6&gt;0, (F6-G6)/G6, 0)</f>
        <v>0.25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SKU-0003</v>
      </c>
      <c r="R6" t="str">
        <v/>
      </c>
      <c r="S6" t="str">
        <v/>
      </c>
      <c r="T6" t="str">
        <v/>
      </c>
    </row>
    <row r="7">
      <c r="A7">
        <v>4</v>
      </c>
      <c r="B7" t="str">
        <v>زبادي بلدي طازج طاجن فخار كبير</v>
      </c>
      <c r="C7" t="str">
        <v>6228801100048</v>
      </c>
      <c r="D7" t="str">
        <v/>
      </c>
      <c r="E7" t="str">
        <v>قطعة</v>
      </c>
      <c r="F7">
        <v>9</v>
      </c>
      <c r="G7">
        <v>6.8</v>
      </c>
      <c r="H7">
        <v>0</v>
      </c>
      <c r="I7">
        <v>10</v>
      </c>
      <c r="J7">
        <f>F7-G7</f>
        <v>2.2</v>
      </c>
      <c r="K7" s="1">
        <f>IF(G7&gt;0, (F7-G7)/G7, 0)</f>
        <v>0.3235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SKU-0004</v>
      </c>
      <c r="R7" t="str">
        <v/>
      </c>
      <c r="S7" t="str">
        <v/>
      </c>
      <c r="T7" t="str">
        <v/>
      </c>
    </row>
    <row r="8">
      <c r="A8">
        <v>5</v>
      </c>
      <c r="B8" t="str">
        <v>زبادي بلدي طازج كوب صغير</v>
      </c>
      <c r="C8" t="str">
        <v>6228801100055</v>
      </c>
      <c r="D8" t="str">
        <v/>
      </c>
      <c r="E8" t="str">
        <v>قطعة</v>
      </c>
      <c r="F8">
        <v>6</v>
      </c>
      <c r="G8">
        <v>4.5</v>
      </c>
      <c r="H8">
        <v>0</v>
      </c>
      <c r="I8">
        <v>12</v>
      </c>
      <c r="J8">
        <f>F8-G8</f>
        <v>1.5</v>
      </c>
      <c r="K8" s="1">
        <f>IF(G8&gt;0, (F8-G8)/G8, 0)</f>
        <v>0.3333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SKU-0005</v>
      </c>
      <c r="R8" t="str">
        <v/>
      </c>
      <c r="S8" t="str">
        <v/>
      </c>
      <c r="T8" t="str">
        <v/>
      </c>
    </row>
    <row r="9">
      <c r="A9">
        <v>6</v>
      </c>
      <c r="B9" t="str">
        <v>قشطة بلدي فلاحي طبيعية كجم</v>
      </c>
      <c r="C9" t="str">
        <v>6228801100062</v>
      </c>
      <c r="D9" t="str">
        <v/>
      </c>
      <c r="E9" t="str">
        <v>كجم</v>
      </c>
      <c r="F9">
        <v>220</v>
      </c>
      <c r="G9">
        <v>175</v>
      </c>
      <c r="H9">
        <v>0</v>
      </c>
      <c r="I9">
        <v>3</v>
      </c>
      <c r="J9">
        <f>F9-G9</f>
        <v>45</v>
      </c>
      <c r="K9" s="1">
        <f>IF(G9&gt;0, (F9-G9)/G9, 0)</f>
        <v>0.2571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SKU-0006</v>
      </c>
      <c r="R9" t="str">
        <v/>
      </c>
      <c r="S9" t="str">
        <v/>
      </c>
      <c r="T9" t="str">
        <v/>
      </c>
    </row>
    <row r="10">
      <c r="A10">
        <v>7</v>
      </c>
      <c r="B10" t="str">
        <v>زبدة بلدي جاموسي فلاحي كجم</v>
      </c>
      <c r="C10" t="str">
        <v>6228801100079</v>
      </c>
      <c r="D10" t="str">
        <v/>
      </c>
      <c r="E10" t="str">
        <v>كجم</v>
      </c>
      <c r="F10">
        <v>240</v>
      </c>
      <c r="G10">
        <v>195</v>
      </c>
      <c r="H10">
        <v>0</v>
      </c>
      <c r="I10">
        <v>4</v>
      </c>
      <c r="J10">
        <f>F10-G10</f>
        <v>45</v>
      </c>
      <c r="K10" s="1">
        <f>IF(G10&gt;0, (F10-G10)/G10, 0)</f>
        <v>0.2308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SKU-0007</v>
      </c>
      <c r="R10" t="str">
        <v/>
      </c>
      <c r="S10" t="str">
        <v/>
      </c>
      <c r="T10" t="str">
        <v/>
      </c>
    </row>
    <row r="11">
      <c r="A11">
        <v>8</v>
      </c>
      <c r="B11" t="str">
        <v>زبدة صفراء بقري فلاحي كجم</v>
      </c>
      <c r="C11" t="str">
        <v>6228801100086</v>
      </c>
      <c r="D11" t="str">
        <v/>
      </c>
      <c r="E11" t="str">
        <v>كجم</v>
      </c>
      <c r="F11">
        <v>210</v>
      </c>
      <c r="G11">
        <v>170</v>
      </c>
      <c r="H11">
        <v>0</v>
      </c>
      <c r="I11">
        <v>4</v>
      </c>
      <c r="J11">
        <f>F11-G11</f>
        <v>40</v>
      </c>
      <c r="K11" s="1">
        <f>IF(G11&gt;0, (F11-G11)/G11, 0)</f>
        <v>0.2353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SKU-0008</v>
      </c>
      <c r="R11" t="str">
        <v/>
      </c>
      <c r="S11" t="str">
        <v/>
      </c>
      <c r="T11" t="str">
        <v/>
      </c>
    </row>
    <row r="12">
      <c r="A12">
        <v>9</v>
      </c>
      <c r="B12" t="str">
        <v>لبن جهينة كامل الدسم معبأ 1 لتر</v>
      </c>
      <c r="C12" t="str">
        <v>6223000350089</v>
      </c>
      <c r="D12" t="str">
        <v/>
      </c>
      <c r="E12" t="str">
        <v>قطعة</v>
      </c>
      <c r="F12">
        <v>45</v>
      </c>
      <c r="G12">
        <v>38</v>
      </c>
      <c r="H12">
        <v>0</v>
      </c>
      <c r="I12">
        <v>8</v>
      </c>
      <c r="J12">
        <f>F12-G12</f>
        <v>7</v>
      </c>
      <c r="K12" s="1">
        <f>IF(G12&gt;0, (F12-G12)/G12, 0)</f>
        <v>0.1842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SKU-0009</v>
      </c>
      <c r="R12" t="str">
        <v/>
      </c>
      <c r="S12" t="str">
        <v/>
      </c>
      <c r="T12" t="str">
        <v/>
      </c>
    </row>
    <row r="13">
      <c r="A13" t="str">
        <v>الإجمالي</v>
      </c>
      <c r="B13" t="str">
        <v>إجمالي 9 صنف مسجل</v>
      </c>
      <c r="C13" t="str">
        <v/>
      </c>
      <c r="D13" t="str">
        <v/>
      </c>
      <c r="E13" t="str">
        <v/>
      </c>
      <c r="F13" s="2">
        <f>AVERAGE(F4:F12)</f>
      </c>
      <c r="G13" s="2">
        <f>AVERAGE(G4:G12)</f>
      </c>
      <c r="H13" s="3">
        <f>SUM(H4:H12)</f>
      </c>
      <c r="I13" t="str">
        <v/>
      </c>
      <c r="J13" s="2">
        <f>AVERAGE(J4:J12)</f>
      </c>
      <c r="K13" s="1">
        <f>IF(L13&gt;0, N13/L13, 0)</f>
      </c>
      <c r="L13" s="2">
        <f>SUM(L4:L12)</f>
      </c>
      <c r="M13" s="2">
        <f>SUM(M4:M12)</f>
      </c>
      <c r="N13" s="2">
        <f>SUM(N4:N12)</f>
      </c>
      <c r="O13" t="str">
        <v>محسوب بمعادلات إكسل</v>
      </c>
      <c r="P13" t="str">
        <v/>
      </c>
      <c r="Q13" t="str">
        <v/>
      </c>
      <c r="R13" t="str">
        <v/>
      </c>
      <c r="S13" t="str">
        <v/>
      </c>
      <c r="T13" t="str">
        <v/>
      </c>
    </row>
  </sheetData>
  <mergeCells count="2">
    <mergeCell ref="A1:T1"/>
    <mergeCell ref="A2:T2"/>
  </mergeCells>
  <ignoredErrors>
    <ignoredError numberStoredAsText="1" sqref="A1:T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[أجبان بيضاء ومطبوخة]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جبنة قريش فلاحي طبيعية كجم</v>
      </c>
      <c r="C4" t="str">
        <v>6228802200013</v>
      </c>
      <c r="D4" t="str">
        <v/>
      </c>
      <c r="E4" t="str">
        <v>كجم</v>
      </c>
      <c r="F4">
        <v>75</v>
      </c>
      <c r="G4">
        <v>62</v>
      </c>
      <c r="H4">
        <v>0</v>
      </c>
      <c r="I4">
        <v>6</v>
      </c>
      <c r="J4">
        <f>F4-G4</f>
        <v>13</v>
      </c>
      <c r="K4" s="1">
        <f>IF(G4&gt;0, (F4-G4)/G4, 0)</f>
        <v>0.2097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SKU-0010</v>
      </c>
      <c r="R4" t="str">
        <v/>
      </c>
      <c r="S4" t="str">
        <v/>
      </c>
      <c r="T4" t="str">
        <v/>
      </c>
    </row>
    <row r="5">
      <c r="A5">
        <v>2</v>
      </c>
      <c r="B5" t="str">
        <v>جبنة براميلي فلفل دمياطي طبيعي كجم</v>
      </c>
      <c r="C5" t="str">
        <v>6228802200020</v>
      </c>
      <c r="D5" t="str">
        <v/>
      </c>
      <c r="E5" t="str">
        <v>كجم</v>
      </c>
      <c r="F5">
        <v>145</v>
      </c>
      <c r="G5">
        <v>120</v>
      </c>
      <c r="H5">
        <v>0</v>
      </c>
      <c r="I5">
        <v>5</v>
      </c>
      <c r="J5">
        <f>F5-G5</f>
        <v>25</v>
      </c>
      <c r="K5" s="1">
        <f>IF(G5&gt;0, (F5-G5)/G5, 0)</f>
        <v>0.2083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SKU-0011</v>
      </c>
      <c r="R5" t="str">
        <v/>
      </c>
      <c r="S5" t="str">
        <v/>
      </c>
      <c r="T5" t="str">
        <v/>
      </c>
    </row>
    <row r="6">
      <c r="A6">
        <v>3</v>
      </c>
      <c r="B6" t="str">
        <v>جبنة إسطنبولي حادقة معتقة كجم</v>
      </c>
      <c r="C6" t="str">
        <v>6228802200037</v>
      </c>
      <c r="D6" t="str">
        <v/>
      </c>
      <c r="E6" t="str">
        <v>كجم</v>
      </c>
      <c r="F6">
        <v>140</v>
      </c>
      <c r="G6">
        <v>115</v>
      </c>
      <c r="H6">
        <v>0</v>
      </c>
      <c r="I6">
        <v>4</v>
      </c>
      <c r="J6">
        <f>F6-G6</f>
        <v>25</v>
      </c>
      <c r="K6" s="1">
        <f>IF(G6&gt;0, (F6-G6)/G6, 0)</f>
        <v>0.2174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SKU-0012</v>
      </c>
      <c r="R6" t="str">
        <v/>
      </c>
      <c r="S6" t="str">
        <v/>
      </c>
      <c r="T6" t="str">
        <v/>
      </c>
    </row>
    <row r="7">
      <c r="A7">
        <v>4</v>
      </c>
      <c r="B7" t="str">
        <v>جبنة فيتا طبيعية بدون دهن نباتي كجم</v>
      </c>
      <c r="C7" t="str">
        <v>6228802200044</v>
      </c>
      <c r="D7" t="str">
        <v/>
      </c>
      <c r="E7" t="str">
        <v>كجم</v>
      </c>
      <c r="F7">
        <v>130</v>
      </c>
      <c r="G7">
        <v>105</v>
      </c>
      <c r="H7">
        <v>0</v>
      </c>
      <c r="I7">
        <v>5</v>
      </c>
      <c r="J7">
        <f>F7-G7</f>
        <v>25</v>
      </c>
      <c r="K7" s="1">
        <f>IF(G7&gt;0, (F7-G7)/G7, 0)</f>
        <v>0.2381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SKU-0013</v>
      </c>
      <c r="R7" t="str">
        <v/>
      </c>
      <c r="S7" t="str">
        <v/>
      </c>
      <c r="T7" t="str">
        <v/>
      </c>
    </row>
    <row r="8">
      <c r="A8">
        <v>5</v>
      </c>
      <c r="B8" t="str">
        <v>جبنة رومي قديمة بطارخ كجم</v>
      </c>
      <c r="C8" t="str">
        <v>6228802200051</v>
      </c>
      <c r="D8" t="str">
        <v/>
      </c>
      <c r="E8" t="str">
        <v>كجم</v>
      </c>
      <c r="F8">
        <v>340</v>
      </c>
      <c r="G8">
        <v>280</v>
      </c>
      <c r="H8">
        <v>0</v>
      </c>
      <c r="I8">
        <v>4</v>
      </c>
      <c r="J8">
        <f>F8-G8</f>
        <v>60</v>
      </c>
      <c r="K8" s="1">
        <f>IF(G8&gt;0, (F8-G8)/G8, 0)</f>
        <v>0.2143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SKU-0014</v>
      </c>
      <c r="R8" t="str">
        <v/>
      </c>
      <c r="S8" t="str">
        <v/>
      </c>
      <c r="T8" t="str">
        <v/>
      </c>
    </row>
    <row r="9">
      <c r="A9">
        <v>6</v>
      </c>
      <c r="B9" t="str">
        <v>جبنة رومي وسط كجم</v>
      </c>
      <c r="C9" t="str">
        <v>6228802200068</v>
      </c>
      <c r="D9" t="str">
        <v/>
      </c>
      <c r="E9" t="str">
        <v>كجم</v>
      </c>
      <c r="F9">
        <v>290</v>
      </c>
      <c r="G9">
        <v>240</v>
      </c>
      <c r="H9">
        <v>0</v>
      </c>
      <c r="I9">
        <v>4</v>
      </c>
      <c r="J9">
        <f>F9-G9</f>
        <v>50</v>
      </c>
      <c r="K9" s="1">
        <f>IF(G9&gt;0, (F9-G9)/G9, 0)</f>
        <v>0.2083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SKU-0015</v>
      </c>
      <c r="R9" t="str">
        <v/>
      </c>
      <c r="S9" t="str">
        <v/>
      </c>
      <c r="T9" t="str">
        <v/>
      </c>
    </row>
    <row r="10">
      <c r="A10">
        <v>7</v>
      </c>
      <c r="B10" t="str">
        <v>جبنة شيدر مستوردة نيوزيلندي كجم</v>
      </c>
      <c r="C10" t="str">
        <v>6228802200075</v>
      </c>
      <c r="D10" t="str">
        <v/>
      </c>
      <c r="E10" t="str">
        <v>كجم</v>
      </c>
      <c r="F10">
        <v>320</v>
      </c>
      <c r="G10">
        <v>260</v>
      </c>
      <c r="H10">
        <v>0</v>
      </c>
      <c r="I10">
        <v>3</v>
      </c>
      <c r="J10">
        <f>F10-G10</f>
        <v>60</v>
      </c>
      <c r="K10" s="1">
        <f>IF(G10&gt;0, (F10-G10)/G10, 0)</f>
        <v>0.2308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SKU-0016</v>
      </c>
      <c r="R10" t="str">
        <v/>
      </c>
      <c r="S10" t="str">
        <v/>
      </c>
      <c r="T10" t="str">
        <v/>
      </c>
    </row>
    <row r="11">
      <c r="A11">
        <v>8</v>
      </c>
      <c r="B11" t="str">
        <v>جبنة موتزاريلا مبشورة طبيعي 500 جم دومتي</v>
      </c>
      <c r="C11" t="str">
        <v>6223000758014</v>
      </c>
      <c r="D11" t="str">
        <v/>
      </c>
      <c r="E11" t="str">
        <v>قطعة</v>
      </c>
      <c r="F11">
        <v>65</v>
      </c>
      <c r="G11">
        <v>52</v>
      </c>
      <c r="H11">
        <v>0</v>
      </c>
      <c r="I11">
        <v>5</v>
      </c>
      <c r="J11">
        <f>F11-G11</f>
        <v>13</v>
      </c>
      <c r="K11" s="1">
        <f>IF(G11&gt;0, (F11-G11)/G11, 0)</f>
        <v>0.25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SKU-0017</v>
      </c>
      <c r="R11" t="str">
        <v/>
      </c>
      <c r="S11" t="str">
        <v/>
      </c>
      <c r="T11" t="str">
        <v/>
      </c>
    </row>
    <row r="12">
      <c r="A12">
        <v>9</v>
      </c>
      <c r="B12" t="str">
        <v>جبنة كيري مربعات 8 قطع علبة</v>
      </c>
      <c r="C12" t="str">
        <v>3073780965217</v>
      </c>
      <c r="D12" t="str">
        <v/>
      </c>
      <c r="E12" t="str">
        <v>قطعة</v>
      </c>
      <c r="F12">
        <v>55</v>
      </c>
      <c r="G12">
        <v>46</v>
      </c>
      <c r="H12">
        <v>0</v>
      </c>
      <c r="I12">
        <v>6</v>
      </c>
      <c r="J12">
        <f>F12-G12</f>
        <v>9</v>
      </c>
      <c r="K12" s="1">
        <f>IF(G12&gt;0, (F12-G12)/G12, 0)</f>
        <v>0.1957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SKU-0018</v>
      </c>
      <c r="R12" t="str">
        <v/>
      </c>
      <c r="S12" t="str">
        <v/>
      </c>
      <c r="T12" t="str">
        <v/>
      </c>
    </row>
    <row r="13">
      <c r="A13">
        <v>10</v>
      </c>
      <c r="B13" t="str">
        <v>جبنة لافاش كيري مثلثات 8 قطع</v>
      </c>
      <c r="C13" t="str">
        <v>3073780645010</v>
      </c>
      <c r="D13" t="str">
        <v/>
      </c>
      <c r="E13" t="str">
        <v>قطعة</v>
      </c>
      <c r="F13">
        <v>35</v>
      </c>
      <c r="G13">
        <v>29</v>
      </c>
      <c r="H13">
        <v>0</v>
      </c>
      <c r="I13">
        <v>8</v>
      </c>
      <c r="J13">
        <f>F13-G13</f>
        <v>6</v>
      </c>
      <c r="K13" s="1">
        <f>IF(G13&gt;0, (F13-G13)/G13, 0)</f>
        <v>0.2069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SKU-0019</v>
      </c>
      <c r="R13" t="str">
        <v/>
      </c>
      <c r="S13" t="str">
        <v/>
      </c>
      <c r="T13" t="str">
        <v/>
      </c>
    </row>
    <row r="14">
      <c r="A14">
        <v>11</v>
      </c>
      <c r="B14" t="str">
        <v>جبنة عبور لاند تتراباك فيتا 250 جم</v>
      </c>
      <c r="C14" t="str">
        <v>6224001021015</v>
      </c>
      <c r="D14" t="str">
        <v/>
      </c>
      <c r="E14" t="str">
        <v>قطعة</v>
      </c>
      <c r="F14">
        <v>22</v>
      </c>
      <c r="G14">
        <v>18.5</v>
      </c>
      <c r="H14">
        <v>0</v>
      </c>
      <c r="I14">
        <v>12</v>
      </c>
      <c r="J14">
        <f>F14-G14</f>
        <v>3.5</v>
      </c>
      <c r="K14" s="1">
        <f>IF(G14&gt;0, (F14-G14)/G14, 0)</f>
        <v>0.1892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SKU-0020</v>
      </c>
      <c r="R14" t="str">
        <v/>
      </c>
      <c r="S14" t="str">
        <v/>
      </c>
      <c r="T14" t="str">
        <v/>
      </c>
    </row>
    <row r="15">
      <c r="A15" t="str">
        <v>الإجمالي</v>
      </c>
      <c r="B15" t="str">
        <v>إجمالي 11 صنف مسجل</v>
      </c>
      <c r="C15" t="str">
        <v/>
      </c>
      <c r="D15" t="str">
        <v/>
      </c>
      <c r="E15" t="str">
        <v/>
      </c>
      <c r="F15" s="2">
        <f>AVERAGE(F4:F14)</f>
      </c>
      <c r="G15" s="2">
        <f>AVERAGE(G4:G14)</f>
      </c>
      <c r="H15" s="3">
        <f>SUM(H4:H14)</f>
      </c>
      <c r="I15" t="str">
        <v/>
      </c>
      <c r="J15" s="2">
        <f>AVERAGE(J4:J14)</f>
      </c>
      <c r="K15" s="1">
        <f>IF(L15&gt;0, N15/L15, 0)</f>
      </c>
      <c r="L15" s="2">
        <f>SUM(L4:L14)</f>
      </c>
      <c r="M15" s="2">
        <f>SUM(M4:M14)</f>
      </c>
      <c r="N15" s="2">
        <f>SUM(N4:N14)</f>
      </c>
      <c r="O15" t="str">
        <v>محسوب بمعادلات إكسل</v>
      </c>
      <c r="P15" t="str">
        <v/>
      </c>
      <c r="Q15" t="str">
        <v/>
      </c>
      <c r="R15" t="str">
        <v/>
      </c>
      <c r="S15" t="str">
        <v/>
      </c>
      <c r="T15" t="str">
        <v/>
      </c>
    </row>
  </sheetData>
  <mergeCells count="2">
    <mergeCell ref="A1:T1"/>
    <mergeCell ref="A2:T2"/>
  </mergeCells>
  <ignoredErrors>
    <ignoredError numberStoredAsText="1" sqref="A1:T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[مخبوزات طازجة]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عيش فينو طازج كيس 10 أرغفة</v>
      </c>
      <c r="C4" t="str">
        <v>6228803300019</v>
      </c>
      <c r="D4" t="str">
        <v/>
      </c>
      <c r="E4" t="str">
        <v>قطعة</v>
      </c>
      <c r="F4">
        <v>15</v>
      </c>
      <c r="G4">
        <v>11</v>
      </c>
      <c r="H4">
        <v>0</v>
      </c>
      <c r="I4">
        <v>10</v>
      </c>
      <c r="J4">
        <f>F4-G4</f>
        <v>4</v>
      </c>
      <c r="K4" s="1">
        <f>IF(G4&gt;0, (F4-G4)/G4, 0)</f>
        <v>0.3636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SKU-0021</v>
      </c>
      <c r="R4" t="str">
        <v/>
      </c>
      <c r="S4" t="str">
        <v/>
      </c>
      <c r="T4" t="str">
        <v/>
      </c>
    </row>
    <row r="5">
      <c r="A5">
        <v>2</v>
      </c>
      <c r="B5" t="str">
        <v>عيش شامي أبيض كيس 5 أرغفة</v>
      </c>
      <c r="C5" t="str">
        <v>6228803300026</v>
      </c>
      <c r="D5" t="str">
        <v/>
      </c>
      <c r="E5" t="str">
        <v>قطعة</v>
      </c>
      <c r="F5">
        <v>10</v>
      </c>
      <c r="G5">
        <v>7.5</v>
      </c>
      <c r="H5">
        <v>0</v>
      </c>
      <c r="I5">
        <v>8</v>
      </c>
      <c r="J5">
        <f>F5-G5</f>
        <v>2.5</v>
      </c>
      <c r="K5" s="1">
        <f>IF(G5&gt;0, (F5-G5)/G5, 0)</f>
        <v>0.3333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SKU-0022</v>
      </c>
      <c r="R5" t="str">
        <v/>
      </c>
      <c r="S5" t="str">
        <v/>
      </c>
      <c r="T5" t="str">
        <v/>
      </c>
    </row>
    <row r="6">
      <c r="A6">
        <v>3</v>
      </c>
      <c r="B6" t="str">
        <v>عيش بلدي طازج 5 أرغفة</v>
      </c>
      <c r="C6" t="str">
        <v>6228803300033</v>
      </c>
      <c r="D6" t="str">
        <v/>
      </c>
      <c r="E6" t="str">
        <v>قطعة</v>
      </c>
      <c r="F6">
        <v>10</v>
      </c>
      <c r="G6">
        <v>7</v>
      </c>
      <c r="H6">
        <v>0</v>
      </c>
      <c r="I6">
        <v>12</v>
      </c>
      <c r="J6">
        <f>F6-G6</f>
        <v>3</v>
      </c>
      <c r="K6" s="1">
        <f>IF(G6&gt;0, (F6-G6)/G6, 0)</f>
        <v>0.4286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SKU-0023</v>
      </c>
      <c r="R6" t="str">
        <v/>
      </c>
      <c r="S6" t="str">
        <v/>
      </c>
      <c r="T6" t="str">
        <v/>
      </c>
    </row>
    <row r="7">
      <c r="A7">
        <v>4</v>
      </c>
      <c r="B7" t="str">
        <v>عيش توست أبيض ريتش بيك 500 جم</v>
      </c>
      <c r="C7" t="str">
        <v>6228803300040</v>
      </c>
      <c r="D7" t="str">
        <v/>
      </c>
      <c r="E7" t="str">
        <v>قطعة</v>
      </c>
      <c r="F7">
        <v>42</v>
      </c>
      <c r="G7">
        <v>33</v>
      </c>
      <c r="H7">
        <v>0</v>
      </c>
      <c r="I7">
        <v>4</v>
      </c>
      <c r="J7">
        <f>F7-G7</f>
        <v>9</v>
      </c>
      <c r="K7" s="1">
        <f>IF(G7&gt;0, (F7-G7)/G7, 0)</f>
        <v>0.2727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SKU-0024</v>
      </c>
      <c r="R7" t="str">
        <v/>
      </c>
      <c r="S7" t="str">
        <v/>
      </c>
      <c r="T7" t="str">
        <v/>
      </c>
    </row>
    <row r="8">
      <c r="A8">
        <v>5</v>
      </c>
      <c r="B8" t="str">
        <v>عيش توست بني ردة ريتش بيك 500 جم</v>
      </c>
      <c r="C8" t="str">
        <v>6228803300057</v>
      </c>
      <c r="D8" t="str">
        <v/>
      </c>
      <c r="E8" t="str">
        <v>قطعة</v>
      </c>
      <c r="F8">
        <v>45</v>
      </c>
      <c r="G8">
        <v>35</v>
      </c>
      <c r="H8">
        <v>0</v>
      </c>
      <c r="I8">
        <v>3</v>
      </c>
      <c r="J8">
        <f>F8-G8</f>
        <v>10</v>
      </c>
      <c r="K8" s="1">
        <f>IF(G8&gt;0, (F8-G8)/G8, 0)</f>
        <v>0.2857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SKU-0025</v>
      </c>
      <c r="R8" t="str">
        <v/>
      </c>
      <c r="S8" t="str">
        <v/>
      </c>
      <c r="T8" t="str">
        <v/>
      </c>
    </row>
    <row r="9">
      <c r="A9">
        <v>6</v>
      </c>
      <c r="B9" t="str">
        <v>بقسماط أصابع سمسم وكمون كجم</v>
      </c>
      <c r="C9" t="str">
        <v>6228803300064</v>
      </c>
      <c r="D9" t="str">
        <v/>
      </c>
      <c r="E9" t="str">
        <v>كجم</v>
      </c>
      <c r="F9">
        <v>65</v>
      </c>
      <c r="G9">
        <v>48</v>
      </c>
      <c r="H9">
        <v>0</v>
      </c>
      <c r="I9">
        <v>5</v>
      </c>
      <c r="J9">
        <f>F9-G9</f>
        <v>17</v>
      </c>
      <c r="K9" s="1">
        <f>IF(G9&gt;0, (F9-G9)/G9, 0)</f>
        <v>0.3542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SKU-0026</v>
      </c>
      <c r="R9" t="str">
        <v/>
      </c>
      <c r="S9" t="str">
        <v/>
      </c>
      <c r="T9" t="str">
        <v/>
      </c>
    </row>
    <row r="10">
      <c r="A10">
        <v>7</v>
      </c>
      <c r="B10" t="str">
        <v>قرص طرية فلاحي سادة كجم</v>
      </c>
      <c r="C10" t="str">
        <v>6228803300071</v>
      </c>
      <c r="D10" t="str">
        <v/>
      </c>
      <c r="E10" t="str">
        <v>كجم</v>
      </c>
      <c r="F10">
        <v>70</v>
      </c>
      <c r="G10">
        <v>50</v>
      </c>
      <c r="H10">
        <v>0</v>
      </c>
      <c r="I10">
        <v>4</v>
      </c>
      <c r="J10">
        <f>F10-G10</f>
        <v>20</v>
      </c>
      <c r="K10" s="1">
        <f>IF(G10&gt;0, (F10-G10)/G10, 0)</f>
        <v>0.4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SKU-0027</v>
      </c>
      <c r="R10" t="str">
        <v/>
      </c>
      <c r="S10" t="str">
        <v/>
      </c>
      <c r="T10" t="str">
        <v/>
      </c>
    </row>
    <row r="11">
      <c r="A11">
        <v>8</v>
      </c>
      <c r="B11" t="str">
        <v>قرص طرية بالعجوة والسمسم كجم</v>
      </c>
      <c r="C11" t="str">
        <v>6228803300088</v>
      </c>
      <c r="D11" t="str">
        <v/>
      </c>
      <c r="E11" t="str">
        <v>كجم</v>
      </c>
      <c r="F11">
        <v>75</v>
      </c>
      <c r="G11">
        <v>54</v>
      </c>
      <c r="H11">
        <v>0</v>
      </c>
      <c r="I11">
        <v>4</v>
      </c>
      <c r="J11">
        <f>F11-G11</f>
        <v>21</v>
      </c>
      <c r="K11" s="1">
        <f>IF(G11&gt;0, (F11-G11)/G11, 0)</f>
        <v>0.3889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SKU-0028</v>
      </c>
      <c r="R11" t="str">
        <v/>
      </c>
      <c r="S11" t="str">
        <v/>
      </c>
      <c r="T11" t="str">
        <v/>
      </c>
    </row>
    <row r="12">
      <c r="A12">
        <v>9</v>
      </c>
      <c r="B12" t="str">
        <v>باتيه مورق بالجبنة الرومي قطعة</v>
      </c>
      <c r="C12" t="str">
        <v>6228803300095</v>
      </c>
      <c r="D12" t="str">
        <v/>
      </c>
      <c r="E12" t="str">
        <v>قطعة</v>
      </c>
      <c r="F12">
        <v>12</v>
      </c>
      <c r="G12">
        <v>8</v>
      </c>
      <c r="H12">
        <v>0</v>
      </c>
      <c r="I12">
        <v>5</v>
      </c>
      <c r="J12">
        <f>F12-G12</f>
        <v>4</v>
      </c>
      <c r="K12" s="1">
        <f>IF(G12&gt;0, (F12-G12)/G12, 0)</f>
        <v>0.5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SKU-0029</v>
      </c>
      <c r="R12" t="str">
        <v/>
      </c>
      <c r="S12" t="str">
        <v/>
      </c>
      <c r="T12" t="str">
        <v/>
      </c>
    </row>
    <row r="13">
      <c r="A13">
        <v>10</v>
      </c>
      <c r="B13" t="str">
        <v>كيك إنجليزي فانيليا وشيكولاتة ريتش بيك</v>
      </c>
      <c r="C13" t="str">
        <v>6228803300101</v>
      </c>
      <c r="D13" t="str">
        <v/>
      </c>
      <c r="E13" t="str">
        <v>قطعة</v>
      </c>
      <c r="F13">
        <v>35</v>
      </c>
      <c r="G13">
        <v>24</v>
      </c>
      <c r="H13">
        <v>0</v>
      </c>
      <c r="I13">
        <v>3</v>
      </c>
      <c r="J13">
        <f>F13-G13</f>
        <v>11</v>
      </c>
      <c r="K13" s="1">
        <f>IF(G13&gt;0, (F13-G13)/G13, 0)</f>
        <v>0.4583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SKU-0030</v>
      </c>
      <c r="R13" t="str">
        <v/>
      </c>
      <c r="S13" t="str">
        <v/>
      </c>
      <c r="T13" t="str">
        <v/>
      </c>
    </row>
    <row r="14">
      <c r="A14" t="str">
        <v>الإجمالي</v>
      </c>
      <c r="B14" t="str">
        <v>إجمالي 10 صنف مسجل</v>
      </c>
      <c r="C14" t="str">
        <v/>
      </c>
      <c r="D14" t="str">
        <v/>
      </c>
      <c r="E14" t="str">
        <v/>
      </c>
      <c r="F14" s="2">
        <f>AVERAGE(F4:F13)</f>
      </c>
      <c r="G14" s="2">
        <f>AVERAGE(G4:G13)</f>
      </c>
      <c r="H14" s="3">
        <f>SUM(H4:H13)</f>
      </c>
      <c r="I14" t="str">
        <v/>
      </c>
      <c r="J14" s="2">
        <f>AVERAGE(J4:J13)</f>
      </c>
      <c r="K14" s="1">
        <f>IF(L14&gt;0, N14/L14, 0)</f>
      </c>
      <c r="L14" s="2">
        <f>SUM(L4:L13)</f>
      </c>
      <c r="M14" s="2">
        <f>SUM(M4:M13)</f>
      </c>
      <c r="N14" s="2">
        <f>SUM(N4:N13)</f>
      </c>
      <c r="O14" t="str">
        <v>محسوب بمعادلات إكسل</v>
      </c>
      <c r="P14" t="str">
        <v/>
      </c>
      <c r="Q14" t="str">
        <v/>
      </c>
      <c r="R14" t="str">
        <v/>
      </c>
      <c r="S14" t="str">
        <v/>
      </c>
      <c r="T14" t="str">
        <v/>
      </c>
    </row>
  </sheetData>
  <mergeCells count="2">
    <mergeCell ref="A1:T1"/>
    <mergeCell ref="A2:T2"/>
  </mergeCells>
  <ignoredErrors>
    <ignoredError numberStoredAsText="1" sqref="A1:T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[بيض ومستلزمات]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طبق بيض أحمر مزارع 30 بيضة</v>
      </c>
      <c r="C4" t="str">
        <v>6221103300116</v>
      </c>
      <c r="D4" t="str">
        <v/>
      </c>
      <c r="E4" t="str">
        <v>قطعة</v>
      </c>
      <c r="F4">
        <v>175</v>
      </c>
      <c r="G4">
        <v>155</v>
      </c>
      <c r="H4">
        <v>0</v>
      </c>
      <c r="I4">
        <v>5</v>
      </c>
      <c r="J4">
        <f>F4-G4</f>
        <v>20</v>
      </c>
      <c r="K4" s="1">
        <f>IF(G4&gt;0, (F4-G4)/G4, 0)</f>
        <v>0.129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SKU-0031</v>
      </c>
      <c r="R4" t="str">
        <v/>
      </c>
      <c r="S4" t="str">
        <v/>
      </c>
      <c r="T4" t="str">
        <v/>
      </c>
    </row>
    <row r="5">
      <c r="A5">
        <v>2</v>
      </c>
      <c r="B5" t="str">
        <v>طبق بيض أبيض مزارع 30 بيضة</v>
      </c>
      <c r="C5" t="str">
        <v>6221103300123</v>
      </c>
      <c r="D5" t="str">
        <v/>
      </c>
      <c r="E5" t="str">
        <v>قطعة</v>
      </c>
      <c r="F5">
        <v>170</v>
      </c>
      <c r="G5">
        <v>150</v>
      </c>
      <c r="H5">
        <v>0</v>
      </c>
      <c r="I5">
        <v>5</v>
      </c>
      <c r="J5">
        <f>F5-G5</f>
        <v>20</v>
      </c>
      <c r="K5" s="1">
        <f>IF(G5&gt;0, (F5-G5)/G5, 0)</f>
        <v>0.1333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SKU-0032</v>
      </c>
      <c r="R5" t="str">
        <v/>
      </c>
      <c r="S5" t="str">
        <v/>
      </c>
      <c r="T5" t="str">
        <v/>
      </c>
    </row>
    <row r="6">
      <c r="A6">
        <v>3</v>
      </c>
      <c r="B6" t="str">
        <v>طبق بيض بلدي فلاحي طازج 30 بيضة</v>
      </c>
      <c r="C6" t="str">
        <v>6228804400015</v>
      </c>
      <c r="D6" t="str">
        <v/>
      </c>
      <c r="E6" t="str">
        <v>قطعة</v>
      </c>
      <c r="F6">
        <v>185</v>
      </c>
      <c r="G6">
        <v>165</v>
      </c>
      <c r="H6">
        <v>0</v>
      </c>
      <c r="I6">
        <v>4</v>
      </c>
      <c r="J6">
        <f>F6-G6</f>
        <v>20</v>
      </c>
      <c r="K6" s="1">
        <f>IF(G6&gt;0, (F6-G6)/G6, 0)</f>
        <v>0.1212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SKU-0033</v>
      </c>
      <c r="R6" t="str">
        <v/>
      </c>
      <c r="S6" t="str">
        <v/>
      </c>
      <c r="T6" t="str">
        <v/>
      </c>
    </row>
    <row r="7">
      <c r="A7">
        <v>4</v>
      </c>
      <c r="B7" t="str">
        <v>بيضة مزارع حمراء بالواحدة</v>
      </c>
      <c r="C7" t="str">
        <v>6228804400022</v>
      </c>
      <c r="D7" t="str">
        <v/>
      </c>
      <c r="E7" t="str">
        <v>قطعة</v>
      </c>
      <c r="F7">
        <v>6</v>
      </c>
      <c r="G7">
        <v>5.2</v>
      </c>
      <c r="H7">
        <v>0</v>
      </c>
      <c r="I7">
        <v>15</v>
      </c>
      <c r="J7">
        <f>F7-G7</f>
        <v>0.8</v>
      </c>
      <c r="K7" s="1">
        <f>IF(G7&gt;0, (F7-G7)/G7, 0)</f>
        <v>0.1538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SKU-0034</v>
      </c>
      <c r="R7" t="str">
        <v/>
      </c>
      <c r="S7" t="str">
        <v/>
      </c>
      <c r="T7" t="str">
        <v/>
      </c>
    </row>
    <row r="8">
      <c r="A8" t="str">
        <v>الإجمالي</v>
      </c>
      <c r="B8" t="str">
        <v>إجمالي 4 صنف مسجل</v>
      </c>
      <c r="C8" t="str">
        <v/>
      </c>
      <c r="D8" t="str">
        <v/>
      </c>
      <c r="E8" t="str">
        <v/>
      </c>
      <c r="F8" s="2">
        <f>AVERAGE(F4:F7)</f>
      </c>
      <c r="G8" s="2">
        <f>AVERAGE(G4:G7)</f>
      </c>
      <c r="H8" s="3">
        <f>SUM(H4:H7)</f>
      </c>
      <c r="I8" t="str">
        <v/>
      </c>
      <c r="J8" s="2">
        <f>AVERAGE(J4:J7)</f>
      </c>
      <c r="K8" s="1">
        <f>IF(L8&gt;0, N8/L8, 0)</f>
      </c>
      <c r="L8" s="2">
        <f>SUM(L4:L7)</f>
      </c>
      <c r="M8" s="2">
        <f>SUM(M4:M7)</f>
      </c>
      <c r="N8" s="2">
        <f>SUM(N4:N7)</f>
      </c>
      <c r="O8" t="str">
        <v>محسوب بمعادلات إكسل</v>
      </c>
      <c r="P8" t="str">
        <v/>
      </c>
      <c r="Q8" t="str">
        <v/>
      </c>
      <c r="R8" t="str">
        <v/>
      </c>
      <c r="S8" t="str">
        <v/>
      </c>
      <c r="T8" t="str">
        <v/>
      </c>
    </row>
  </sheetData>
  <mergeCells count="2">
    <mergeCell ref="A1:T1"/>
    <mergeCell ref="A2:T2"/>
  </mergeCells>
  <ignoredErrors>
    <ignoredError numberStoredAsText="1" sqref="A1:T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[معلبات وعسل]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عسل نحل زهور حبة البركة امتنان 500 جم</v>
      </c>
      <c r="C4" t="str">
        <v>6228805500011</v>
      </c>
      <c r="D4" t="str">
        <v/>
      </c>
      <c r="E4" t="str">
        <v>قطعة</v>
      </c>
      <c r="F4">
        <v>85</v>
      </c>
      <c r="G4">
        <v>65</v>
      </c>
      <c r="H4">
        <v>0</v>
      </c>
      <c r="I4">
        <v>4</v>
      </c>
      <c r="J4">
        <f>F4-G4</f>
        <v>20</v>
      </c>
      <c r="K4" s="1">
        <f>IF(G4&gt;0, (F4-G4)/G4, 0)</f>
        <v>0.3077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SKU-0035</v>
      </c>
      <c r="R4" t="str">
        <v/>
      </c>
      <c r="S4" t="str">
        <v/>
      </c>
      <c r="T4" t="str">
        <v/>
      </c>
    </row>
    <row r="5">
      <c r="A5">
        <v>2</v>
      </c>
      <c r="B5" t="str">
        <v>عسل نحل موالح طبيعي امتنان 500 جم</v>
      </c>
      <c r="C5" t="str">
        <v>6228805500028</v>
      </c>
      <c r="D5" t="str">
        <v/>
      </c>
      <c r="E5" t="str">
        <v>قطعة</v>
      </c>
      <c r="F5">
        <v>85</v>
      </c>
      <c r="G5">
        <v>65</v>
      </c>
      <c r="H5">
        <v>0</v>
      </c>
      <c r="I5">
        <v>4</v>
      </c>
      <c r="J5">
        <f>F5-G5</f>
        <v>20</v>
      </c>
      <c r="K5" s="1">
        <f>IF(G5&gt;0, (F5-G5)/G5, 0)</f>
        <v>0.3077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SKU-0036</v>
      </c>
      <c r="R5" t="str">
        <v/>
      </c>
      <c r="S5" t="str">
        <v/>
      </c>
      <c r="T5" t="str">
        <v/>
      </c>
    </row>
    <row r="6">
      <c r="A6">
        <v>3</v>
      </c>
      <c r="B6" t="str">
        <v>عسل أسود قصب مصري فاخر برطمان 1 كجم</v>
      </c>
      <c r="C6" t="str">
        <v>6228805500035</v>
      </c>
      <c r="D6" t="str">
        <v/>
      </c>
      <c r="E6" t="str">
        <v>قطعة</v>
      </c>
      <c r="F6">
        <v>45</v>
      </c>
      <c r="G6">
        <v>32</v>
      </c>
      <c r="H6">
        <v>0</v>
      </c>
      <c r="I6">
        <v>5</v>
      </c>
      <c r="J6">
        <f>F6-G6</f>
        <v>13</v>
      </c>
      <c r="K6" s="1">
        <f>IF(G6&gt;0, (F6-G6)/G6, 0)</f>
        <v>0.4063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SKU-0037</v>
      </c>
      <c r="R6" t="str">
        <v/>
      </c>
      <c r="S6" t="str">
        <v/>
      </c>
      <c r="T6" t="str">
        <v/>
      </c>
    </row>
    <row r="7">
      <c r="A7">
        <v>4</v>
      </c>
      <c r="B7" t="str">
        <v>طحينة سمسم بيضاء فاخرة الرشيدي 500 جم</v>
      </c>
      <c r="C7" t="str">
        <v>6228805500042</v>
      </c>
      <c r="D7" t="str">
        <v/>
      </c>
      <c r="E7" t="str">
        <v>قطعة</v>
      </c>
      <c r="F7">
        <v>65</v>
      </c>
      <c r="G7">
        <v>48</v>
      </c>
      <c r="H7">
        <v>0</v>
      </c>
      <c r="I7">
        <v>4</v>
      </c>
      <c r="J7">
        <f>F7-G7</f>
        <v>17</v>
      </c>
      <c r="K7" s="1">
        <f>IF(G7&gt;0, (F7-G7)/G7, 0)</f>
        <v>0.3542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SKU-0038</v>
      </c>
      <c r="R7" t="str">
        <v/>
      </c>
      <c r="S7" t="str">
        <v/>
      </c>
      <c r="T7" t="str">
        <v/>
      </c>
    </row>
    <row r="8">
      <c r="A8">
        <v>5</v>
      </c>
      <c r="B8" t="str">
        <v>حلاوة طحينية سادة الرشيدي الميزان 500 جم</v>
      </c>
      <c r="C8" t="str">
        <v>6228805500059</v>
      </c>
      <c r="D8" t="str">
        <v/>
      </c>
      <c r="E8" t="str">
        <v>قطعة</v>
      </c>
      <c r="F8">
        <v>55</v>
      </c>
      <c r="G8">
        <v>42</v>
      </c>
      <c r="H8">
        <v>0</v>
      </c>
      <c r="I8">
        <v>5</v>
      </c>
      <c r="J8">
        <f>F8-G8</f>
        <v>13</v>
      </c>
      <c r="K8" s="1">
        <f>IF(G8&gt;0, (F8-G8)/G8, 0)</f>
        <v>0.3095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SKU-0039</v>
      </c>
      <c r="R8" t="str">
        <v/>
      </c>
      <c r="S8" t="str">
        <v/>
      </c>
      <c r="T8" t="str">
        <v/>
      </c>
    </row>
    <row r="9">
      <c r="A9">
        <v>6</v>
      </c>
      <c r="B9" t="str">
        <v>مخلل بلدي مشكل بوليف معصفر كجم</v>
      </c>
      <c r="C9" t="str">
        <v>6228805500066</v>
      </c>
      <c r="D9" t="str">
        <v/>
      </c>
      <c r="E9" t="str">
        <v>كجم</v>
      </c>
      <c r="F9">
        <v>35</v>
      </c>
      <c r="G9">
        <v>22</v>
      </c>
      <c r="H9">
        <v>0</v>
      </c>
      <c r="I9">
        <v>6</v>
      </c>
      <c r="J9">
        <f>F9-G9</f>
        <v>13</v>
      </c>
      <c r="K9" s="1">
        <f>IF(G9&gt;0, (F9-G9)/G9, 0)</f>
        <v>0.5909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SKU-0040</v>
      </c>
      <c r="R9" t="str">
        <v/>
      </c>
      <c r="S9" t="str">
        <v/>
      </c>
      <c r="T9" t="str">
        <v/>
      </c>
    </row>
    <row r="10">
      <c r="A10">
        <v>7</v>
      </c>
      <c r="B10" t="str">
        <v>مخلل ليمون معصفر حبة البركة كجم</v>
      </c>
      <c r="C10" t="str">
        <v>6228805500073</v>
      </c>
      <c r="D10" t="str">
        <v/>
      </c>
      <c r="E10" t="str">
        <v>كجم</v>
      </c>
      <c r="F10">
        <v>40</v>
      </c>
      <c r="G10">
        <v>26</v>
      </c>
      <c r="H10">
        <v>0</v>
      </c>
      <c r="I10">
        <v>5</v>
      </c>
      <c r="J10">
        <f>F10-G10</f>
        <v>14</v>
      </c>
      <c r="K10" s="1">
        <f>IF(G10&gt;0, (F10-G10)/G10, 0)</f>
        <v>0.5385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SKU-0041</v>
      </c>
      <c r="R10" t="str">
        <v/>
      </c>
      <c r="S10" t="str">
        <v/>
      </c>
      <c r="T10" t="str">
        <v/>
      </c>
    </row>
    <row r="11">
      <c r="A11" t="str">
        <v>الإجمالي</v>
      </c>
      <c r="B11" t="str">
        <v>إجمالي 7 صنف مسجل</v>
      </c>
      <c r="C11" t="str">
        <v/>
      </c>
      <c r="D11" t="str">
        <v/>
      </c>
      <c r="E11" t="str">
        <v/>
      </c>
      <c r="F11" s="2">
        <f>AVERAGE(F4:F10)</f>
      </c>
      <c r="G11" s="2">
        <f>AVERAGE(G4:G10)</f>
      </c>
      <c r="H11" s="3">
        <f>SUM(H4:H10)</f>
      </c>
      <c r="I11" t="str">
        <v/>
      </c>
      <c r="J11" s="2">
        <f>AVERAGE(J4:J10)</f>
      </c>
      <c r="K11" s="1">
        <f>IF(L11&gt;0, N11/L11, 0)</f>
      </c>
      <c r="L11" s="2">
        <f>SUM(L4:L10)</f>
      </c>
      <c r="M11" s="2">
        <f>SUM(M4:M10)</f>
      </c>
      <c r="N11" s="2">
        <f>SUM(N4:N10)</f>
      </c>
      <c r="O11" t="str">
        <v>محسوب بمعادلات إكسل</v>
      </c>
      <c r="P11" t="str">
        <v/>
      </c>
      <c r="Q11" t="str">
        <v/>
      </c>
      <c r="R11" t="str">
        <v/>
      </c>
      <c r="S11" t="str">
        <v/>
      </c>
      <c r="T11" t="str">
        <v/>
      </c>
    </row>
  </sheetData>
  <mergeCells count="2">
    <mergeCell ref="A1:T1"/>
    <mergeCell ref="A2:T2"/>
  </mergeCells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ألبان سائبة ومعبأة</vt:lpstr>
      <vt:lpstr>أجبان بيضاء ومطبوخة</vt:lpstr>
      <vt:lpstr>مخبوزات طازجة</vt:lpstr>
      <vt:lpstr>بيض ومستلزمات</vt:lpstr>
      <vt:lpstr>معلبات وعسل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