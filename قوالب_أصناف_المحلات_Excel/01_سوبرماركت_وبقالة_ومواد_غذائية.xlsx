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ألبان وأجبان" sheetId="1" r:id="rId1"/>
    <sheet name="معلبات وبقوليات" sheetId="2" r:id="rId2"/>
    <sheet name="مشروبات وعصائر" sheetId="3" r:id="rId3"/>
    <sheet name="بسكويت وحلويات" sheetId="4" r:id="rId4"/>
    <sheet name="منظفات وعناية منزلية" sheetId="5" r:id="rId5"/>
    <sheet name="مخبوزات" sheetId="6" r:id="rId6"/>
    <sheet name="خضار وفاكهة" sheetId="7" r:id="rId7"/>
    <sheet name="مجمدات" sheetId="8" r:id="rId8"/>
    <sheet name="دخان وسجائر" sheetId="9" r:id="rId9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3">
    <numFmt numFmtId="56" formatCode="&quot;上午/下午 &quot;hh&quot;時&quot;mm&quot;分&quot;ss&quot;秒 &quot;"/>
    <numFmt numFmtId="60" formatCode="0.0%"/>
    <numFmt numFmtId="61" formatCode="#,##0.##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60" fontId="0" fillId="0" borderId="0" xfId="0" applyNumberFormat="1"/>
    <xf numFmtId="4" fontId="0" fillId="0" borderId="0" xfId="0" applyNumberFormat="1"/>
    <xf numFmtId="6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T27"/>
  <sheetViews>
    <sheetView workbookViewId="0"/>
  </sheetViews>
  <cols>
    <col min="1" max="1" width="6.83203125" customWidth="1"/>
    <col min="2" max="2" width="38.83203125" customWidth="1"/>
    <col min="3" max="3" width="20.83203125" customWidth="1"/>
    <col min="4" max="4" width="24.83203125" customWidth="1"/>
    <col min="5" max="5" width="14.83203125" customWidth="1"/>
    <col min="6" max="6" width="16.83203125" customWidth="1"/>
    <col min="7" max="7" width="16.83203125" customWidth="1"/>
    <col min="8" max="8" width="16.83203125" customWidth="1"/>
    <col min="9" max="9" width="16.83203125" customWidth="1"/>
    <col min="10" max="10" width="18.83203125" customWidth="1"/>
    <col min="11" max="11" width="15.83203125" customWidth="1"/>
    <col min="12" max="12" width="22.83203125" customWidth="1"/>
    <col min="13" max="13" width="22.83203125" customWidth="1"/>
    <col min="14" max="14" width="22.83203125" customWidth="1"/>
    <col min="15" max="15" width="18.83203125" customWidth="1"/>
    <col min="16" max="16" width="14.83203125" customWidth="1"/>
    <col min="17" max="17" width="20.83203125" customWidth="1"/>
    <col min="18" max="18" width="18.83203125" customWidth="1"/>
    <col min="19" max="19" width="18.83203125" customWidth="1"/>
    <col min="20" max="20" width="22.83203125" customWidth="1"/>
  </cols>
  <sheetData>
    <row r="1">
      <c r="A1" t="str">
        <v>رفيق POS - قائمة أصناف قسم: [ألبان وأجبان]</v>
      </c>
    </row>
    <row r="2">
      <c r="A2" t="str">
        <v>تعليمات هامة: الأعمدة المميزة بنجمة (*) إلزامية | اسم التابة يمثل القسم تلقائياً | المبالغ بالجنيه المصري | الأعمدة الملونة تحتوي على معادلات إكسل تتحدث تلقائياً</v>
      </c>
    </row>
    <row r="3">
      <c r="A3" t="str">
        <v>م</v>
      </c>
      <c r="B3" t="str">
        <v>اسم الصنف *</v>
      </c>
      <c r="C3" t="str">
        <v>الباركود الرئيسي</v>
      </c>
      <c r="D3" t="str">
        <v>باركودات إضافية (مفصولة بفاصلة)</v>
      </c>
      <c r="E3" t="str">
        <v>الوحدة (قطعة / كجم)</v>
      </c>
      <c r="F3" t="str">
        <v>سعر البيع (بالجنيه) *</v>
      </c>
      <c r="G3" t="str">
        <v>سعر التكلفة (بالجنيه)</v>
      </c>
      <c r="H3" t="str">
        <v>الرصيد الافتتاحي</v>
      </c>
      <c r="I3" t="str">
        <v>حد الطلب الأدنى</v>
      </c>
      <c r="J3" t="str">
        <v>هامش الربح للقطعة (ج.م)</v>
      </c>
      <c r="K3" t="str">
        <v>نسبة الربح (%)</v>
      </c>
      <c r="L3" t="str">
        <v>إجمالي قيمة التكلفة (ج.م)</v>
      </c>
      <c r="M3" t="str">
        <v>إجمالي القيمة البيعية (ج.م)</v>
      </c>
      <c r="N3" t="str">
        <v>إجمالي الربح المتوقع (ج.م)</v>
      </c>
      <c r="O3" t="str">
        <v>حالة المخزون التلقائية</v>
      </c>
      <c r="P3" t="str">
        <v>نسبة الضريبة (%)</v>
      </c>
      <c r="Q3" t="str">
        <v>كود الصنف الداخلي (SKU)</v>
      </c>
      <c r="R3" t="str">
        <v>اللون (اختياري / للملابس)</v>
      </c>
      <c r="S3" t="str">
        <v>المقاس (اختياري / للملابس)</v>
      </c>
      <c r="T3" t="str">
        <v>كود التصنيف الضريبي (GS1/EGS)</v>
      </c>
    </row>
    <row r="4">
      <c r="A4">
        <v>1</v>
      </c>
      <c r="B4" t="str">
        <v>لبن جهينة كامل الدسم 1 لتر</v>
      </c>
      <c r="C4" t="str">
        <v>6223000350089</v>
      </c>
      <c r="D4" t="str">
        <v/>
      </c>
      <c r="E4" t="str">
        <v>قطعة</v>
      </c>
      <c r="F4">
        <v>45</v>
      </c>
      <c r="G4">
        <v>38</v>
      </c>
      <c r="H4">
        <v>0</v>
      </c>
      <c r="I4">
        <v>10</v>
      </c>
      <c r="J4">
        <f>F4-G4</f>
        <v>7</v>
      </c>
      <c r="K4" s="1">
        <f>IF(G4&gt;0, (F4-G4)/G4, 0)</f>
        <v>0.1842</v>
      </c>
      <c r="L4" s="2">
        <f>H4*G4</f>
        <v>0</v>
      </c>
      <c r="M4" s="2">
        <f>H4*F4</f>
        <v>0</v>
      </c>
      <c r="N4" s="2">
        <f>M4-L4</f>
        <v>0</v>
      </c>
      <c r="O4" t="str">
        <f>IF(H4&lt;=0, "نفد من المخزن", IF(H4&lt;=I4, "قارب على النفاد", "متوفر بالمخزن"))</f>
        <v>نفد من المخزن</v>
      </c>
      <c r="P4">
        <v>0</v>
      </c>
      <c r="Q4" t="str">
        <v>SKU-0001</v>
      </c>
      <c r="R4" t="str">
        <v/>
      </c>
      <c r="S4" t="str">
        <v/>
      </c>
      <c r="T4" t="str">
        <v/>
      </c>
    </row>
    <row r="5">
      <c r="A5">
        <v>2</v>
      </c>
      <c r="B5" t="str">
        <v>لبن جهينة خالي الدسم 1 لتر</v>
      </c>
      <c r="C5" t="str">
        <v>6223000350096</v>
      </c>
      <c r="D5" t="str">
        <v/>
      </c>
      <c r="E5" t="str">
        <v>قطعة</v>
      </c>
      <c r="F5">
        <v>45</v>
      </c>
      <c r="G5">
        <v>38</v>
      </c>
      <c r="H5">
        <v>0</v>
      </c>
      <c r="I5">
        <v>8</v>
      </c>
      <c r="J5">
        <f>F5-G5</f>
        <v>7</v>
      </c>
      <c r="K5" s="1">
        <f>IF(G5&gt;0, (F5-G5)/G5, 0)</f>
        <v>0.1842</v>
      </c>
      <c r="L5" s="2">
        <f>H5*G5</f>
        <v>0</v>
      </c>
      <c r="M5" s="2">
        <f>H5*F5</f>
        <v>0</v>
      </c>
      <c r="N5" s="2">
        <f>M5-L5</f>
        <v>0</v>
      </c>
      <c r="O5" t="str">
        <f>IF(H5&lt;=0, "نفد من المخزن", IF(H5&lt;=I5, "قارب على النفاد", "متوفر بالمخزن"))</f>
        <v>نفد من المخزن</v>
      </c>
      <c r="P5">
        <v>0</v>
      </c>
      <c r="Q5" t="str">
        <v>SKU-0002</v>
      </c>
      <c r="R5" t="str">
        <v/>
      </c>
      <c r="S5" t="str">
        <v/>
      </c>
      <c r="T5" t="str">
        <v/>
      </c>
    </row>
    <row r="6">
      <c r="A6">
        <v>3</v>
      </c>
      <c r="B6" t="str">
        <v>لبن المراعي كامل الدسم 1 لتر</v>
      </c>
      <c r="C6" t="str">
        <v>6221008001019</v>
      </c>
      <c r="D6" t="str">
        <v/>
      </c>
      <c r="E6" t="str">
        <v>قطعة</v>
      </c>
      <c r="F6">
        <v>45</v>
      </c>
      <c r="G6">
        <v>38.5</v>
      </c>
      <c r="H6">
        <v>0</v>
      </c>
      <c r="I6">
        <v>10</v>
      </c>
      <c r="J6">
        <f>F6-G6</f>
        <v>6.5</v>
      </c>
      <c r="K6" s="1">
        <f>IF(G6&gt;0, (F6-G6)/G6, 0)</f>
        <v>0.1688</v>
      </c>
      <c r="L6" s="2">
        <f>H6*G6</f>
        <v>0</v>
      </c>
      <c r="M6" s="2">
        <f>H6*F6</f>
        <v>0</v>
      </c>
      <c r="N6" s="2">
        <f>M6-L6</f>
        <v>0</v>
      </c>
      <c r="O6" t="str">
        <f>IF(H6&lt;=0, "نفد من المخزن", IF(H6&lt;=I6, "قارب على النفاد", "متوفر بالمخزن"))</f>
        <v>نفد من المخزن</v>
      </c>
      <c r="P6">
        <v>0</v>
      </c>
      <c r="Q6" t="str">
        <v>SKU-0003</v>
      </c>
      <c r="R6" t="str">
        <v/>
      </c>
      <c r="S6" t="str">
        <v/>
      </c>
      <c r="T6" t="str">
        <v/>
      </c>
    </row>
    <row r="7">
      <c r="A7">
        <v>4</v>
      </c>
      <c r="B7" t="str">
        <v>لبن بخيره كامل الدسم كيس 500 مل</v>
      </c>
      <c r="C7" t="str">
        <v>6223000350157</v>
      </c>
      <c r="D7" t="str">
        <v/>
      </c>
      <c r="E7" t="str">
        <v>قطعة</v>
      </c>
      <c r="F7">
        <v>20</v>
      </c>
      <c r="G7">
        <v>17</v>
      </c>
      <c r="H7">
        <v>0</v>
      </c>
      <c r="I7">
        <v>15</v>
      </c>
      <c r="J7">
        <f>F7-G7</f>
        <v>3</v>
      </c>
      <c r="K7" s="1">
        <f>IF(G7&gt;0, (F7-G7)/G7, 0)</f>
        <v>0.1765</v>
      </c>
      <c r="L7" s="2">
        <f>H7*G7</f>
        <v>0</v>
      </c>
      <c r="M7" s="2">
        <f>H7*F7</f>
        <v>0</v>
      </c>
      <c r="N7" s="2">
        <f>M7-L7</f>
        <v>0</v>
      </c>
      <c r="O7" t="str">
        <f>IF(H7&lt;=0, "نفد من المخزن", IF(H7&lt;=I7, "قارب على النفاد", "متوفر بالمخزن"))</f>
        <v>نفد من المخزن</v>
      </c>
      <c r="P7">
        <v>0</v>
      </c>
      <c r="Q7" t="str">
        <v>SKU-0004</v>
      </c>
      <c r="R7" t="str">
        <v/>
      </c>
      <c r="S7" t="str">
        <v/>
      </c>
      <c r="T7" t="str">
        <v/>
      </c>
    </row>
    <row r="8">
      <c r="A8">
        <v>5</v>
      </c>
      <c r="B8" t="str">
        <v>زبادي جهينة طبيعي 105 جم</v>
      </c>
      <c r="C8" t="str">
        <v>6223000351482</v>
      </c>
      <c r="D8" t="str">
        <v/>
      </c>
      <c r="E8" t="str">
        <v>قطعة</v>
      </c>
      <c r="F8">
        <v>10</v>
      </c>
      <c r="G8">
        <v>7.8</v>
      </c>
      <c r="H8">
        <v>0</v>
      </c>
      <c r="I8">
        <v>20</v>
      </c>
      <c r="J8">
        <f>F8-G8</f>
        <v>2.2</v>
      </c>
      <c r="K8" s="1">
        <f>IF(G8&gt;0, (F8-G8)/G8, 0)</f>
        <v>0.2821</v>
      </c>
      <c r="L8" s="2">
        <f>H8*G8</f>
        <v>0</v>
      </c>
      <c r="M8" s="2">
        <f>H8*F8</f>
        <v>0</v>
      </c>
      <c r="N8" s="2">
        <f>M8-L8</f>
        <v>0</v>
      </c>
      <c r="O8" t="str">
        <f>IF(H8&lt;=0, "نفد من المخزن", IF(H8&lt;=I8, "قارب على النفاد", "متوفر بالمخزن"))</f>
        <v>نفد من المخزن</v>
      </c>
      <c r="P8">
        <v>0</v>
      </c>
      <c r="Q8" t="str">
        <v>SKU-0005</v>
      </c>
      <c r="R8" t="str">
        <v/>
      </c>
      <c r="S8" t="str">
        <v/>
      </c>
      <c r="T8" t="str">
        <v/>
      </c>
    </row>
    <row r="9">
      <c r="A9">
        <v>6</v>
      </c>
      <c r="B9" t="str">
        <v>زبادي المراعي طبيعي 105 جم</v>
      </c>
      <c r="C9" t="str">
        <v>6221008002016</v>
      </c>
      <c r="D9" t="str">
        <v/>
      </c>
      <c r="E9" t="str">
        <v>قطعة</v>
      </c>
      <c r="F9">
        <v>10</v>
      </c>
      <c r="G9">
        <v>8</v>
      </c>
      <c r="H9">
        <v>0</v>
      </c>
      <c r="I9">
        <v>15</v>
      </c>
      <c r="J9">
        <f>F9-G9</f>
        <v>2</v>
      </c>
      <c r="K9" s="1">
        <f>IF(G9&gt;0, (F9-G9)/G9, 0)</f>
        <v>0.25</v>
      </c>
      <c r="L9" s="2">
        <f>H9*G9</f>
        <v>0</v>
      </c>
      <c r="M9" s="2">
        <f>H9*F9</f>
        <v>0</v>
      </c>
      <c r="N9" s="2">
        <f>M9-L9</f>
        <v>0</v>
      </c>
      <c r="O9" t="str">
        <f>IF(H9&lt;=0, "نفد من المخزن", IF(H9&lt;=I9, "قارب على النفاد", "متوفر بالمخزن"))</f>
        <v>نفد من المخزن</v>
      </c>
      <c r="P9">
        <v>0</v>
      </c>
      <c r="Q9" t="str">
        <v>SKU-0006</v>
      </c>
      <c r="R9" t="str">
        <v/>
      </c>
      <c r="S9" t="str">
        <v/>
      </c>
      <c r="T9" t="str">
        <v/>
      </c>
    </row>
    <row r="10">
      <c r="A10">
        <v>7</v>
      </c>
      <c r="B10" t="str">
        <v>مشروب زبادو جهينة خوخ 440 جم</v>
      </c>
      <c r="C10" t="str">
        <v>6223000352656</v>
      </c>
      <c r="D10" t="str">
        <v/>
      </c>
      <c r="E10" t="str">
        <v>قطعة</v>
      </c>
      <c r="F10">
        <v>22</v>
      </c>
      <c r="G10">
        <v>18</v>
      </c>
      <c r="H10">
        <v>0</v>
      </c>
      <c r="I10">
        <v>6</v>
      </c>
      <c r="J10">
        <f>F10-G10</f>
        <v>4</v>
      </c>
      <c r="K10" s="1">
        <f>IF(G10&gt;0, (F10-G10)/G10, 0)</f>
        <v>0.2222</v>
      </c>
      <c r="L10" s="2">
        <f>H10*G10</f>
        <v>0</v>
      </c>
      <c r="M10" s="2">
        <f>H10*F10</f>
        <v>0</v>
      </c>
      <c r="N10" s="2">
        <f>M10-L10</f>
        <v>0</v>
      </c>
      <c r="O10" t="str">
        <f>IF(H10&lt;=0, "نفد من المخزن", IF(H10&lt;=I10, "قارب على النفاد", "متوفر بالمخزن"))</f>
        <v>نفد من المخزن</v>
      </c>
      <c r="P10">
        <v>0</v>
      </c>
      <c r="Q10" t="str">
        <v>SKU-0007</v>
      </c>
      <c r="R10" t="str">
        <v/>
      </c>
      <c r="S10" t="str">
        <v/>
      </c>
      <c r="T10" t="str">
        <v/>
      </c>
    </row>
    <row r="11">
      <c r="A11">
        <v>8</v>
      </c>
      <c r="B11" t="str">
        <v>مشروب زبادو جهينة فراولة 440 جم</v>
      </c>
      <c r="C11" t="str">
        <v>6223000352663</v>
      </c>
      <c r="D11" t="str">
        <v/>
      </c>
      <c r="E11" t="str">
        <v>قطعة</v>
      </c>
      <c r="F11">
        <v>22</v>
      </c>
      <c r="G11">
        <v>18</v>
      </c>
      <c r="H11">
        <v>0</v>
      </c>
      <c r="I11">
        <v>6</v>
      </c>
      <c r="J11">
        <f>F11-G11</f>
        <v>4</v>
      </c>
      <c r="K11" s="1">
        <f>IF(G11&gt;0, (F11-G11)/G11, 0)</f>
        <v>0.2222</v>
      </c>
      <c r="L11" s="2">
        <f>H11*G11</f>
        <v>0</v>
      </c>
      <c r="M11" s="2">
        <f>H11*F11</f>
        <v>0</v>
      </c>
      <c r="N11" s="2">
        <f>M11-L11</f>
        <v>0</v>
      </c>
      <c r="O11" t="str">
        <f>IF(H11&lt;=0, "نفد من المخزن", IF(H11&lt;=I11, "قارب على النفاد", "متوفر بالمخزن"))</f>
        <v>نفد من المخزن</v>
      </c>
      <c r="P11">
        <v>0</v>
      </c>
      <c r="Q11" t="str">
        <v>SKU-0008</v>
      </c>
      <c r="R11" t="str">
        <v/>
      </c>
      <c r="S11" t="str">
        <v/>
      </c>
      <c r="T11" t="str">
        <v/>
      </c>
    </row>
    <row r="12">
      <c r="A12">
        <v>9</v>
      </c>
      <c r="B12" t="str">
        <v>حليب جهينة ميكس شيكولاتة 200 مل</v>
      </c>
      <c r="C12" t="str">
        <v>6222014310881</v>
      </c>
      <c r="D12" t="str">
        <v/>
      </c>
      <c r="E12" t="str">
        <v>قطعة</v>
      </c>
      <c r="F12">
        <v>12</v>
      </c>
      <c r="G12">
        <v>9.5</v>
      </c>
      <c r="H12">
        <v>0</v>
      </c>
      <c r="I12">
        <v>10</v>
      </c>
      <c r="J12">
        <f>F12-G12</f>
        <v>2.5</v>
      </c>
      <c r="K12" s="1">
        <f>IF(G12&gt;0, (F12-G12)/G12, 0)</f>
        <v>0.2632</v>
      </c>
      <c r="L12" s="2">
        <f>H12*G12</f>
        <v>0</v>
      </c>
      <c r="M12" s="2">
        <f>H12*F12</f>
        <v>0</v>
      </c>
      <c r="N12" s="2">
        <f>M12-L12</f>
        <v>0</v>
      </c>
      <c r="O12" t="str">
        <f>IF(H12&lt;=0, "نفد من المخزن", IF(H12&lt;=I12, "قارب على النفاد", "متوفر بالمخزن"))</f>
        <v>نفد من المخزن</v>
      </c>
      <c r="P12">
        <v>0</v>
      </c>
      <c r="Q12" t="str">
        <v>SKU-0009</v>
      </c>
      <c r="R12" t="str">
        <v/>
      </c>
      <c r="S12" t="str">
        <v/>
      </c>
      <c r="T12" t="str">
        <v/>
      </c>
    </row>
    <row r="13">
      <c r="A13">
        <v>10</v>
      </c>
      <c r="B13" t="str">
        <v>جبنة دومتي بلس فيتا 500 جم</v>
      </c>
      <c r="C13" t="str">
        <v>6223000756652</v>
      </c>
      <c r="D13" t="str">
        <v/>
      </c>
      <c r="E13" t="str">
        <v>قطعة</v>
      </c>
      <c r="F13">
        <v>42</v>
      </c>
      <c r="G13">
        <v>35</v>
      </c>
      <c r="H13">
        <v>0</v>
      </c>
      <c r="I13">
        <v>10</v>
      </c>
      <c r="J13">
        <f>F13-G13</f>
        <v>7</v>
      </c>
      <c r="K13" s="1">
        <f>IF(G13&gt;0, (F13-G13)/G13, 0)</f>
        <v>0.2</v>
      </c>
      <c r="L13" s="2">
        <f>H13*G13</f>
        <v>0</v>
      </c>
      <c r="M13" s="2">
        <f>H13*F13</f>
        <v>0</v>
      </c>
      <c r="N13" s="2">
        <f>M13-L13</f>
        <v>0</v>
      </c>
      <c r="O13" t="str">
        <f>IF(H13&lt;=0, "نفد من المخزن", IF(H13&lt;=I13, "قارب على النفاد", "متوفر بالمخزن"))</f>
        <v>نفد من المخزن</v>
      </c>
      <c r="P13">
        <v>0</v>
      </c>
      <c r="Q13" t="str">
        <v>SKU-0010</v>
      </c>
      <c r="R13" t="str">
        <v/>
      </c>
      <c r="S13" t="str">
        <v/>
      </c>
      <c r="T13" t="str">
        <v/>
      </c>
    </row>
    <row r="14">
      <c r="A14">
        <v>11</v>
      </c>
      <c r="B14" t="str">
        <v>جبنة دومتي بلس إسطنبولي 500 جم</v>
      </c>
      <c r="C14" t="str">
        <v>6223000757215</v>
      </c>
      <c r="D14" t="str">
        <v/>
      </c>
      <c r="E14" t="str">
        <v>قطعة</v>
      </c>
      <c r="F14">
        <v>42</v>
      </c>
      <c r="G14">
        <v>35</v>
      </c>
      <c r="H14">
        <v>0</v>
      </c>
      <c r="I14">
        <v>8</v>
      </c>
      <c r="J14">
        <f>F14-G14</f>
        <v>7</v>
      </c>
      <c r="K14" s="1">
        <f>IF(G14&gt;0, (F14-G14)/G14, 0)</f>
        <v>0.2</v>
      </c>
      <c r="L14" s="2">
        <f>H14*G14</f>
        <v>0</v>
      </c>
      <c r="M14" s="2">
        <f>H14*F14</f>
        <v>0</v>
      </c>
      <c r="N14" s="2">
        <f>M14-L14</f>
        <v>0</v>
      </c>
      <c r="O14" t="str">
        <f>IF(H14&lt;=0, "نفد من المخزن", IF(H14&lt;=I14, "قارب على النفاد", "متوفر بالمخزن"))</f>
        <v>نفد من المخزن</v>
      </c>
      <c r="P14">
        <v>0</v>
      </c>
      <c r="Q14" t="str">
        <v>SKU-0011</v>
      </c>
      <c r="R14" t="str">
        <v/>
      </c>
      <c r="S14" t="str">
        <v/>
      </c>
      <c r="T14" t="str">
        <v/>
      </c>
    </row>
    <row r="15">
      <c r="A15">
        <v>12</v>
      </c>
      <c r="B15" t="str">
        <v>جبنة عبور لاند تتراباك فيتا 250 جم</v>
      </c>
      <c r="C15" t="str">
        <v>6224001021015</v>
      </c>
      <c r="D15" t="str">
        <v/>
      </c>
      <c r="E15" t="str">
        <v>قطعة</v>
      </c>
      <c r="F15">
        <v>22</v>
      </c>
      <c r="G15">
        <v>18.5</v>
      </c>
      <c r="H15">
        <v>0</v>
      </c>
      <c r="I15">
        <v>15</v>
      </c>
      <c r="J15">
        <f>F15-G15</f>
        <v>3.5</v>
      </c>
      <c r="K15" s="1">
        <f>IF(G15&gt;0, (F15-G15)/G15, 0)</f>
        <v>0.1892</v>
      </c>
      <c r="L15" s="2">
        <f>H15*G15</f>
        <v>0</v>
      </c>
      <c r="M15" s="2">
        <f>H15*F15</f>
        <v>0</v>
      </c>
      <c r="N15" s="2">
        <f>M15-L15</f>
        <v>0</v>
      </c>
      <c r="O15" t="str">
        <f>IF(H15&lt;=0, "نفد من المخزن", IF(H15&lt;=I15, "قارب على النفاد", "متوفر بالمخزن"))</f>
        <v>نفد من المخزن</v>
      </c>
      <c r="P15">
        <v>0</v>
      </c>
      <c r="Q15" t="str">
        <v>SKU-0012</v>
      </c>
      <c r="R15" t="str">
        <v/>
      </c>
      <c r="S15" t="str">
        <v/>
      </c>
      <c r="T15" t="str">
        <v/>
      </c>
    </row>
    <row r="16">
      <c r="A16">
        <v>13</v>
      </c>
      <c r="B16" t="str">
        <v>جبنة عبور لاند تتراباك إسطنبولي 250 جم</v>
      </c>
      <c r="C16" t="str">
        <v>6224001021022</v>
      </c>
      <c r="D16" t="str">
        <v/>
      </c>
      <c r="E16" t="str">
        <v>قطعة</v>
      </c>
      <c r="F16">
        <v>22</v>
      </c>
      <c r="G16">
        <v>18.5</v>
      </c>
      <c r="H16">
        <v>0</v>
      </c>
      <c r="I16">
        <v>12</v>
      </c>
      <c r="J16">
        <f>F16-G16</f>
        <v>3.5</v>
      </c>
      <c r="K16" s="1">
        <f>IF(G16&gt;0, (F16-G16)/G16, 0)</f>
        <v>0.1892</v>
      </c>
      <c r="L16" s="2">
        <f>H16*G16</f>
        <v>0</v>
      </c>
      <c r="M16" s="2">
        <f>H16*F16</f>
        <v>0</v>
      </c>
      <c r="N16" s="2">
        <f>M16-L16</f>
        <v>0</v>
      </c>
      <c r="O16" t="str">
        <f>IF(H16&lt;=0, "نفد من المخزن", IF(H16&lt;=I16, "قارب على النفاد", "متوفر بالمخزن"))</f>
        <v>نفد من المخزن</v>
      </c>
      <c r="P16">
        <v>0</v>
      </c>
      <c r="Q16" t="str">
        <v>SKU-0013</v>
      </c>
      <c r="R16" t="str">
        <v/>
      </c>
      <c r="S16" t="str">
        <v/>
      </c>
      <c r="T16" t="str">
        <v/>
      </c>
    </row>
    <row r="17">
      <c r="A17">
        <v>14</v>
      </c>
      <c r="B17" t="str">
        <v>جبنة رودس فيتا 250 جم</v>
      </c>
      <c r="C17" t="str">
        <v>6224001031014</v>
      </c>
      <c r="D17" t="str">
        <v/>
      </c>
      <c r="E17" t="str">
        <v>قطعة</v>
      </c>
      <c r="F17">
        <v>20</v>
      </c>
      <c r="G17">
        <v>16.5</v>
      </c>
      <c r="H17">
        <v>0</v>
      </c>
      <c r="I17">
        <v>10</v>
      </c>
      <c r="J17">
        <f>F17-G17</f>
        <v>3.5</v>
      </c>
      <c r="K17" s="1">
        <f>IF(G17&gt;0, (F17-G17)/G17, 0)</f>
        <v>0.2121</v>
      </c>
      <c r="L17" s="2">
        <f>H17*G17</f>
        <v>0</v>
      </c>
      <c r="M17" s="2">
        <f>H17*F17</f>
        <v>0</v>
      </c>
      <c r="N17" s="2">
        <f>M17-L17</f>
        <v>0</v>
      </c>
      <c r="O17" t="str">
        <f>IF(H17&lt;=0, "نفد من المخزن", IF(H17&lt;=I17, "قارب على النفاد", "متوفر بالمخزن"))</f>
        <v>نفد من المخزن</v>
      </c>
      <c r="P17">
        <v>0</v>
      </c>
      <c r="Q17" t="str">
        <v>SKU-0014</v>
      </c>
      <c r="R17" t="str">
        <v/>
      </c>
      <c r="S17" t="str">
        <v/>
      </c>
      <c r="T17" t="str">
        <v/>
      </c>
    </row>
    <row r="18">
      <c r="A18">
        <v>15</v>
      </c>
      <c r="B18" t="str">
        <v>جبنة كيري مربعات 8 قطع</v>
      </c>
      <c r="C18" t="str">
        <v>3073780965217</v>
      </c>
      <c r="D18" t="str">
        <v/>
      </c>
      <c r="E18" t="str">
        <v>قطعة</v>
      </c>
      <c r="F18">
        <v>55</v>
      </c>
      <c r="G18">
        <v>46</v>
      </c>
      <c r="H18">
        <v>0</v>
      </c>
      <c r="I18">
        <v>6</v>
      </c>
      <c r="J18">
        <f>F18-G18</f>
        <v>9</v>
      </c>
      <c r="K18" s="1">
        <f>IF(G18&gt;0, (F18-G18)/G18, 0)</f>
        <v>0.1957</v>
      </c>
      <c r="L18" s="2">
        <f>H18*G18</f>
        <v>0</v>
      </c>
      <c r="M18" s="2">
        <f>H18*F18</f>
        <v>0</v>
      </c>
      <c r="N18" s="2">
        <f>M18-L18</f>
        <v>0</v>
      </c>
      <c r="O18" t="str">
        <f>IF(H18&lt;=0, "نفد من المخزن", IF(H18&lt;=I18, "قارب على النفاد", "متوفر بالمخزن"))</f>
        <v>نفد من المخزن</v>
      </c>
      <c r="P18">
        <v>0</v>
      </c>
      <c r="Q18" t="str">
        <v>SKU-0015</v>
      </c>
      <c r="R18" t="str">
        <v/>
      </c>
      <c r="S18" t="str">
        <v/>
      </c>
      <c r="T18" t="str">
        <v/>
      </c>
    </row>
    <row r="19">
      <c r="A19">
        <v>16</v>
      </c>
      <c r="B19" t="str">
        <v>جبنة لافاش كيري مثلثات 8 قطع</v>
      </c>
      <c r="C19" t="str">
        <v>3073780645010</v>
      </c>
      <c r="D19" t="str">
        <v/>
      </c>
      <c r="E19" t="str">
        <v>قطعة</v>
      </c>
      <c r="F19">
        <v>35</v>
      </c>
      <c r="G19">
        <v>29</v>
      </c>
      <c r="H19">
        <v>0</v>
      </c>
      <c r="I19">
        <v>8</v>
      </c>
      <c r="J19">
        <f>F19-G19</f>
        <v>6</v>
      </c>
      <c r="K19" s="1">
        <f>IF(G19&gt;0, (F19-G19)/G19, 0)</f>
        <v>0.2069</v>
      </c>
      <c r="L19" s="2">
        <f>H19*G19</f>
        <v>0</v>
      </c>
      <c r="M19" s="2">
        <f>H19*F19</f>
        <v>0</v>
      </c>
      <c r="N19" s="2">
        <f>M19-L19</f>
        <v>0</v>
      </c>
      <c r="O19" t="str">
        <f>IF(H19&lt;=0, "نفد من المخزن", IF(H19&lt;=I19, "قارب على النفاد", "متوفر بالمخزن"))</f>
        <v>نفد من المخزن</v>
      </c>
      <c r="P19">
        <v>0</v>
      </c>
      <c r="Q19" t="str">
        <v>SKU-0016</v>
      </c>
      <c r="R19" t="str">
        <v/>
      </c>
      <c r="S19" t="str">
        <v/>
      </c>
      <c r="T19" t="str">
        <v/>
      </c>
    </row>
    <row r="20">
      <c r="A20">
        <v>17</v>
      </c>
      <c r="B20" t="str">
        <v>جبنة طعمة مثلثات 8 قطع</v>
      </c>
      <c r="C20" t="str">
        <v>6223000812013</v>
      </c>
      <c r="D20" t="str">
        <v/>
      </c>
      <c r="E20" t="str">
        <v>قطعة</v>
      </c>
      <c r="F20">
        <v>20</v>
      </c>
      <c r="G20">
        <v>15.5</v>
      </c>
      <c r="H20">
        <v>0</v>
      </c>
      <c r="I20">
        <v>10</v>
      </c>
      <c r="J20">
        <f>F20-G20</f>
        <v>4.5</v>
      </c>
      <c r="K20" s="1">
        <f>IF(G20&gt;0, (F20-G20)/G20, 0)</f>
        <v>0.2903</v>
      </c>
      <c r="L20" s="2">
        <f>H20*G20</f>
        <v>0</v>
      </c>
      <c r="M20" s="2">
        <f>H20*F20</f>
        <v>0</v>
      </c>
      <c r="N20" s="2">
        <f>M20-L20</f>
        <v>0</v>
      </c>
      <c r="O20" t="str">
        <f>IF(H20&lt;=0, "نفد من المخزن", IF(H20&lt;=I20, "قارب على النفاد", "متوفر بالمخزن"))</f>
        <v>نفد من المخزن</v>
      </c>
      <c r="P20">
        <v>0</v>
      </c>
      <c r="Q20" t="str">
        <v>SKU-0017</v>
      </c>
      <c r="R20" t="str">
        <v/>
      </c>
      <c r="S20" t="str">
        <v/>
      </c>
      <c r="T20" t="str">
        <v/>
      </c>
    </row>
    <row r="21">
      <c r="A21">
        <v>18</v>
      </c>
      <c r="B21" t="str">
        <v>جبنة رومي قديمة فاخرة كجم</v>
      </c>
      <c r="C21" t="str">
        <v>6223001234043</v>
      </c>
      <c r="D21" t="str">
        <v/>
      </c>
      <c r="E21" t="str">
        <v>كجم</v>
      </c>
      <c r="F21">
        <v>340</v>
      </c>
      <c r="G21">
        <v>280</v>
      </c>
      <c r="H21">
        <v>0</v>
      </c>
      <c r="I21">
        <v>5</v>
      </c>
      <c r="J21">
        <f>F21-G21</f>
        <v>60</v>
      </c>
      <c r="K21" s="1">
        <f>IF(G21&gt;0, (F21-G21)/G21, 0)</f>
        <v>0.2143</v>
      </c>
      <c r="L21" s="2">
        <f>H21*G21</f>
        <v>0</v>
      </c>
      <c r="M21" s="2">
        <f>H21*F21</f>
        <v>0</v>
      </c>
      <c r="N21" s="2">
        <f>M21-L21</f>
        <v>0</v>
      </c>
      <c r="O21" t="str">
        <f>IF(H21&lt;=0, "نفد من المخزن", IF(H21&lt;=I21, "قارب على النفاد", "متوفر بالمخزن"))</f>
        <v>نفد من المخزن</v>
      </c>
      <c r="P21">
        <v>0</v>
      </c>
      <c r="Q21" t="str">
        <v>SKU-0018</v>
      </c>
      <c r="R21" t="str">
        <v/>
      </c>
      <c r="S21" t="str">
        <v/>
      </c>
      <c r="T21" t="str">
        <v/>
      </c>
    </row>
    <row r="22">
      <c r="A22">
        <v>19</v>
      </c>
      <c r="B22" t="str">
        <v>جبنة شيدر مستوردة كجم</v>
      </c>
      <c r="C22" t="str">
        <v>6223001234074</v>
      </c>
      <c r="D22" t="str">
        <v/>
      </c>
      <c r="E22" t="str">
        <v>كجم</v>
      </c>
      <c r="F22">
        <v>320</v>
      </c>
      <c r="G22">
        <v>260</v>
      </c>
      <c r="H22">
        <v>0</v>
      </c>
      <c r="I22">
        <v>3</v>
      </c>
      <c r="J22">
        <f>F22-G22</f>
        <v>60</v>
      </c>
      <c r="K22" s="1">
        <f>IF(G22&gt;0, (F22-G22)/G22, 0)</f>
        <v>0.2308</v>
      </c>
      <c r="L22" s="2">
        <f>H22*G22</f>
        <v>0</v>
      </c>
      <c r="M22" s="2">
        <f>H22*F22</f>
        <v>0</v>
      </c>
      <c r="N22" s="2">
        <f>M22-L22</f>
        <v>0</v>
      </c>
      <c r="O22" t="str">
        <f>IF(H22&lt;=0, "نفد من المخزن", IF(H22&lt;=I22, "قارب على النفاد", "متوفر بالمخزن"))</f>
        <v>نفد من المخزن</v>
      </c>
      <c r="P22">
        <v>0</v>
      </c>
      <c r="Q22" t="str">
        <v>SKU-0019</v>
      </c>
      <c r="R22" t="str">
        <v/>
      </c>
      <c r="S22" t="str">
        <v/>
      </c>
      <c r="T22" t="str">
        <v/>
      </c>
    </row>
    <row r="23">
      <c r="A23">
        <v>20</v>
      </c>
      <c r="B23" t="str">
        <v>جبنة موتزاريلا مبشورة دومتي 300 جم</v>
      </c>
      <c r="C23" t="str">
        <v>6223000758014</v>
      </c>
      <c r="D23" t="str">
        <v/>
      </c>
      <c r="E23" t="str">
        <v>قطعة</v>
      </c>
      <c r="F23">
        <v>65</v>
      </c>
      <c r="G23">
        <v>52</v>
      </c>
      <c r="H23">
        <v>0</v>
      </c>
      <c r="I23">
        <v>5</v>
      </c>
      <c r="J23">
        <f>F23-G23</f>
        <v>13</v>
      </c>
      <c r="K23" s="1">
        <f>IF(G23&gt;0, (F23-G23)/G23, 0)</f>
        <v>0.25</v>
      </c>
      <c r="L23" s="2">
        <f>H23*G23</f>
        <v>0</v>
      </c>
      <c r="M23" s="2">
        <f>H23*F23</f>
        <v>0</v>
      </c>
      <c r="N23" s="2">
        <f>M23-L23</f>
        <v>0</v>
      </c>
      <c r="O23" t="str">
        <f>IF(H23&lt;=0, "نفد من المخزن", IF(H23&lt;=I23, "قارب على النفاد", "متوفر بالمخزن"))</f>
        <v>نفد من المخزن</v>
      </c>
      <c r="P23">
        <v>0</v>
      </c>
      <c r="Q23" t="str">
        <v>SKU-0020</v>
      </c>
      <c r="R23" t="str">
        <v/>
      </c>
      <c r="S23" t="str">
        <v/>
      </c>
      <c r="T23" t="str">
        <v/>
      </c>
    </row>
    <row r="24">
      <c r="A24">
        <v>21</v>
      </c>
      <c r="B24" t="str">
        <v>زبدة فيرن خليط 1 كجم</v>
      </c>
      <c r="C24" t="str">
        <v>6221102200998</v>
      </c>
      <c r="D24" t="str">
        <v/>
      </c>
      <c r="E24" t="str">
        <v>قطعة</v>
      </c>
      <c r="F24">
        <v>135</v>
      </c>
      <c r="G24">
        <v>115</v>
      </c>
      <c r="H24">
        <v>0</v>
      </c>
      <c r="I24">
        <v>4</v>
      </c>
      <c r="J24">
        <f>F24-G24</f>
        <v>20</v>
      </c>
      <c r="K24" s="1">
        <f>IF(G24&gt;0, (F24-G24)/G24, 0)</f>
        <v>0.1739</v>
      </c>
      <c r="L24" s="2">
        <f>H24*G24</f>
        <v>0</v>
      </c>
      <c r="M24" s="2">
        <f>H24*F24</f>
        <v>0</v>
      </c>
      <c r="N24" s="2">
        <f>M24-L24</f>
        <v>0</v>
      </c>
      <c r="O24" t="str">
        <f>IF(H24&lt;=0, "نفد من المخزن", IF(H24&lt;=I24, "قارب على النفاد", "متوفر بالمخزن"))</f>
        <v>نفد من المخزن</v>
      </c>
      <c r="P24">
        <v>0</v>
      </c>
      <c r="Q24" t="str">
        <v>SKU-0021</v>
      </c>
      <c r="R24" t="str">
        <v/>
      </c>
      <c r="S24" t="str">
        <v/>
      </c>
      <c r="T24" t="str">
        <v/>
      </c>
    </row>
    <row r="25">
      <c r="A25">
        <v>22</v>
      </c>
      <c r="B25" t="str">
        <v>طبق بيض أحمر مزارع 30 بيضة</v>
      </c>
      <c r="C25" t="str">
        <v>6221103300116</v>
      </c>
      <c r="D25" t="str">
        <v/>
      </c>
      <c r="E25" t="str">
        <v>قطعة</v>
      </c>
      <c r="F25">
        <v>175</v>
      </c>
      <c r="G25">
        <v>155</v>
      </c>
      <c r="H25">
        <v>0</v>
      </c>
      <c r="I25">
        <v>5</v>
      </c>
      <c r="J25">
        <f>F25-G25</f>
        <v>20</v>
      </c>
      <c r="K25" s="1">
        <f>IF(G25&gt;0, (F25-G25)/G25, 0)</f>
        <v>0.129</v>
      </c>
      <c r="L25" s="2">
        <f>H25*G25</f>
        <v>0</v>
      </c>
      <c r="M25" s="2">
        <f>H25*F25</f>
        <v>0</v>
      </c>
      <c r="N25" s="2">
        <f>M25-L25</f>
        <v>0</v>
      </c>
      <c r="O25" t="str">
        <f>IF(H25&lt;=0, "نفد من المخزن", IF(H25&lt;=I25, "قارب على النفاد", "متوفر بالمخزن"))</f>
        <v>نفد من المخزن</v>
      </c>
      <c r="P25">
        <v>0</v>
      </c>
      <c r="Q25" t="str">
        <v>SKU-0022</v>
      </c>
      <c r="R25" t="str">
        <v/>
      </c>
      <c r="S25" t="str">
        <v/>
      </c>
      <c r="T25" t="str">
        <v/>
      </c>
    </row>
    <row r="26">
      <c r="A26">
        <v>23</v>
      </c>
      <c r="B26" t="str">
        <v>طبق بيض أبيض مزارع 30 بيضة</v>
      </c>
      <c r="C26" t="str">
        <v>6221103300123</v>
      </c>
      <c r="D26" t="str">
        <v/>
      </c>
      <c r="E26" t="str">
        <v>قطعة</v>
      </c>
      <c r="F26">
        <v>170</v>
      </c>
      <c r="G26">
        <v>150</v>
      </c>
      <c r="H26">
        <v>0</v>
      </c>
      <c r="I26">
        <v>5</v>
      </c>
      <c r="J26">
        <f>F26-G26</f>
        <v>20</v>
      </c>
      <c r="K26" s="1">
        <f>IF(G26&gt;0, (F26-G26)/G26, 0)</f>
        <v>0.1333</v>
      </c>
      <c r="L26" s="2">
        <f>H26*G26</f>
        <v>0</v>
      </c>
      <c r="M26" s="2">
        <f>H26*F26</f>
        <v>0</v>
      </c>
      <c r="N26" s="2">
        <f>M26-L26</f>
        <v>0</v>
      </c>
      <c r="O26" t="str">
        <f>IF(H26&lt;=0, "نفد من المخزن", IF(H26&lt;=I26, "قارب على النفاد", "متوفر بالمخزن"))</f>
        <v>نفد من المخزن</v>
      </c>
      <c r="P26">
        <v>0</v>
      </c>
      <c r="Q26" t="str">
        <v>SKU-0023</v>
      </c>
      <c r="R26" t="str">
        <v/>
      </c>
      <c r="S26" t="str">
        <v/>
      </c>
      <c r="T26" t="str">
        <v/>
      </c>
    </row>
    <row r="27">
      <c r="A27" t="str">
        <v>الإجمالي</v>
      </c>
      <c r="B27" t="str">
        <v>إجمالي 23 صنف مسجل</v>
      </c>
      <c r="C27" t="str">
        <v/>
      </c>
      <c r="D27" t="str">
        <v/>
      </c>
      <c r="E27" t="str">
        <v/>
      </c>
      <c r="F27" s="2">
        <f>AVERAGE(F4:F26)</f>
      </c>
      <c r="G27" s="2">
        <f>AVERAGE(G4:G26)</f>
      </c>
      <c r="H27" s="3">
        <f>SUM(H4:H26)</f>
      </c>
      <c r="I27" t="str">
        <v/>
      </c>
      <c r="J27" s="2">
        <f>AVERAGE(J4:J26)</f>
      </c>
      <c r="K27" s="1">
        <f>IF(L27&gt;0, N27/L27, 0)</f>
      </c>
      <c r="L27" s="2">
        <f>SUM(L4:L26)</f>
      </c>
      <c r="M27" s="2">
        <f>SUM(M4:M26)</f>
      </c>
      <c r="N27" s="2">
        <f>SUM(N4:N26)</f>
      </c>
      <c r="O27" t="str">
        <v>محسوب بمعادلات إكسل</v>
      </c>
      <c r="P27" t="str">
        <v/>
      </c>
      <c r="Q27" t="str">
        <v/>
      </c>
      <c r="R27" t="str">
        <v/>
      </c>
      <c r="S27" t="str">
        <v/>
      </c>
      <c r="T27" t="str">
        <v/>
      </c>
    </row>
  </sheetData>
  <mergeCells count="2">
    <mergeCell ref="A1:T1"/>
    <mergeCell ref="A2:T2"/>
  </mergeCells>
  <ignoredErrors>
    <ignoredError numberStoredAsText="1" sqref="A1:T27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T57"/>
  <sheetViews>
    <sheetView workbookViewId="0"/>
  </sheetViews>
  <cols>
    <col min="1" max="1" width="6.83203125" customWidth="1"/>
    <col min="2" max="2" width="38.83203125" customWidth="1"/>
    <col min="3" max="3" width="20.83203125" customWidth="1"/>
    <col min="4" max="4" width="24.83203125" customWidth="1"/>
    <col min="5" max="5" width="14.83203125" customWidth="1"/>
    <col min="6" max="6" width="16.83203125" customWidth="1"/>
    <col min="7" max="7" width="16.83203125" customWidth="1"/>
    <col min="8" max="8" width="16.83203125" customWidth="1"/>
    <col min="9" max="9" width="16.83203125" customWidth="1"/>
    <col min="10" max="10" width="18.83203125" customWidth="1"/>
    <col min="11" max="11" width="15.83203125" customWidth="1"/>
    <col min="12" max="12" width="22.83203125" customWidth="1"/>
    <col min="13" max="13" width="22.83203125" customWidth="1"/>
    <col min="14" max="14" width="22.83203125" customWidth="1"/>
    <col min="15" max="15" width="18.83203125" customWidth="1"/>
    <col min="16" max="16" width="14.83203125" customWidth="1"/>
    <col min="17" max="17" width="20.83203125" customWidth="1"/>
    <col min="18" max="18" width="18.83203125" customWidth="1"/>
    <col min="19" max="19" width="18.83203125" customWidth="1"/>
    <col min="20" max="20" width="22.83203125" customWidth="1"/>
  </cols>
  <sheetData>
    <row r="1">
      <c r="A1" t="str">
        <v>رفيق POS - قائمة أصناف قسم: [معلبات وبقوليات]</v>
      </c>
    </row>
    <row r="2">
      <c r="A2" t="str">
        <v>تعليمات هامة: الأعمدة المميزة بنجمة (*) إلزامية | اسم التابة يمثل القسم تلقائياً | المبالغ بالجنيه المصري | الأعمدة الملونة تحتوي على معادلات إكسل تتحدث تلقائياً</v>
      </c>
    </row>
    <row r="3">
      <c r="A3" t="str">
        <v>م</v>
      </c>
      <c r="B3" t="str">
        <v>اسم الصنف *</v>
      </c>
      <c r="C3" t="str">
        <v>الباركود الرئيسي</v>
      </c>
      <c r="D3" t="str">
        <v>باركودات إضافية (مفصولة بفاصلة)</v>
      </c>
      <c r="E3" t="str">
        <v>الوحدة (قطعة / كجم)</v>
      </c>
      <c r="F3" t="str">
        <v>سعر البيع (بالجنيه) *</v>
      </c>
      <c r="G3" t="str">
        <v>سعر التكلفة (بالجنيه)</v>
      </c>
      <c r="H3" t="str">
        <v>الرصيد الافتتاحي</v>
      </c>
      <c r="I3" t="str">
        <v>حد الطلب الأدنى</v>
      </c>
      <c r="J3" t="str">
        <v>هامش الربح للقطعة (ج.م)</v>
      </c>
      <c r="K3" t="str">
        <v>نسبة الربح (%)</v>
      </c>
      <c r="L3" t="str">
        <v>إجمالي قيمة التكلفة (ج.م)</v>
      </c>
      <c r="M3" t="str">
        <v>إجمالي القيمة البيعية (ج.م)</v>
      </c>
      <c r="N3" t="str">
        <v>إجمالي الربح المتوقع (ج.م)</v>
      </c>
      <c r="O3" t="str">
        <v>حالة المخزون التلقائية</v>
      </c>
      <c r="P3" t="str">
        <v>نسبة الضريبة (%)</v>
      </c>
      <c r="Q3" t="str">
        <v>كود الصنف الداخلي (SKU)</v>
      </c>
      <c r="R3" t="str">
        <v>اللون (اختياري / للملابس)</v>
      </c>
      <c r="S3" t="str">
        <v>المقاس (اختياري / للملابس)</v>
      </c>
      <c r="T3" t="str">
        <v>كود التصنيف الضريبي (GS1/EGS)</v>
      </c>
    </row>
    <row r="4">
      <c r="A4">
        <v>1</v>
      </c>
      <c r="B4" t="str">
        <v>شاي العروسة ناعم 250 جم</v>
      </c>
      <c r="C4" t="str">
        <v>6223002561018</v>
      </c>
      <c r="D4" t="str">
        <v/>
      </c>
      <c r="E4" t="str">
        <v>قطعة</v>
      </c>
      <c r="F4">
        <v>60</v>
      </c>
      <c r="G4">
        <v>52</v>
      </c>
      <c r="H4">
        <v>0</v>
      </c>
      <c r="I4">
        <v>8</v>
      </c>
      <c r="J4">
        <f>F4-G4</f>
        <v>8</v>
      </c>
      <c r="K4" s="1">
        <f>IF(G4&gt;0, (F4-G4)/G4, 0)</f>
        <v>0.1538</v>
      </c>
      <c r="L4" s="2">
        <f>H4*G4</f>
        <v>0</v>
      </c>
      <c r="M4" s="2">
        <f>H4*F4</f>
        <v>0</v>
      </c>
      <c r="N4" s="2">
        <f>M4-L4</f>
        <v>0</v>
      </c>
      <c r="O4" t="str">
        <f>IF(H4&lt;=0, "نفد من المخزن", IF(H4&lt;=I4, "قارب على النفاد", "متوفر بالمخزن"))</f>
        <v>نفد من المخزن</v>
      </c>
      <c r="P4">
        <v>0</v>
      </c>
      <c r="Q4" t="str">
        <v>SKU-0024</v>
      </c>
      <c r="R4" t="str">
        <v/>
      </c>
      <c r="S4" t="str">
        <v/>
      </c>
      <c r="T4" t="str">
        <v/>
      </c>
    </row>
    <row r="5">
      <c r="A5">
        <v>2</v>
      </c>
      <c r="B5" t="str">
        <v>شاي العروسة ناعم 100 جم</v>
      </c>
      <c r="C5" t="str">
        <v>6223002561025</v>
      </c>
      <c r="D5" t="str">
        <v/>
      </c>
      <c r="E5" t="str">
        <v>قطعة</v>
      </c>
      <c r="F5">
        <v>26</v>
      </c>
      <c r="G5">
        <v>22</v>
      </c>
      <c r="H5">
        <v>0</v>
      </c>
      <c r="I5">
        <v>10</v>
      </c>
      <c r="J5">
        <f>F5-G5</f>
        <v>4</v>
      </c>
      <c r="K5" s="1">
        <f>IF(G5&gt;0, (F5-G5)/G5, 0)</f>
        <v>0.1818</v>
      </c>
      <c r="L5" s="2">
        <f>H5*G5</f>
        <v>0</v>
      </c>
      <c r="M5" s="2">
        <f>H5*F5</f>
        <v>0</v>
      </c>
      <c r="N5" s="2">
        <f>M5-L5</f>
        <v>0</v>
      </c>
      <c r="O5" t="str">
        <f>IF(H5&lt;=0, "نفد من المخزن", IF(H5&lt;=I5, "قارب على النفاد", "متوفر بالمخزن"))</f>
        <v>نفد من المخزن</v>
      </c>
      <c r="P5">
        <v>0</v>
      </c>
      <c r="Q5" t="str">
        <v>SKU-0025</v>
      </c>
      <c r="R5" t="str">
        <v/>
      </c>
      <c r="S5" t="str">
        <v/>
      </c>
      <c r="T5" t="str">
        <v/>
      </c>
    </row>
    <row r="6">
      <c r="A6">
        <v>3</v>
      </c>
      <c r="B6" t="str">
        <v>شاي العروسة 40 جم</v>
      </c>
      <c r="C6" t="str">
        <v>6223002561032</v>
      </c>
      <c r="D6" t="str">
        <v/>
      </c>
      <c r="E6" t="str">
        <v>قطعة</v>
      </c>
      <c r="F6">
        <v>12</v>
      </c>
      <c r="G6">
        <v>9.5</v>
      </c>
      <c r="H6">
        <v>0</v>
      </c>
      <c r="I6">
        <v>15</v>
      </c>
      <c r="J6">
        <f>F6-G6</f>
        <v>2.5</v>
      </c>
      <c r="K6" s="1">
        <f>IF(G6&gt;0, (F6-G6)/G6, 0)</f>
        <v>0.2632</v>
      </c>
      <c r="L6" s="2">
        <f>H6*G6</f>
        <v>0</v>
      </c>
      <c r="M6" s="2">
        <f>H6*F6</f>
        <v>0</v>
      </c>
      <c r="N6" s="2">
        <f>M6-L6</f>
        <v>0</v>
      </c>
      <c r="O6" t="str">
        <f>IF(H6&lt;=0, "نفد من المخزن", IF(H6&lt;=I6, "قارب على النفاد", "متوفر بالمخزن"))</f>
        <v>نفد من المخزن</v>
      </c>
      <c r="P6">
        <v>0</v>
      </c>
      <c r="Q6" t="str">
        <v>SKU-0026</v>
      </c>
      <c r="R6" t="str">
        <v/>
      </c>
      <c r="S6" t="str">
        <v/>
      </c>
      <c r="T6" t="str">
        <v/>
      </c>
    </row>
    <row r="7">
      <c r="A7">
        <v>4</v>
      </c>
      <c r="B7" t="str">
        <v>شاي ليبتون أحمر ناعم 250 جم</v>
      </c>
      <c r="C7" t="str">
        <v>6221155010018</v>
      </c>
      <c r="D7" t="str">
        <v/>
      </c>
      <c r="E7" t="str">
        <v>قطعة</v>
      </c>
      <c r="F7">
        <v>75</v>
      </c>
      <c r="G7">
        <v>64</v>
      </c>
      <c r="H7">
        <v>0</v>
      </c>
      <c r="I7">
        <v>6</v>
      </c>
      <c r="J7">
        <f>F7-G7</f>
        <v>11</v>
      </c>
      <c r="K7" s="1">
        <f>IF(G7&gt;0, (F7-G7)/G7, 0)</f>
        <v>0.1719</v>
      </c>
      <c r="L7" s="2">
        <f>H7*G7</f>
        <v>0</v>
      </c>
      <c r="M7" s="2">
        <f>H7*F7</f>
        <v>0</v>
      </c>
      <c r="N7" s="2">
        <f>M7-L7</f>
        <v>0</v>
      </c>
      <c r="O7" t="str">
        <f>IF(H7&lt;=0, "نفد من المخزن", IF(H7&lt;=I7, "قارب على النفاد", "متوفر بالمخزن"))</f>
        <v>نفد من المخزن</v>
      </c>
      <c r="P7">
        <v>0</v>
      </c>
      <c r="Q7" t="str">
        <v>SKU-0027</v>
      </c>
      <c r="R7" t="str">
        <v/>
      </c>
      <c r="S7" t="str">
        <v/>
      </c>
      <c r="T7" t="str">
        <v/>
      </c>
    </row>
    <row r="8">
      <c r="A8">
        <v>5</v>
      </c>
      <c r="B8" t="str">
        <v>شاي ليبتون أحمر 100 فتلة</v>
      </c>
      <c r="C8" t="str">
        <v>6221155010025</v>
      </c>
      <c r="D8" t="str">
        <v/>
      </c>
      <c r="E8" t="str">
        <v>قطعة</v>
      </c>
      <c r="F8">
        <v>90</v>
      </c>
      <c r="G8">
        <v>77</v>
      </c>
      <c r="H8">
        <v>0</v>
      </c>
      <c r="I8">
        <v>5</v>
      </c>
      <c r="J8">
        <f>F8-G8</f>
        <v>13</v>
      </c>
      <c r="K8" s="1">
        <f>IF(G8&gt;0, (F8-G8)/G8, 0)</f>
        <v>0.1688</v>
      </c>
      <c r="L8" s="2">
        <f>H8*G8</f>
        <v>0</v>
      </c>
      <c r="M8" s="2">
        <f>H8*F8</f>
        <v>0</v>
      </c>
      <c r="N8" s="2">
        <f>M8-L8</f>
        <v>0</v>
      </c>
      <c r="O8" t="str">
        <f>IF(H8&lt;=0, "نفد من المخزن", IF(H8&lt;=I8, "قارب على النفاد", "متوفر بالمخزن"))</f>
        <v>نفد من المخزن</v>
      </c>
      <c r="P8">
        <v>0</v>
      </c>
      <c r="Q8" t="str">
        <v>SKU-0028</v>
      </c>
      <c r="R8" t="str">
        <v/>
      </c>
      <c r="S8" t="str">
        <v/>
      </c>
      <c r="T8" t="str">
        <v/>
      </c>
    </row>
    <row r="9">
      <c r="A9">
        <v>6</v>
      </c>
      <c r="B9" t="str">
        <v>نسكافيه كلاسيك برطمان 100 جم</v>
      </c>
      <c r="C9" t="str">
        <v>7613035849105</v>
      </c>
      <c r="D9" t="str">
        <v/>
      </c>
      <c r="E9" t="str">
        <v>قطعة</v>
      </c>
      <c r="F9">
        <v>140</v>
      </c>
      <c r="G9">
        <v>118</v>
      </c>
      <c r="H9">
        <v>0</v>
      </c>
      <c r="I9">
        <v>4</v>
      </c>
      <c r="J9">
        <f>F9-G9</f>
        <v>22</v>
      </c>
      <c r="K9" s="1">
        <f>IF(G9&gt;0, (F9-G9)/G9, 0)</f>
        <v>0.1864</v>
      </c>
      <c r="L9" s="2">
        <f>H9*G9</f>
        <v>0</v>
      </c>
      <c r="M9" s="2">
        <f>H9*F9</f>
        <v>0</v>
      </c>
      <c r="N9" s="2">
        <f>M9-L9</f>
        <v>0</v>
      </c>
      <c r="O9" t="str">
        <f>IF(H9&lt;=0, "نفد من المخزن", IF(H9&lt;=I9, "قارب على النفاد", "متوفر بالمخزن"))</f>
        <v>نفد من المخزن</v>
      </c>
      <c r="P9">
        <v>0</v>
      </c>
      <c r="Q9" t="str">
        <v>SKU-0029</v>
      </c>
      <c r="R9" t="str">
        <v/>
      </c>
      <c r="S9" t="str">
        <v/>
      </c>
      <c r="T9" t="str">
        <v/>
      </c>
    </row>
    <row r="10">
      <c r="A10">
        <v>7</v>
      </c>
      <c r="B10" t="str">
        <v>نسكافيه 3 في 1 كيس 18 جم</v>
      </c>
      <c r="C10" t="str">
        <v>7613035849204</v>
      </c>
      <c r="D10" t="str">
        <v/>
      </c>
      <c r="E10" t="str">
        <v>قطعة</v>
      </c>
      <c r="F10">
        <v>8</v>
      </c>
      <c r="G10">
        <v>6.2</v>
      </c>
      <c r="H10">
        <v>0</v>
      </c>
      <c r="I10">
        <v>20</v>
      </c>
      <c r="J10">
        <f>F10-G10</f>
        <v>1.8</v>
      </c>
      <c r="K10" s="1">
        <f>IF(G10&gt;0, (F10-G10)/G10, 0)</f>
        <v>0.2903</v>
      </c>
      <c r="L10" s="2">
        <f>H10*G10</f>
        <v>0</v>
      </c>
      <c r="M10" s="2">
        <f>H10*F10</f>
        <v>0</v>
      </c>
      <c r="N10" s="2">
        <f>M10-L10</f>
        <v>0</v>
      </c>
      <c r="O10" t="str">
        <f>IF(H10&lt;=0, "نفد من المخزن", IF(H10&lt;=I10, "قارب على النفاد", "متوفر بالمخزن"))</f>
        <v>نفد من المخزن</v>
      </c>
      <c r="P10">
        <v>0</v>
      </c>
      <c r="Q10" t="str">
        <v>SKU-0030</v>
      </c>
      <c r="R10" t="str">
        <v/>
      </c>
      <c r="S10" t="str">
        <v/>
      </c>
      <c r="T10" t="str">
        <v/>
      </c>
    </row>
    <row r="11">
      <c r="A11">
        <v>8</v>
      </c>
      <c r="B11" t="str">
        <v>كوفي ميكس علي كافيه كيس</v>
      </c>
      <c r="C11" t="str">
        <v>6224005544206</v>
      </c>
      <c r="D11" t="str">
        <v/>
      </c>
      <c r="E11" t="str">
        <v>قطعة</v>
      </c>
      <c r="F11">
        <v>7</v>
      </c>
      <c r="G11">
        <v>5.4</v>
      </c>
      <c r="H11">
        <v>0</v>
      </c>
      <c r="I11">
        <v>20</v>
      </c>
      <c r="J11">
        <f>F11-G11</f>
        <v>1.6</v>
      </c>
      <c r="K11" s="1">
        <f>IF(G11&gt;0, (F11-G11)/G11, 0)</f>
        <v>0.2963</v>
      </c>
      <c r="L11" s="2">
        <f>H11*G11</f>
        <v>0</v>
      </c>
      <c r="M11" s="2">
        <f>H11*F11</f>
        <v>0</v>
      </c>
      <c r="N11" s="2">
        <f>M11-L11</f>
        <v>0</v>
      </c>
      <c r="O11" t="str">
        <f>IF(H11&lt;=0, "نفد من المخزن", IF(H11&lt;=I11, "قارب على النفاد", "متوفر بالمخزن"))</f>
        <v>نفد من المخزن</v>
      </c>
      <c r="P11">
        <v>0</v>
      </c>
      <c r="Q11" t="str">
        <v>SKU-0031</v>
      </c>
      <c r="R11" t="str">
        <v/>
      </c>
      <c r="S11" t="str">
        <v/>
      </c>
      <c r="T11" t="str">
        <v/>
      </c>
    </row>
    <row r="12">
      <c r="A12">
        <v>9</v>
      </c>
      <c r="B12" t="str">
        <v>سكر حر معبأ الضحى 1 كجم</v>
      </c>
      <c r="C12" t="str">
        <v>6223000660027</v>
      </c>
      <c r="D12" t="str">
        <v/>
      </c>
      <c r="E12" t="str">
        <v>قطعة</v>
      </c>
      <c r="F12">
        <v>38</v>
      </c>
      <c r="G12">
        <v>33</v>
      </c>
      <c r="H12">
        <v>0</v>
      </c>
      <c r="I12">
        <v>15</v>
      </c>
      <c r="J12">
        <f>F12-G12</f>
        <v>5</v>
      </c>
      <c r="K12" s="1">
        <f>IF(G12&gt;0, (F12-G12)/G12, 0)</f>
        <v>0.1515</v>
      </c>
      <c r="L12" s="2">
        <f>H12*G12</f>
        <v>0</v>
      </c>
      <c r="M12" s="2">
        <f>H12*F12</f>
        <v>0</v>
      </c>
      <c r="N12" s="2">
        <f>M12-L12</f>
        <v>0</v>
      </c>
      <c r="O12" t="str">
        <f>IF(H12&lt;=0, "نفد من المخزن", IF(H12&lt;=I12, "قارب على النفاد", "متوفر بالمخزن"))</f>
        <v>نفد من المخزن</v>
      </c>
      <c r="P12">
        <v>0</v>
      </c>
      <c r="Q12" t="str">
        <v>SKU-0032</v>
      </c>
      <c r="R12" t="str">
        <v/>
      </c>
      <c r="S12" t="str">
        <v/>
      </c>
      <c r="T12" t="str">
        <v/>
      </c>
    </row>
    <row r="13">
      <c r="A13">
        <v>10</v>
      </c>
      <c r="B13" t="str">
        <v>سكر حر بلدي معبأ 1 كجم</v>
      </c>
      <c r="C13" t="str">
        <v>6224005544039</v>
      </c>
      <c r="D13" t="str">
        <v/>
      </c>
      <c r="E13" t="str">
        <v>قطعة</v>
      </c>
      <c r="F13">
        <v>35</v>
      </c>
      <c r="G13">
        <v>31</v>
      </c>
      <c r="H13">
        <v>0</v>
      </c>
      <c r="I13">
        <v>20</v>
      </c>
      <c r="J13">
        <f>F13-G13</f>
        <v>4</v>
      </c>
      <c r="K13" s="1">
        <f>IF(G13&gt;0, (F13-G13)/G13, 0)</f>
        <v>0.129</v>
      </c>
      <c r="L13" s="2">
        <f>H13*G13</f>
        <v>0</v>
      </c>
      <c r="M13" s="2">
        <f>H13*F13</f>
        <v>0</v>
      </c>
      <c r="N13" s="2">
        <f>M13-L13</f>
        <v>0</v>
      </c>
      <c r="O13" t="str">
        <f>IF(H13&lt;=0, "نفد من المخزن", IF(H13&lt;=I13, "قارب على النفاد", "متوفر بالمخزن"))</f>
        <v>نفد من المخزن</v>
      </c>
      <c r="P13">
        <v>0</v>
      </c>
      <c r="Q13" t="str">
        <v>SKU-0033</v>
      </c>
      <c r="R13" t="str">
        <v/>
      </c>
      <c r="S13" t="str">
        <v/>
      </c>
      <c r="T13" t="str">
        <v/>
      </c>
    </row>
    <row r="14">
      <c r="A14">
        <v>11</v>
      </c>
      <c r="B14" t="str">
        <v>أرز مصري فاخر الضحى 1 كجم</v>
      </c>
      <c r="C14" t="str">
        <v>6223000660010</v>
      </c>
      <c r="D14" t="str">
        <v/>
      </c>
      <c r="E14" t="str">
        <v>قطعة</v>
      </c>
      <c r="F14">
        <v>38</v>
      </c>
      <c r="G14">
        <v>32</v>
      </c>
      <c r="H14">
        <v>0</v>
      </c>
      <c r="I14">
        <v>15</v>
      </c>
      <c r="J14">
        <f>F14-G14</f>
        <v>6</v>
      </c>
      <c r="K14" s="1">
        <f>IF(G14&gt;0, (F14-G14)/G14, 0)</f>
        <v>0.1875</v>
      </c>
      <c r="L14" s="2">
        <f>H14*G14</f>
        <v>0</v>
      </c>
      <c r="M14" s="2">
        <f>H14*F14</f>
        <v>0</v>
      </c>
      <c r="N14" s="2">
        <f>M14-L14</f>
        <v>0</v>
      </c>
      <c r="O14" t="str">
        <f>IF(H14&lt;=0, "نفد من المخزن", IF(H14&lt;=I14, "قارب على النفاد", "متوفر بالمخزن"))</f>
        <v>نفد من المخزن</v>
      </c>
      <c r="P14">
        <v>0</v>
      </c>
      <c r="Q14" t="str">
        <v>SKU-0034</v>
      </c>
      <c r="R14" t="str">
        <v/>
      </c>
      <c r="S14" t="str">
        <v/>
      </c>
      <c r="T14" t="str">
        <v/>
      </c>
    </row>
    <row r="15">
      <c r="A15">
        <v>12</v>
      </c>
      <c r="B15" t="str">
        <v>أرز مصري الساعة 1 كجم</v>
      </c>
      <c r="C15" t="str">
        <v>6223000660034</v>
      </c>
      <c r="D15" t="str">
        <v/>
      </c>
      <c r="E15" t="str">
        <v>قطعة</v>
      </c>
      <c r="F15">
        <v>36</v>
      </c>
      <c r="G15">
        <v>30.5</v>
      </c>
      <c r="H15">
        <v>0</v>
      </c>
      <c r="I15">
        <v>12</v>
      </c>
      <c r="J15">
        <f>F15-G15</f>
        <v>5.5</v>
      </c>
      <c r="K15" s="1">
        <f>IF(G15&gt;0, (F15-G15)/G15, 0)</f>
        <v>0.1803</v>
      </c>
      <c r="L15" s="2">
        <f>H15*G15</f>
        <v>0</v>
      </c>
      <c r="M15" s="2">
        <f>H15*F15</f>
        <v>0</v>
      </c>
      <c r="N15" s="2">
        <f>M15-L15</f>
        <v>0</v>
      </c>
      <c r="O15" t="str">
        <f>IF(H15&lt;=0, "نفد من المخزن", IF(H15&lt;=I15, "قارب على النفاد", "متوفر بالمخزن"))</f>
        <v>نفد من المخزن</v>
      </c>
      <c r="P15">
        <v>0</v>
      </c>
      <c r="Q15" t="str">
        <v>SKU-0035</v>
      </c>
      <c r="R15" t="str">
        <v/>
      </c>
      <c r="S15" t="str">
        <v/>
      </c>
      <c r="T15" t="str">
        <v/>
      </c>
    </row>
    <row r="16">
      <c r="A16">
        <v>13</v>
      </c>
      <c r="B16" t="str">
        <v>دقيق فاخر الضحى 1 كجم</v>
      </c>
      <c r="C16" t="str">
        <v>6223000660041</v>
      </c>
      <c r="D16" t="str">
        <v/>
      </c>
      <c r="E16" t="str">
        <v>قطعة</v>
      </c>
      <c r="F16">
        <v>32</v>
      </c>
      <c r="G16">
        <v>26</v>
      </c>
      <c r="H16">
        <v>0</v>
      </c>
      <c r="I16">
        <v>10</v>
      </c>
      <c r="J16">
        <f>F16-G16</f>
        <v>6</v>
      </c>
      <c r="K16" s="1">
        <f>IF(G16&gt;0, (F16-G16)/G16, 0)</f>
        <v>0.2308</v>
      </c>
      <c r="L16" s="2">
        <f>H16*G16</f>
        <v>0</v>
      </c>
      <c r="M16" s="2">
        <f>H16*F16</f>
        <v>0</v>
      </c>
      <c r="N16" s="2">
        <f>M16-L16</f>
        <v>0</v>
      </c>
      <c r="O16" t="str">
        <f>IF(H16&lt;=0, "نفد من المخزن", IF(H16&lt;=I16, "قارب على النفاد", "متوفر بالمخزن"))</f>
        <v>نفد من المخزن</v>
      </c>
      <c r="P16">
        <v>0</v>
      </c>
      <c r="Q16" t="str">
        <v>SKU-0036</v>
      </c>
      <c r="R16" t="str">
        <v/>
      </c>
      <c r="S16" t="str">
        <v/>
      </c>
      <c r="T16" t="str">
        <v/>
      </c>
    </row>
    <row r="17">
      <c r="A17">
        <v>14</v>
      </c>
      <c r="B17" t="str">
        <v>مكرونة الملكة خواتم 400 جم</v>
      </c>
      <c r="C17" t="str">
        <v>6221133001014</v>
      </c>
      <c r="D17" t="str">
        <v/>
      </c>
      <c r="E17" t="str">
        <v>قطعة</v>
      </c>
      <c r="F17">
        <v>16</v>
      </c>
      <c r="G17">
        <v>12.5</v>
      </c>
      <c r="H17">
        <v>0</v>
      </c>
      <c r="I17">
        <v>20</v>
      </c>
      <c r="J17">
        <f>F17-G17</f>
        <v>3.5</v>
      </c>
      <c r="K17" s="1">
        <f>IF(G17&gt;0, (F17-G17)/G17, 0)</f>
        <v>0.28</v>
      </c>
      <c r="L17" s="2">
        <f>H17*G17</f>
        <v>0</v>
      </c>
      <c r="M17" s="2">
        <f>H17*F17</f>
        <v>0</v>
      </c>
      <c r="N17" s="2">
        <f>M17-L17</f>
        <v>0</v>
      </c>
      <c r="O17" t="str">
        <f>IF(H17&lt;=0, "نفد من المخزن", IF(H17&lt;=I17, "قارب على النفاد", "متوفر بالمخزن"))</f>
        <v>نفد من المخزن</v>
      </c>
      <c r="P17">
        <v>0</v>
      </c>
      <c r="Q17" t="str">
        <v>SKU-0037</v>
      </c>
      <c r="R17" t="str">
        <v/>
      </c>
      <c r="S17" t="str">
        <v/>
      </c>
      <c r="T17" t="str">
        <v/>
      </c>
    </row>
    <row r="18">
      <c r="A18">
        <v>15</v>
      </c>
      <c r="B18" t="str">
        <v>مكرونة الملكة فرن (قلم) 400 جم</v>
      </c>
      <c r="C18" t="str">
        <v>6221133001021</v>
      </c>
      <c r="D18" t="str">
        <v/>
      </c>
      <c r="E18" t="str">
        <v>قطعة</v>
      </c>
      <c r="F18">
        <v>16</v>
      </c>
      <c r="G18">
        <v>12.5</v>
      </c>
      <c r="H18">
        <v>0</v>
      </c>
      <c r="I18">
        <v>20</v>
      </c>
      <c r="J18">
        <f>F18-G18</f>
        <v>3.5</v>
      </c>
      <c r="K18" s="1">
        <f>IF(G18&gt;0, (F18-G18)/G18, 0)</f>
        <v>0.28</v>
      </c>
      <c r="L18" s="2">
        <f>H18*G18</f>
        <v>0</v>
      </c>
      <c r="M18" s="2">
        <f>H18*F18</f>
        <v>0</v>
      </c>
      <c r="N18" s="2">
        <f>M18-L18</f>
        <v>0</v>
      </c>
      <c r="O18" t="str">
        <f>IF(H18&lt;=0, "نفد من المخزن", IF(H18&lt;=I18, "قارب على النفاد", "متوفر بالمخزن"))</f>
        <v>نفد من المخزن</v>
      </c>
      <c r="P18">
        <v>0</v>
      </c>
      <c r="Q18" t="str">
        <v>SKU-0038</v>
      </c>
      <c r="R18" t="str">
        <v/>
      </c>
      <c r="S18" t="str">
        <v/>
      </c>
      <c r="T18" t="str">
        <v/>
      </c>
    </row>
    <row r="19">
      <c r="A19">
        <v>16</v>
      </c>
      <c r="B19" t="str">
        <v>مكرونة الملكة سباجيتي 400 جم</v>
      </c>
      <c r="C19" t="str">
        <v>6221133001038</v>
      </c>
      <c r="D19" t="str">
        <v/>
      </c>
      <c r="E19" t="str">
        <v>قطعة</v>
      </c>
      <c r="F19">
        <v>16</v>
      </c>
      <c r="G19">
        <v>12.5</v>
      </c>
      <c r="H19">
        <v>0</v>
      </c>
      <c r="I19">
        <v>15</v>
      </c>
      <c r="J19">
        <f>F19-G19</f>
        <v>3.5</v>
      </c>
      <c r="K19" s="1">
        <f>IF(G19&gt;0, (F19-G19)/G19, 0)</f>
        <v>0.28</v>
      </c>
      <c r="L19" s="2">
        <f>H19*G19</f>
        <v>0</v>
      </c>
      <c r="M19" s="2">
        <f>H19*F19</f>
        <v>0</v>
      </c>
      <c r="N19" s="2">
        <f>M19-L19</f>
        <v>0</v>
      </c>
      <c r="O19" t="str">
        <f>IF(H19&lt;=0, "نفد من المخزن", IF(H19&lt;=I19, "قارب على النفاد", "متوفر بالمخزن"))</f>
        <v>نفد من المخزن</v>
      </c>
      <c r="P19">
        <v>0</v>
      </c>
      <c r="Q19" t="str">
        <v>SKU-0039</v>
      </c>
      <c r="R19" t="str">
        <v/>
      </c>
      <c r="S19" t="str">
        <v/>
      </c>
      <c r="T19" t="str">
        <v/>
      </c>
    </row>
    <row r="20">
      <c r="A20">
        <v>17</v>
      </c>
      <c r="B20" t="str">
        <v>مكرونة روجينا فرن 400 جم</v>
      </c>
      <c r="C20" t="str">
        <v>6221133002011</v>
      </c>
      <c r="D20" t="str">
        <v/>
      </c>
      <c r="E20" t="str">
        <v>قطعة</v>
      </c>
      <c r="F20">
        <v>24</v>
      </c>
      <c r="G20">
        <v>19.5</v>
      </c>
      <c r="H20">
        <v>0</v>
      </c>
      <c r="I20">
        <v>10</v>
      </c>
      <c r="J20">
        <f>F20-G20</f>
        <v>4.5</v>
      </c>
      <c r="K20" s="1">
        <f>IF(G20&gt;0, (F20-G20)/G20, 0)</f>
        <v>0.2308</v>
      </c>
      <c r="L20" s="2">
        <f>H20*G20</f>
        <v>0</v>
      </c>
      <c r="M20" s="2">
        <f>H20*F20</f>
        <v>0</v>
      </c>
      <c r="N20" s="2">
        <f>M20-L20</f>
        <v>0</v>
      </c>
      <c r="O20" t="str">
        <f>IF(H20&lt;=0, "نفد من المخزن", IF(H20&lt;=I20, "قارب على النفاد", "متوفر بالمخزن"))</f>
        <v>نفد من المخزن</v>
      </c>
      <c r="P20">
        <v>0</v>
      </c>
      <c r="Q20" t="str">
        <v>SKU-0040</v>
      </c>
      <c r="R20" t="str">
        <v/>
      </c>
      <c r="S20" t="str">
        <v/>
      </c>
      <c r="T20" t="str">
        <v/>
      </c>
    </row>
    <row r="21">
      <c r="A21">
        <v>18</v>
      </c>
      <c r="B21" t="str">
        <v>شعرية الملكة 400 جم</v>
      </c>
      <c r="C21" t="str">
        <v>6221133001045</v>
      </c>
      <c r="D21" t="str">
        <v/>
      </c>
      <c r="E21" t="str">
        <v>قطعة</v>
      </c>
      <c r="F21">
        <v>16</v>
      </c>
      <c r="G21">
        <v>12.5</v>
      </c>
      <c r="H21">
        <v>0</v>
      </c>
      <c r="I21">
        <v>12</v>
      </c>
      <c r="J21">
        <f>F21-G21</f>
        <v>3.5</v>
      </c>
      <c r="K21" s="1">
        <f>IF(G21&gt;0, (F21-G21)/G21, 0)</f>
        <v>0.28</v>
      </c>
      <c r="L21" s="2">
        <f>H21*G21</f>
        <v>0</v>
      </c>
      <c r="M21" s="2">
        <f>H21*F21</f>
        <v>0</v>
      </c>
      <c r="N21" s="2">
        <f>M21-L21</f>
        <v>0</v>
      </c>
      <c r="O21" t="str">
        <f>IF(H21&lt;=0, "نفد من المخزن", IF(H21&lt;=I21, "قارب على النفاد", "متوفر بالمخزن"))</f>
        <v>نفد من المخزن</v>
      </c>
      <c r="P21">
        <v>0</v>
      </c>
      <c r="Q21" t="str">
        <v>SKU-0041</v>
      </c>
      <c r="R21" t="str">
        <v/>
      </c>
      <c r="S21" t="str">
        <v/>
      </c>
      <c r="T21" t="str">
        <v/>
      </c>
    </row>
    <row r="22">
      <c r="A22">
        <v>19</v>
      </c>
      <c r="B22" t="str">
        <v>لسان عصفور الملكة 400 جم</v>
      </c>
      <c r="C22" t="str">
        <v>6221133001052</v>
      </c>
      <c r="D22" t="str">
        <v/>
      </c>
      <c r="E22" t="str">
        <v>قطعة</v>
      </c>
      <c r="F22">
        <v>16</v>
      </c>
      <c r="G22">
        <v>12.5</v>
      </c>
      <c r="H22">
        <v>0</v>
      </c>
      <c r="I22">
        <v>12</v>
      </c>
      <c r="J22">
        <f>F22-G22</f>
        <v>3.5</v>
      </c>
      <c r="K22" s="1">
        <f>IF(G22&gt;0, (F22-G22)/G22, 0)</f>
        <v>0.28</v>
      </c>
      <c r="L22" s="2">
        <f>H22*G22</f>
        <v>0</v>
      </c>
      <c r="M22" s="2">
        <f>H22*F22</f>
        <v>0</v>
      </c>
      <c r="N22" s="2">
        <f>M22-L22</f>
        <v>0</v>
      </c>
      <c r="O22" t="str">
        <f>IF(H22&lt;=0, "نفد من المخزن", IF(H22&lt;=I22, "قارب على النفاد", "متوفر بالمخزن"))</f>
        <v>نفد من المخزن</v>
      </c>
      <c r="P22">
        <v>0</v>
      </c>
      <c r="Q22" t="str">
        <v>SKU-0042</v>
      </c>
      <c r="R22" t="str">
        <v/>
      </c>
      <c r="S22" t="str">
        <v/>
      </c>
      <c r="T22" t="str">
        <v/>
      </c>
    </row>
    <row r="23">
      <c r="A23">
        <v>20</v>
      </c>
      <c r="B23" t="str">
        <v>زيت عباد الشمس كريستال 800 مل</v>
      </c>
      <c r="C23" t="str">
        <v>6221054001018</v>
      </c>
      <c r="D23" t="str">
        <v/>
      </c>
      <c r="E23" t="str">
        <v>قطعة</v>
      </c>
      <c r="F23">
        <v>85</v>
      </c>
      <c r="G23">
        <v>74</v>
      </c>
      <c r="H23">
        <v>0</v>
      </c>
      <c r="I23">
        <v>8</v>
      </c>
      <c r="J23">
        <f>F23-G23</f>
        <v>11</v>
      </c>
      <c r="K23" s="1">
        <f>IF(G23&gt;0, (F23-G23)/G23, 0)</f>
        <v>0.1486</v>
      </c>
      <c r="L23" s="2">
        <f>H23*G23</f>
        <v>0</v>
      </c>
      <c r="M23" s="2">
        <f>H23*F23</f>
        <v>0</v>
      </c>
      <c r="N23" s="2">
        <f>M23-L23</f>
        <v>0</v>
      </c>
      <c r="O23" t="str">
        <f>IF(H23&lt;=0, "نفد من المخزن", IF(H23&lt;=I23, "قارب على النفاد", "متوفر بالمخزن"))</f>
        <v>نفد من المخزن</v>
      </c>
      <c r="P23">
        <v>0</v>
      </c>
      <c r="Q23" t="str">
        <v>SKU-0043</v>
      </c>
      <c r="R23" t="str">
        <v/>
      </c>
      <c r="S23" t="str">
        <v/>
      </c>
      <c r="T23" t="str">
        <v/>
      </c>
    </row>
    <row r="24">
      <c r="A24">
        <v>21</v>
      </c>
      <c r="B24" t="str">
        <v>زيت ذرة عافية بلس 800 مل</v>
      </c>
      <c r="C24" t="str">
        <v>6221054002015</v>
      </c>
      <c r="D24" t="str">
        <v/>
      </c>
      <c r="E24" t="str">
        <v>قطعة</v>
      </c>
      <c r="F24">
        <v>95</v>
      </c>
      <c r="G24">
        <v>83</v>
      </c>
      <c r="H24">
        <v>0</v>
      </c>
      <c r="I24">
        <v>8</v>
      </c>
      <c r="J24">
        <f>F24-G24</f>
        <v>12</v>
      </c>
      <c r="K24" s="1">
        <f>IF(G24&gt;0, (F24-G24)/G24, 0)</f>
        <v>0.1446</v>
      </c>
      <c r="L24" s="2">
        <f>H24*G24</f>
        <v>0</v>
      </c>
      <c r="M24" s="2">
        <f>H24*F24</f>
        <v>0</v>
      </c>
      <c r="N24" s="2">
        <f>M24-L24</f>
        <v>0</v>
      </c>
      <c r="O24" t="str">
        <f>IF(H24&lt;=0, "نفد من المخزن", IF(H24&lt;=I24, "قارب على النفاد", "متوفر بالمخزن"))</f>
        <v>نفد من المخزن</v>
      </c>
      <c r="P24">
        <v>0</v>
      </c>
      <c r="Q24" t="str">
        <v>SKU-0044</v>
      </c>
      <c r="R24" t="str">
        <v/>
      </c>
      <c r="S24" t="str">
        <v/>
      </c>
      <c r="T24" t="str">
        <v/>
      </c>
    </row>
    <row r="25">
      <c r="A25">
        <v>22</v>
      </c>
      <c r="B25" t="str">
        <v>زيت خليط قلية / هلا 700 مل</v>
      </c>
      <c r="C25" t="str">
        <v>6221054003012</v>
      </c>
      <c r="D25" t="str">
        <v/>
      </c>
      <c r="E25" t="str">
        <v>قطعة</v>
      </c>
      <c r="F25">
        <v>58</v>
      </c>
      <c r="G25">
        <v>49</v>
      </c>
      <c r="H25">
        <v>0</v>
      </c>
      <c r="I25">
        <v>10</v>
      </c>
      <c r="J25">
        <f>F25-G25</f>
        <v>9</v>
      </c>
      <c r="K25" s="1">
        <f>IF(G25&gt;0, (F25-G25)/G25, 0)</f>
        <v>0.1837</v>
      </c>
      <c r="L25" s="2">
        <f>H25*G25</f>
        <v>0</v>
      </c>
      <c r="M25" s="2">
        <f>H25*F25</f>
        <v>0</v>
      </c>
      <c r="N25" s="2">
        <f>M25-L25</f>
        <v>0</v>
      </c>
      <c r="O25" t="str">
        <f>IF(H25&lt;=0, "نفد من المخزن", IF(H25&lt;=I25, "قارب على النفاد", "متوفر بالمخزن"))</f>
        <v>نفد من المخزن</v>
      </c>
      <c r="P25">
        <v>0</v>
      </c>
      <c r="Q25" t="str">
        <v>SKU-0045</v>
      </c>
      <c r="R25" t="str">
        <v/>
      </c>
      <c r="S25" t="str">
        <v/>
      </c>
      <c r="T25" t="str">
        <v/>
      </c>
    </row>
    <row r="26">
      <c r="A26">
        <v>23</v>
      </c>
      <c r="B26" t="str">
        <v>سمن كريستال أبيض 700 جم</v>
      </c>
      <c r="C26" t="str">
        <v>6221054004019</v>
      </c>
      <c r="D26" t="str">
        <v/>
      </c>
      <c r="E26" t="str">
        <v>قطعة</v>
      </c>
      <c r="F26">
        <v>85</v>
      </c>
      <c r="G26">
        <v>73</v>
      </c>
      <c r="H26">
        <v>0</v>
      </c>
      <c r="I26">
        <v>6</v>
      </c>
      <c r="J26">
        <f>F26-G26</f>
        <v>12</v>
      </c>
      <c r="K26" s="1">
        <f>IF(G26&gt;0, (F26-G26)/G26, 0)</f>
        <v>0.1644</v>
      </c>
      <c r="L26" s="2">
        <f>H26*G26</f>
        <v>0</v>
      </c>
      <c r="M26" s="2">
        <f>H26*F26</f>
        <v>0</v>
      </c>
      <c r="N26" s="2">
        <f>M26-L26</f>
        <v>0</v>
      </c>
      <c r="O26" t="str">
        <f>IF(H26&lt;=0, "نفد من المخزن", IF(H26&lt;=I26, "قارب على النفاد", "متوفر بالمخزن"))</f>
        <v>نفد من المخزن</v>
      </c>
      <c r="P26">
        <v>0</v>
      </c>
      <c r="Q26" t="str">
        <v>SKU-0046</v>
      </c>
      <c r="R26" t="str">
        <v/>
      </c>
      <c r="S26" t="str">
        <v/>
      </c>
      <c r="T26" t="str">
        <v/>
      </c>
    </row>
    <row r="27">
      <c r="A27">
        <v>24</v>
      </c>
      <c r="B27" t="str">
        <v>سمن كريستال أصفر بالزبدة 700 جم</v>
      </c>
      <c r="C27" t="str">
        <v>6221054004026</v>
      </c>
      <c r="D27" t="str">
        <v/>
      </c>
      <c r="E27" t="str">
        <v>قطعة</v>
      </c>
      <c r="F27">
        <v>85</v>
      </c>
      <c r="G27">
        <v>73</v>
      </c>
      <c r="H27">
        <v>0</v>
      </c>
      <c r="I27">
        <v>6</v>
      </c>
      <c r="J27">
        <f>F27-G27</f>
        <v>12</v>
      </c>
      <c r="K27" s="1">
        <f>IF(G27&gt;0, (F27-G27)/G27, 0)</f>
        <v>0.1644</v>
      </c>
      <c r="L27" s="2">
        <f>H27*G27</f>
        <v>0</v>
      </c>
      <c r="M27" s="2">
        <f>H27*F27</f>
        <v>0</v>
      </c>
      <c r="N27" s="2">
        <f>M27-L27</f>
        <v>0</v>
      </c>
      <c r="O27" t="str">
        <f>IF(H27&lt;=0, "نفد من المخزن", IF(H27&lt;=I27, "قارب على النفاد", "متوفر بالمخزن"))</f>
        <v>نفد من المخزن</v>
      </c>
      <c r="P27">
        <v>0</v>
      </c>
      <c r="Q27" t="str">
        <v>SKU-0047</v>
      </c>
      <c r="R27" t="str">
        <v/>
      </c>
      <c r="S27" t="str">
        <v/>
      </c>
      <c r="T27" t="str">
        <v/>
      </c>
    </row>
    <row r="28">
      <c r="A28">
        <v>25</v>
      </c>
      <c r="B28" t="str">
        <v>سمن روابي برائحة القشطة 700 جم</v>
      </c>
      <c r="C28" t="str">
        <v>6221054005016</v>
      </c>
      <c r="D28" t="str">
        <v/>
      </c>
      <c r="E28" t="str">
        <v>قطعة</v>
      </c>
      <c r="F28">
        <v>85</v>
      </c>
      <c r="G28">
        <v>73</v>
      </c>
      <c r="H28">
        <v>0</v>
      </c>
      <c r="I28">
        <v>6</v>
      </c>
      <c r="J28">
        <f>F28-G28</f>
        <v>12</v>
      </c>
      <c r="K28" s="1">
        <f>IF(G28&gt;0, (F28-G28)/G28, 0)</f>
        <v>0.1644</v>
      </c>
      <c r="L28" s="2">
        <f>H28*G28</f>
        <v>0</v>
      </c>
      <c r="M28" s="2">
        <f>H28*F28</f>
        <v>0</v>
      </c>
      <c r="N28" s="2">
        <f>M28-L28</f>
        <v>0</v>
      </c>
      <c r="O28" t="str">
        <f>IF(H28&lt;=0, "نفد من المخزن", IF(H28&lt;=I28, "قارب على النفاد", "متوفر بالمخزن"))</f>
        <v>نفد من المخزن</v>
      </c>
      <c r="P28">
        <v>0</v>
      </c>
      <c r="Q28" t="str">
        <v>SKU-0048</v>
      </c>
      <c r="R28" t="str">
        <v/>
      </c>
      <c r="S28" t="str">
        <v/>
      </c>
      <c r="T28" t="str">
        <v/>
      </c>
    </row>
    <row r="29">
      <c r="A29">
        <v>26</v>
      </c>
      <c r="B29" t="str">
        <v>صلصة طماطم هاينز برطمان 360 جم</v>
      </c>
      <c r="C29" t="str">
        <v>6221007001010</v>
      </c>
      <c r="D29" t="str">
        <v/>
      </c>
      <c r="E29" t="str">
        <v>قطعة</v>
      </c>
      <c r="F29">
        <v>27</v>
      </c>
      <c r="G29">
        <v>21.5</v>
      </c>
      <c r="H29">
        <v>0</v>
      </c>
      <c r="I29">
        <v>10</v>
      </c>
      <c r="J29">
        <f>F29-G29</f>
        <v>5.5</v>
      </c>
      <c r="K29" s="1">
        <f>IF(G29&gt;0, (F29-G29)/G29, 0)</f>
        <v>0.2558</v>
      </c>
      <c r="L29" s="2">
        <f>H29*G29</f>
        <v>0</v>
      </c>
      <c r="M29" s="2">
        <f>H29*F29</f>
        <v>0</v>
      </c>
      <c r="N29" s="2">
        <f>M29-L29</f>
        <v>0</v>
      </c>
      <c r="O29" t="str">
        <f>IF(H29&lt;=0, "نفد من المخزن", IF(H29&lt;=I29, "قارب على النفاد", "متوفر بالمخزن"))</f>
        <v>نفد من المخزن</v>
      </c>
      <c r="P29">
        <v>0</v>
      </c>
      <c r="Q29" t="str">
        <v>SKU-0049</v>
      </c>
      <c r="R29" t="str">
        <v/>
      </c>
      <c r="S29" t="str">
        <v/>
      </c>
      <c r="T29" t="str">
        <v/>
      </c>
    </row>
    <row r="30">
      <c r="A30">
        <v>27</v>
      </c>
      <c r="B30" t="str">
        <v>صلصة طماطم هاينز ظرف 35 جم</v>
      </c>
      <c r="C30" t="str">
        <v>6221007001027</v>
      </c>
      <c r="D30" t="str">
        <v/>
      </c>
      <c r="E30" t="str">
        <v>قطعة</v>
      </c>
      <c r="F30">
        <v>4.5</v>
      </c>
      <c r="G30">
        <v>3.2</v>
      </c>
      <c r="H30">
        <v>0</v>
      </c>
      <c r="I30">
        <v>20</v>
      </c>
      <c r="J30">
        <f>F30-G30</f>
        <v>1.3</v>
      </c>
      <c r="K30" s="1">
        <f>IF(G30&gt;0, (F30-G30)/G30, 0)</f>
        <v>0.4062</v>
      </c>
      <c r="L30" s="2">
        <f>H30*G30</f>
        <v>0</v>
      </c>
      <c r="M30" s="2">
        <f>H30*F30</f>
        <v>0</v>
      </c>
      <c r="N30" s="2">
        <f>M30-L30</f>
        <v>0</v>
      </c>
      <c r="O30" t="str">
        <f>IF(H30&lt;=0, "نفد من المخزن", IF(H30&lt;=I30, "قارب على النفاد", "متوفر بالمخزن"))</f>
        <v>نفد من المخزن</v>
      </c>
      <c r="P30">
        <v>0</v>
      </c>
      <c r="Q30" t="str">
        <v>SKU-0050</v>
      </c>
      <c r="R30" t="str">
        <v/>
      </c>
      <c r="S30" t="str">
        <v/>
      </c>
      <c r="T30" t="str">
        <v/>
      </c>
    </row>
    <row r="31">
      <c r="A31">
        <v>28</v>
      </c>
      <c r="B31" t="str">
        <v>كاتشب هاينز عبوة ضغط 340 جم</v>
      </c>
      <c r="C31" t="str">
        <v>6221007002017</v>
      </c>
      <c r="D31" t="str">
        <v/>
      </c>
      <c r="E31" t="str">
        <v>قطعة</v>
      </c>
      <c r="F31">
        <v>42</v>
      </c>
      <c r="G31">
        <v>33</v>
      </c>
      <c r="H31">
        <v>0</v>
      </c>
      <c r="I31">
        <v>7</v>
      </c>
      <c r="J31">
        <f>F31-G31</f>
        <v>9</v>
      </c>
      <c r="K31" s="1">
        <f>IF(G31&gt;0, (F31-G31)/G31, 0)</f>
        <v>0.2727</v>
      </c>
      <c r="L31" s="2">
        <f>H31*G31</f>
        <v>0</v>
      </c>
      <c r="M31" s="2">
        <f>H31*F31</f>
        <v>0</v>
      </c>
      <c r="N31" s="2">
        <f>M31-L31</f>
        <v>0</v>
      </c>
      <c r="O31" t="str">
        <f>IF(H31&lt;=0, "نفد من المخزن", IF(H31&lt;=I31, "قارب على النفاد", "متوفر بالمخزن"))</f>
        <v>نفد من المخزن</v>
      </c>
      <c r="P31">
        <v>0</v>
      </c>
      <c r="Q31" t="str">
        <v>SKU-0051</v>
      </c>
      <c r="R31" t="str">
        <v/>
      </c>
      <c r="S31" t="str">
        <v/>
      </c>
      <c r="T31" t="str">
        <v/>
      </c>
    </row>
    <row r="32">
      <c r="A32">
        <v>29</v>
      </c>
      <c r="B32" t="str">
        <v>مايونيز هاينز 310 جم</v>
      </c>
      <c r="C32" t="str">
        <v>6221007003014</v>
      </c>
      <c r="D32" t="str">
        <v/>
      </c>
      <c r="E32" t="str">
        <v>قطعة</v>
      </c>
      <c r="F32">
        <v>48</v>
      </c>
      <c r="G32">
        <v>38</v>
      </c>
      <c r="H32">
        <v>0</v>
      </c>
      <c r="I32">
        <v>5</v>
      </c>
      <c r="J32">
        <f>F32-G32</f>
        <v>10</v>
      </c>
      <c r="K32" s="1">
        <f>IF(G32&gt;0, (F32-G32)/G32, 0)</f>
        <v>0.2632</v>
      </c>
      <c r="L32" s="2">
        <f>H32*G32</f>
        <v>0</v>
      </c>
      <c r="M32" s="2">
        <f>H32*F32</f>
        <v>0</v>
      </c>
      <c r="N32" s="2">
        <f>M32-L32</f>
        <v>0</v>
      </c>
      <c r="O32" t="str">
        <f>IF(H32&lt;=0, "نفد من المخزن", IF(H32&lt;=I32, "قارب على النفاد", "متوفر بالمخزن"))</f>
        <v>نفد من المخزن</v>
      </c>
      <c r="P32">
        <v>0</v>
      </c>
      <c r="Q32" t="str">
        <v>SKU-0052</v>
      </c>
      <c r="R32" t="str">
        <v/>
      </c>
      <c r="S32" t="str">
        <v/>
      </c>
      <c r="T32" t="str">
        <v/>
      </c>
    </row>
    <row r="33">
      <c r="A33">
        <v>30</v>
      </c>
      <c r="B33" t="str">
        <v>تونة صن شاين قطع سهلة الفتح 185 جم</v>
      </c>
      <c r="C33" t="str">
        <v>6223001850014</v>
      </c>
      <c r="D33" t="str">
        <v/>
      </c>
      <c r="E33" t="str">
        <v>قطعة</v>
      </c>
      <c r="F33">
        <v>70</v>
      </c>
      <c r="G33">
        <v>58</v>
      </c>
      <c r="H33">
        <v>0</v>
      </c>
      <c r="I33">
        <v>8</v>
      </c>
      <c r="J33">
        <f>F33-G33</f>
        <v>12</v>
      </c>
      <c r="K33" s="1">
        <f>IF(G33&gt;0, (F33-G33)/G33, 0)</f>
        <v>0.2069</v>
      </c>
      <c r="L33" s="2">
        <f>H33*G33</f>
        <v>0</v>
      </c>
      <c r="M33" s="2">
        <f>H33*F33</f>
        <v>0</v>
      </c>
      <c r="N33" s="2">
        <f>M33-L33</f>
        <v>0</v>
      </c>
      <c r="O33" t="str">
        <f>IF(H33&lt;=0, "نفد من المخزن", IF(H33&lt;=I33, "قارب على النفاد", "متوفر بالمخزن"))</f>
        <v>نفد من المخزن</v>
      </c>
      <c r="P33">
        <v>0</v>
      </c>
      <c r="Q33" t="str">
        <v>SKU-0053</v>
      </c>
      <c r="R33" t="str">
        <v/>
      </c>
      <c r="S33" t="str">
        <v/>
      </c>
      <c r="T33" t="str">
        <v/>
      </c>
    </row>
    <row r="34">
      <c r="A34">
        <v>31</v>
      </c>
      <c r="B34" t="str">
        <v>تونة دولفين مفتتة سهلة الفتح 140 جم</v>
      </c>
      <c r="C34" t="str">
        <v>6223001850021</v>
      </c>
      <c r="D34" t="str">
        <v/>
      </c>
      <c r="E34" t="str">
        <v>قطعة</v>
      </c>
      <c r="F34">
        <v>40</v>
      </c>
      <c r="G34">
        <v>32</v>
      </c>
      <c r="H34">
        <v>0</v>
      </c>
      <c r="I34">
        <v>10</v>
      </c>
      <c r="J34">
        <f>F34-G34</f>
        <v>8</v>
      </c>
      <c r="K34" s="1">
        <f>IF(G34&gt;0, (F34-G34)/G34, 0)</f>
        <v>0.25</v>
      </c>
      <c r="L34" s="2">
        <f>H34*G34</f>
        <v>0</v>
      </c>
      <c r="M34" s="2">
        <f>H34*F34</f>
        <v>0</v>
      </c>
      <c r="N34" s="2">
        <f>M34-L34</f>
        <v>0</v>
      </c>
      <c r="O34" t="str">
        <f>IF(H34&lt;=0, "نفد من المخزن", IF(H34&lt;=I34, "قارب على النفاد", "متوفر بالمخزن"))</f>
        <v>نفد من المخزن</v>
      </c>
      <c r="P34">
        <v>0</v>
      </c>
      <c r="Q34" t="str">
        <v>SKU-0054</v>
      </c>
      <c r="R34" t="str">
        <v/>
      </c>
      <c r="S34" t="str">
        <v/>
      </c>
      <c r="T34" t="str">
        <v/>
      </c>
    </row>
    <row r="35">
      <c r="A35">
        <v>32</v>
      </c>
      <c r="B35" t="str">
        <v>فول مدمس حدائق كاليفورنيا سادة 400 جم</v>
      </c>
      <c r="C35" t="str">
        <v>6221033001015</v>
      </c>
      <c r="D35" t="str">
        <v/>
      </c>
      <c r="E35" t="str">
        <v>قطعة</v>
      </c>
      <c r="F35">
        <v>25</v>
      </c>
      <c r="G35">
        <v>19.5</v>
      </c>
      <c r="H35">
        <v>0</v>
      </c>
      <c r="I35">
        <v>10</v>
      </c>
      <c r="J35">
        <f>F35-G35</f>
        <v>5.5</v>
      </c>
      <c r="K35" s="1">
        <f>IF(G35&gt;0, (F35-G35)/G35, 0)</f>
        <v>0.2821</v>
      </c>
      <c r="L35" s="2">
        <f>H35*G35</f>
        <v>0</v>
      </c>
      <c r="M35" s="2">
        <f>H35*F35</f>
        <v>0</v>
      </c>
      <c r="N35" s="2">
        <f>M35-L35</f>
        <v>0</v>
      </c>
      <c r="O35" t="str">
        <f>IF(H35&lt;=0, "نفد من المخزن", IF(H35&lt;=I35, "قارب على النفاد", "متوفر بالمخزن"))</f>
        <v>نفد من المخزن</v>
      </c>
      <c r="P35">
        <v>0</v>
      </c>
      <c r="Q35" t="str">
        <v>SKU-0055</v>
      </c>
      <c r="R35" t="str">
        <v/>
      </c>
      <c r="S35" t="str">
        <v/>
      </c>
      <c r="T35" t="str">
        <v/>
      </c>
    </row>
    <row r="36">
      <c r="A36">
        <v>33</v>
      </c>
      <c r="B36" t="str">
        <v>فول حدائق كاليفورنيا خلطة مصرية 400 جم</v>
      </c>
      <c r="C36" t="str">
        <v>6221033001022</v>
      </c>
      <c r="D36" t="str">
        <v/>
      </c>
      <c r="E36" t="str">
        <v>قطعة</v>
      </c>
      <c r="F36">
        <v>26</v>
      </c>
      <c r="G36">
        <v>20.5</v>
      </c>
      <c r="H36">
        <v>0</v>
      </c>
      <c r="I36">
        <v>10</v>
      </c>
      <c r="J36">
        <f>F36-G36</f>
        <v>5.5</v>
      </c>
      <c r="K36" s="1">
        <f>IF(G36&gt;0, (F36-G36)/G36, 0)</f>
        <v>0.2683</v>
      </c>
      <c r="L36" s="2">
        <f>H36*G36</f>
        <v>0</v>
      </c>
      <c r="M36" s="2">
        <f>H36*F36</f>
        <v>0</v>
      </c>
      <c r="N36" s="2">
        <f>M36-L36</f>
        <v>0</v>
      </c>
      <c r="O36" t="str">
        <f>IF(H36&lt;=0, "نفد من المخزن", IF(H36&lt;=I36, "قارب على النفاد", "متوفر بالمخزن"))</f>
        <v>نفد من المخزن</v>
      </c>
      <c r="P36">
        <v>0</v>
      </c>
      <c r="Q36" t="str">
        <v>SKU-0056</v>
      </c>
      <c r="R36" t="str">
        <v/>
      </c>
      <c r="S36" t="str">
        <v/>
      </c>
      <c r="T36" t="str">
        <v/>
      </c>
    </row>
    <row r="37">
      <c r="A37">
        <v>34</v>
      </c>
      <c r="B37" t="str">
        <v>عدس أصفر الضحى 500 جم</v>
      </c>
      <c r="C37" t="str">
        <v>6223000660058</v>
      </c>
      <c r="D37" t="str">
        <v/>
      </c>
      <c r="E37" t="str">
        <v>قطعة</v>
      </c>
      <c r="F37">
        <v>42</v>
      </c>
      <c r="G37">
        <v>34</v>
      </c>
      <c r="H37">
        <v>0</v>
      </c>
      <c r="I37">
        <v>6</v>
      </c>
      <c r="J37">
        <f>F37-G37</f>
        <v>8</v>
      </c>
      <c r="K37" s="1">
        <f>IF(G37&gt;0, (F37-G37)/G37, 0)</f>
        <v>0.2353</v>
      </c>
      <c r="L37" s="2">
        <f>H37*G37</f>
        <v>0</v>
      </c>
      <c r="M37" s="2">
        <f>H37*F37</f>
        <v>0</v>
      </c>
      <c r="N37" s="2">
        <f>M37-L37</f>
        <v>0</v>
      </c>
      <c r="O37" t="str">
        <f>IF(H37&lt;=0, "نفد من المخزن", IF(H37&lt;=I37, "قارب على النفاد", "متوفر بالمخزن"))</f>
        <v>نفد من المخزن</v>
      </c>
      <c r="P37">
        <v>0</v>
      </c>
      <c r="Q37" t="str">
        <v>SKU-0057</v>
      </c>
      <c r="R37" t="str">
        <v/>
      </c>
      <c r="S37" t="str">
        <v/>
      </c>
      <c r="T37" t="str">
        <v/>
      </c>
    </row>
    <row r="38">
      <c r="A38">
        <v>35</v>
      </c>
      <c r="B38" t="str">
        <v>لوبيا جافة الضحى 500 جم</v>
      </c>
      <c r="C38" t="str">
        <v>6223000660065</v>
      </c>
      <c r="D38" t="str">
        <v/>
      </c>
      <c r="E38" t="str">
        <v>قطعة</v>
      </c>
      <c r="F38">
        <v>48</v>
      </c>
      <c r="G38">
        <v>39</v>
      </c>
      <c r="H38">
        <v>0</v>
      </c>
      <c r="I38">
        <v>5</v>
      </c>
      <c r="J38">
        <f>F38-G38</f>
        <v>9</v>
      </c>
      <c r="K38" s="1">
        <f>IF(G38&gt;0, (F38-G38)/G38, 0)</f>
        <v>0.2308</v>
      </c>
      <c r="L38" s="2">
        <f>H38*G38</f>
        <v>0</v>
      </c>
      <c r="M38" s="2">
        <f>H38*F38</f>
        <v>0</v>
      </c>
      <c r="N38" s="2">
        <f>M38-L38</f>
        <v>0</v>
      </c>
      <c r="O38" t="str">
        <f>IF(H38&lt;=0, "نفد من المخزن", IF(H38&lt;=I38, "قارب على النفاد", "متوفر بالمخزن"))</f>
        <v>نفد من المخزن</v>
      </c>
      <c r="P38">
        <v>0</v>
      </c>
      <c r="Q38" t="str">
        <v>SKU-0058</v>
      </c>
      <c r="R38" t="str">
        <v/>
      </c>
      <c r="S38" t="str">
        <v/>
      </c>
      <c r="T38" t="str">
        <v/>
      </c>
    </row>
    <row r="39">
      <c r="A39">
        <v>36</v>
      </c>
      <c r="B39" t="str">
        <v>فاصوليا بيضاء الضحى 500 جم</v>
      </c>
      <c r="C39" t="str">
        <v>6223000660072</v>
      </c>
      <c r="D39" t="str">
        <v/>
      </c>
      <c r="E39" t="str">
        <v>قطعة</v>
      </c>
      <c r="F39">
        <v>50</v>
      </c>
      <c r="G39">
        <v>41</v>
      </c>
      <c r="H39">
        <v>0</v>
      </c>
      <c r="I39">
        <v>5</v>
      </c>
      <c r="J39">
        <f>F39-G39</f>
        <v>9</v>
      </c>
      <c r="K39" s="1">
        <f>IF(G39&gt;0, (F39-G39)/G39, 0)</f>
        <v>0.2195</v>
      </c>
      <c r="L39" s="2">
        <f>H39*G39</f>
        <v>0</v>
      </c>
      <c r="M39" s="2">
        <f>H39*F39</f>
        <v>0</v>
      </c>
      <c r="N39" s="2">
        <f>M39-L39</f>
        <v>0</v>
      </c>
      <c r="O39" t="str">
        <f>IF(H39&lt;=0, "نفد من المخزن", IF(H39&lt;=I39, "قارب على النفاد", "متوفر بالمخزن"))</f>
        <v>نفد من المخزن</v>
      </c>
      <c r="P39">
        <v>0</v>
      </c>
      <c r="Q39" t="str">
        <v>SKU-0059</v>
      </c>
      <c r="R39" t="str">
        <v/>
      </c>
      <c r="S39" t="str">
        <v/>
      </c>
      <c r="T39" t="str">
        <v/>
      </c>
    </row>
    <row r="40">
      <c r="A40">
        <v>37</v>
      </c>
      <c r="B40" t="str">
        <v>نودلز إندومي لحم بقري 70 جم</v>
      </c>
      <c r="C40" t="str">
        <v>5285000395140</v>
      </c>
      <c r="D40" t="str">
        <v/>
      </c>
      <c r="E40" t="str">
        <v>قطعة</v>
      </c>
      <c r="F40">
        <v>10</v>
      </c>
      <c r="G40">
        <v>7.8</v>
      </c>
      <c r="H40">
        <v>0</v>
      </c>
      <c r="I40">
        <v>15</v>
      </c>
      <c r="J40">
        <f>F40-G40</f>
        <v>2.2</v>
      </c>
      <c r="K40" s="1">
        <f>IF(G40&gt;0, (F40-G40)/G40, 0)</f>
        <v>0.2821</v>
      </c>
      <c r="L40" s="2">
        <f>H40*G40</f>
        <v>0</v>
      </c>
      <c r="M40" s="2">
        <f>H40*F40</f>
        <v>0</v>
      </c>
      <c r="N40" s="2">
        <f>M40-L40</f>
        <v>0</v>
      </c>
      <c r="O40" t="str">
        <f>IF(H40&lt;=0, "نفد من المخزن", IF(H40&lt;=I40, "قارب على النفاد", "متوفر بالمخزن"))</f>
        <v>نفد من المخزن</v>
      </c>
      <c r="P40">
        <v>0</v>
      </c>
      <c r="Q40" t="str">
        <v>SKU-0060</v>
      </c>
      <c r="R40" t="str">
        <v/>
      </c>
      <c r="S40" t="str">
        <v/>
      </c>
      <c r="T40" t="str">
        <v/>
      </c>
    </row>
    <row r="41">
      <c r="A41">
        <v>38</v>
      </c>
      <c r="B41" t="str">
        <v>نودلز إندومي دجاج خاص 70 جم</v>
      </c>
      <c r="C41" t="str">
        <v>5285000395157</v>
      </c>
      <c r="D41" t="str">
        <v/>
      </c>
      <c r="E41" t="str">
        <v>قطعة</v>
      </c>
      <c r="F41">
        <v>10</v>
      </c>
      <c r="G41">
        <v>7.8</v>
      </c>
      <c r="H41">
        <v>0</v>
      </c>
      <c r="I41">
        <v>15</v>
      </c>
      <c r="J41">
        <f>F41-G41</f>
        <v>2.2</v>
      </c>
      <c r="K41" s="1">
        <f>IF(G41&gt;0, (F41-G41)/G41, 0)</f>
        <v>0.2821</v>
      </c>
      <c r="L41" s="2">
        <f>H41*G41</f>
        <v>0</v>
      </c>
      <c r="M41" s="2">
        <f>H41*F41</f>
        <v>0</v>
      </c>
      <c r="N41" s="2">
        <f>M41-L41</f>
        <v>0</v>
      </c>
      <c r="O41" t="str">
        <f>IF(H41&lt;=0, "نفد من المخزن", IF(H41&lt;=I41, "قارب على النفاد", "متوفر بالمخزن"))</f>
        <v>نفد من المخزن</v>
      </c>
      <c r="P41">
        <v>0</v>
      </c>
      <c r="Q41" t="str">
        <v>SKU-0061</v>
      </c>
      <c r="R41" t="str">
        <v/>
      </c>
      <c r="S41" t="str">
        <v/>
      </c>
      <c r="T41" t="str">
        <v/>
      </c>
    </row>
    <row r="42">
      <c r="A42">
        <v>39</v>
      </c>
      <c r="B42" t="str">
        <v>نودلز إندومي خضار 70 جم</v>
      </c>
      <c r="C42" t="str">
        <v>5285000395164</v>
      </c>
      <c r="D42" t="str">
        <v/>
      </c>
      <c r="E42" t="str">
        <v>قطعة</v>
      </c>
      <c r="F42">
        <v>10</v>
      </c>
      <c r="G42">
        <v>7.8</v>
      </c>
      <c r="H42">
        <v>0</v>
      </c>
      <c r="I42">
        <v>12</v>
      </c>
      <c r="J42">
        <f>F42-G42</f>
        <v>2.2</v>
      </c>
      <c r="K42" s="1">
        <f>IF(G42&gt;0, (F42-G42)/G42, 0)</f>
        <v>0.2821</v>
      </c>
      <c r="L42" s="2">
        <f>H42*G42</f>
        <v>0</v>
      </c>
      <c r="M42" s="2">
        <f>H42*F42</f>
        <v>0</v>
      </c>
      <c r="N42" s="2">
        <f>M42-L42</f>
        <v>0</v>
      </c>
      <c r="O42" t="str">
        <f>IF(H42&lt;=0, "نفد من المخزن", IF(H42&lt;=I42, "قارب على النفاد", "متوفر بالمخزن"))</f>
        <v>نفد من المخزن</v>
      </c>
      <c r="P42">
        <v>0</v>
      </c>
      <c r="Q42" t="str">
        <v>SKU-0062</v>
      </c>
      <c r="R42" t="str">
        <v/>
      </c>
      <c r="S42" t="str">
        <v/>
      </c>
      <c r="T42" t="str">
        <v/>
      </c>
    </row>
    <row r="43">
      <c r="A43">
        <v>40</v>
      </c>
      <c r="B43" t="str">
        <v>مرقة دجاج ماجي 12 مكعب</v>
      </c>
      <c r="C43" t="str">
        <v>7613035201019</v>
      </c>
      <c r="D43" t="str">
        <v/>
      </c>
      <c r="E43" t="str">
        <v>قطعة</v>
      </c>
      <c r="F43">
        <v>22</v>
      </c>
      <c r="G43">
        <v>17.5</v>
      </c>
      <c r="H43">
        <v>0</v>
      </c>
      <c r="I43">
        <v>8</v>
      </c>
      <c r="J43">
        <f>F43-G43</f>
        <v>4.5</v>
      </c>
      <c r="K43" s="1">
        <f>IF(G43&gt;0, (F43-G43)/G43, 0)</f>
        <v>0.2571</v>
      </c>
      <c r="L43" s="2">
        <f>H43*G43</f>
        <v>0</v>
      </c>
      <c r="M43" s="2">
        <f>H43*F43</f>
        <v>0</v>
      </c>
      <c r="N43" s="2">
        <f>M43-L43</f>
        <v>0</v>
      </c>
      <c r="O43" t="str">
        <f>IF(H43&lt;=0, "نفد من المخزن", IF(H43&lt;=I43, "قارب على النفاد", "متوفر بالمخزن"))</f>
        <v>نفد من المخزن</v>
      </c>
      <c r="P43">
        <v>0</v>
      </c>
      <c r="Q43" t="str">
        <v>SKU-0063</v>
      </c>
      <c r="R43" t="str">
        <v/>
      </c>
      <c r="S43" t="str">
        <v/>
      </c>
      <c r="T43" t="str">
        <v/>
      </c>
    </row>
    <row r="44">
      <c r="A44">
        <v>41</v>
      </c>
      <c r="B44" t="str">
        <v>مرقة دجاج كنور فاين فودز 8 مكعب</v>
      </c>
      <c r="C44" t="str">
        <v>6221155020017</v>
      </c>
      <c r="D44" t="str">
        <v/>
      </c>
      <c r="E44" t="str">
        <v>قطعة</v>
      </c>
      <c r="F44">
        <v>18</v>
      </c>
      <c r="G44">
        <v>14</v>
      </c>
      <c r="H44">
        <v>0</v>
      </c>
      <c r="I44">
        <v>7</v>
      </c>
      <c r="J44">
        <f>F44-G44</f>
        <v>4</v>
      </c>
      <c r="K44" s="1">
        <f>IF(G44&gt;0, (F44-G44)/G44, 0)</f>
        <v>0.2857</v>
      </c>
      <c r="L44" s="2">
        <f>H44*G44</f>
        <v>0</v>
      </c>
      <c r="M44" s="2">
        <f>H44*F44</f>
        <v>0</v>
      </c>
      <c r="N44" s="2">
        <f>M44-L44</f>
        <v>0</v>
      </c>
      <c r="O44" t="str">
        <f>IF(H44&lt;=0, "نفد من المخزن", IF(H44&lt;=I44, "قارب على النفاد", "متوفر بالمخزن"))</f>
        <v>نفد من المخزن</v>
      </c>
      <c r="P44">
        <v>0</v>
      </c>
      <c r="Q44" t="str">
        <v>SKU-0064</v>
      </c>
      <c r="R44" t="str">
        <v/>
      </c>
      <c r="S44" t="str">
        <v/>
      </c>
      <c r="T44" t="str">
        <v/>
      </c>
    </row>
    <row r="45">
      <c r="A45">
        <v>42</v>
      </c>
      <c r="B45" t="str">
        <v>ملح طعام كوكس برافو 700 جم</v>
      </c>
      <c r="C45" t="str">
        <v>6221012001012</v>
      </c>
      <c r="D45" t="str">
        <v/>
      </c>
      <c r="E45" t="str">
        <v>قطعة</v>
      </c>
      <c r="F45">
        <v>5</v>
      </c>
      <c r="G45">
        <v>3</v>
      </c>
      <c r="H45">
        <v>0</v>
      </c>
      <c r="I45">
        <v>15</v>
      </c>
      <c r="J45">
        <f>F45-G45</f>
        <v>2</v>
      </c>
      <c r="K45" s="1">
        <f>IF(G45&gt;0, (F45-G45)/G45, 0)</f>
        <v>0.6667</v>
      </c>
      <c r="L45" s="2">
        <f>H45*G45</f>
        <v>0</v>
      </c>
      <c r="M45" s="2">
        <f>H45*F45</f>
        <v>0</v>
      </c>
      <c r="N45" s="2">
        <f>M45-L45</f>
        <v>0</v>
      </c>
      <c r="O45" t="str">
        <f>IF(H45&lt;=0, "نفد من المخزن", IF(H45&lt;=I45, "قارب على النفاد", "متوفر بالمخزن"))</f>
        <v>نفد من المخزن</v>
      </c>
      <c r="P45">
        <v>0</v>
      </c>
      <c r="Q45" t="str">
        <v>SKU-0065</v>
      </c>
      <c r="R45" t="str">
        <v/>
      </c>
      <c r="S45" t="str">
        <v/>
      </c>
      <c r="T45" t="str">
        <v/>
      </c>
    </row>
    <row r="46">
      <c r="A46">
        <v>43</v>
      </c>
      <c r="B46" t="str">
        <v>خل قصب طبيعي هاينز 1 لتر</v>
      </c>
      <c r="C46" t="str">
        <v>6221007004011</v>
      </c>
      <c r="D46" t="str">
        <v/>
      </c>
      <c r="E46" t="str">
        <v>قطعة</v>
      </c>
      <c r="F46">
        <v>18</v>
      </c>
      <c r="G46">
        <v>13.5</v>
      </c>
      <c r="H46">
        <v>0</v>
      </c>
      <c r="I46">
        <v>8</v>
      </c>
      <c r="J46">
        <f>F46-G46</f>
        <v>4.5</v>
      </c>
      <c r="K46" s="1">
        <f>IF(G46&gt;0, (F46-G46)/G46, 0)</f>
        <v>0.3333</v>
      </c>
      <c r="L46" s="2">
        <f>H46*G46</f>
        <v>0</v>
      </c>
      <c r="M46" s="2">
        <f>H46*F46</f>
        <v>0</v>
      </c>
      <c r="N46" s="2">
        <f>M46-L46</f>
        <v>0</v>
      </c>
      <c r="O46" t="str">
        <f>IF(H46&lt;=0, "نفد من المخزن", IF(H46&lt;=I46, "قارب على النفاد", "متوفر بالمخزن"))</f>
        <v>نفد من المخزن</v>
      </c>
      <c r="P46">
        <v>0</v>
      </c>
      <c r="Q46" t="str">
        <v>SKU-0066</v>
      </c>
      <c r="R46" t="str">
        <v/>
      </c>
      <c r="S46" t="str">
        <v/>
      </c>
      <c r="T46" t="str">
        <v/>
      </c>
    </row>
    <row r="47">
      <c r="A47">
        <v>44</v>
      </c>
      <c r="B47" t="str">
        <v>بيكنج بودر تاج الملوك 16 جم</v>
      </c>
      <c r="C47" t="str">
        <v>6221020001011</v>
      </c>
      <c r="D47" t="str">
        <v/>
      </c>
      <c r="E47" t="str">
        <v>قطعة</v>
      </c>
      <c r="F47">
        <v>4</v>
      </c>
      <c r="G47">
        <v>2.5</v>
      </c>
      <c r="H47">
        <v>0</v>
      </c>
      <c r="I47">
        <v>20</v>
      </c>
      <c r="J47">
        <f>F47-G47</f>
        <v>1.5</v>
      </c>
      <c r="K47" s="1">
        <f>IF(G47&gt;0, (F47-G47)/G47, 0)</f>
        <v>0.6</v>
      </c>
      <c r="L47" s="2">
        <f>H47*G47</f>
        <v>0</v>
      </c>
      <c r="M47" s="2">
        <f>H47*F47</f>
        <v>0</v>
      </c>
      <c r="N47" s="2">
        <f>M47-L47</f>
        <v>0</v>
      </c>
      <c r="O47" t="str">
        <f>IF(H47&lt;=0, "نفد من المخزن", IF(H47&lt;=I47, "قارب على النفاد", "متوفر بالمخزن"))</f>
        <v>نفد من المخزن</v>
      </c>
      <c r="P47">
        <v>0</v>
      </c>
      <c r="Q47" t="str">
        <v>SKU-0067</v>
      </c>
      <c r="R47" t="str">
        <v/>
      </c>
      <c r="S47" t="str">
        <v/>
      </c>
      <c r="T47" t="str">
        <v/>
      </c>
    </row>
    <row r="48">
      <c r="A48">
        <v>45</v>
      </c>
      <c r="B48" t="str">
        <v>فانيليا تاج الملوك ظرف 1.5 جم</v>
      </c>
      <c r="C48" t="str">
        <v>6221020001028</v>
      </c>
      <c r="D48" t="str">
        <v/>
      </c>
      <c r="E48" t="str">
        <v>قطعة</v>
      </c>
      <c r="F48">
        <v>2.5</v>
      </c>
      <c r="G48">
        <v>1.4</v>
      </c>
      <c r="H48">
        <v>0</v>
      </c>
      <c r="I48">
        <v>20</v>
      </c>
      <c r="J48">
        <f>F48-G48</f>
        <v>1.1</v>
      </c>
      <c r="K48" s="1">
        <f>IF(G48&gt;0, (F48-G48)/G48, 0)</f>
        <v>0.7857</v>
      </c>
      <c r="L48" s="2">
        <f>H48*G48</f>
        <v>0</v>
      </c>
      <c r="M48" s="2">
        <f>H48*F48</f>
        <v>0</v>
      </c>
      <c r="N48" s="2">
        <f>M48-L48</f>
        <v>0</v>
      </c>
      <c r="O48" t="str">
        <f>IF(H48&lt;=0, "نفد من المخزن", IF(H48&lt;=I48, "قارب على النفاد", "متوفر بالمخزن"))</f>
        <v>نفد من المخزن</v>
      </c>
      <c r="P48">
        <v>0</v>
      </c>
      <c r="Q48" t="str">
        <v>SKU-0068</v>
      </c>
      <c r="R48" t="str">
        <v/>
      </c>
      <c r="S48" t="str">
        <v/>
      </c>
      <c r="T48" t="str">
        <v/>
      </c>
    </row>
    <row r="49">
      <c r="A49">
        <v>46</v>
      </c>
      <c r="B49" t="str">
        <v>خميرة فورية دريم 16 جم</v>
      </c>
      <c r="C49" t="str">
        <v>6221040001015</v>
      </c>
      <c r="D49" t="str">
        <v/>
      </c>
      <c r="E49" t="str">
        <v>قطعة</v>
      </c>
      <c r="F49">
        <v>5</v>
      </c>
      <c r="G49">
        <v>3.5</v>
      </c>
      <c r="H49">
        <v>0</v>
      </c>
      <c r="I49">
        <v>15</v>
      </c>
      <c r="J49">
        <f>F49-G49</f>
        <v>1.5</v>
      </c>
      <c r="K49" s="1">
        <f>IF(G49&gt;0, (F49-G49)/G49, 0)</f>
        <v>0.4286</v>
      </c>
      <c r="L49" s="2">
        <f>H49*G49</f>
        <v>0</v>
      </c>
      <c r="M49" s="2">
        <f>H49*F49</f>
        <v>0</v>
      </c>
      <c r="N49" s="2">
        <f>M49-L49</f>
        <v>0</v>
      </c>
      <c r="O49" t="str">
        <f>IF(H49&lt;=0, "نفد من المخزن", IF(H49&lt;=I49, "قارب على النفاد", "متوفر بالمخزن"))</f>
        <v>نفد من المخزن</v>
      </c>
      <c r="P49">
        <v>0</v>
      </c>
      <c r="Q49" t="str">
        <v>SKU-0069</v>
      </c>
      <c r="R49" t="str">
        <v/>
      </c>
      <c r="S49" t="str">
        <v/>
      </c>
      <c r="T49" t="str">
        <v/>
      </c>
    </row>
    <row r="50">
      <c r="A50">
        <v>47</v>
      </c>
      <c r="B50" t="str">
        <v>حلاوة طحينية الرشيدي الميزان 500 جم</v>
      </c>
      <c r="C50" t="str">
        <v>6221015001019</v>
      </c>
      <c r="D50" t="str">
        <v/>
      </c>
      <c r="E50" t="str">
        <v>قطعة</v>
      </c>
      <c r="F50">
        <v>60</v>
      </c>
      <c r="G50">
        <v>48</v>
      </c>
      <c r="H50">
        <v>0</v>
      </c>
      <c r="I50">
        <v>6</v>
      </c>
      <c r="J50">
        <f>F50-G50</f>
        <v>12</v>
      </c>
      <c r="K50" s="1">
        <f>IF(G50&gt;0, (F50-G50)/G50, 0)</f>
        <v>0.25</v>
      </c>
      <c r="L50" s="2">
        <f>H50*G50</f>
        <v>0</v>
      </c>
      <c r="M50" s="2">
        <f>H50*F50</f>
        <v>0</v>
      </c>
      <c r="N50" s="2">
        <f>M50-L50</f>
        <v>0</v>
      </c>
      <c r="O50" t="str">
        <f>IF(H50&lt;=0, "نفد من المخزن", IF(H50&lt;=I50, "قارب على النفاد", "متوفر بالمخزن"))</f>
        <v>نفد من المخزن</v>
      </c>
      <c r="P50">
        <v>0</v>
      </c>
      <c r="Q50" t="str">
        <v>SKU-0070</v>
      </c>
      <c r="R50" t="str">
        <v/>
      </c>
      <c r="S50" t="str">
        <v/>
      </c>
      <c r="T50" t="str">
        <v/>
      </c>
    </row>
    <row r="51">
      <c r="A51">
        <v>48</v>
      </c>
      <c r="B51" t="str">
        <v>طحينة بيضاء الرشيدي الميزان 500 جم</v>
      </c>
      <c r="C51" t="str">
        <v>6221015002016</v>
      </c>
      <c r="D51" t="str">
        <v/>
      </c>
      <c r="E51" t="str">
        <v>قطعة</v>
      </c>
      <c r="F51">
        <v>75</v>
      </c>
      <c r="G51">
        <v>60</v>
      </c>
      <c r="H51">
        <v>0</v>
      </c>
      <c r="I51">
        <v>5</v>
      </c>
      <c r="J51">
        <f>F51-G51</f>
        <v>15</v>
      </c>
      <c r="K51" s="1">
        <f>IF(G51&gt;0, (F51-G51)/G51, 0)</f>
        <v>0.25</v>
      </c>
      <c r="L51" s="2">
        <f>H51*G51</f>
        <v>0</v>
      </c>
      <c r="M51" s="2">
        <f>H51*F51</f>
        <v>0</v>
      </c>
      <c r="N51" s="2">
        <f>M51-L51</f>
        <v>0</v>
      </c>
      <c r="O51" t="str">
        <f>IF(H51&lt;=0, "نفد من المخزن", IF(H51&lt;=I51, "قارب على النفاد", "متوفر بالمخزن"))</f>
        <v>نفد من المخزن</v>
      </c>
      <c r="P51">
        <v>0</v>
      </c>
      <c r="Q51" t="str">
        <v>SKU-0071</v>
      </c>
      <c r="R51" t="str">
        <v/>
      </c>
      <c r="S51" t="str">
        <v/>
      </c>
      <c r="T51" t="str">
        <v/>
      </c>
    </row>
    <row r="52">
      <c r="A52">
        <v>49</v>
      </c>
      <c r="B52" t="str">
        <v>عسل نحل إمتنان زهور برية 450 جم</v>
      </c>
      <c r="C52" t="str">
        <v>6223000990018</v>
      </c>
      <c r="D52" t="str">
        <v/>
      </c>
      <c r="E52" t="str">
        <v>قطعة</v>
      </c>
      <c r="F52">
        <v>95</v>
      </c>
      <c r="G52">
        <v>76</v>
      </c>
      <c r="H52">
        <v>0</v>
      </c>
      <c r="I52">
        <v>4</v>
      </c>
      <c r="J52">
        <f>F52-G52</f>
        <v>19</v>
      </c>
      <c r="K52" s="1">
        <f>IF(G52&gt;0, (F52-G52)/G52, 0)</f>
        <v>0.25</v>
      </c>
      <c r="L52" s="2">
        <f>H52*G52</f>
        <v>0</v>
      </c>
      <c r="M52" s="2">
        <f>H52*F52</f>
        <v>0</v>
      </c>
      <c r="N52" s="2">
        <f>M52-L52</f>
        <v>0</v>
      </c>
      <c r="O52" t="str">
        <f>IF(H52&lt;=0, "نفد من المخزن", IF(H52&lt;=I52, "قارب على النفاد", "متوفر بالمخزن"))</f>
        <v>نفد من المخزن</v>
      </c>
      <c r="P52">
        <v>0</v>
      </c>
      <c r="Q52" t="str">
        <v>SKU-0072</v>
      </c>
      <c r="R52" t="str">
        <v/>
      </c>
      <c r="S52" t="str">
        <v/>
      </c>
      <c r="T52" t="str">
        <v/>
      </c>
    </row>
    <row r="53">
      <c r="A53">
        <v>50</v>
      </c>
      <c r="B53" t="str">
        <v>عسل أسود وادي فود 700 جم</v>
      </c>
      <c r="C53" t="str">
        <v>6223000990025</v>
      </c>
      <c r="D53" t="str">
        <v/>
      </c>
      <c r="E53" t="str">
        <v>قطعة</v>
      </c>
      <c r="F53">
        <v>45</v>
      </c>
      <c r="G53">
        <v>34</v>
      </c>
      <c r="H53">
        <v>0</v>
      </c>
      <c r="I53">
        <v>5</v>
      </c>
      <c r="J53">
        <f>F53-G53</f>
        <v>11</v>
      </c>
      <c r="K53" s="1">
        <f>IF(G53&gt;0, (F53-G53)/G53, 0)</f>
        <v>0.3235</v>
      </c>
      <c r="L53" s="2">
        <f>H53*G53</f>
        <v>0</v>
      </c>
      <c r="M53" s="2">
        <f>H53*F53</f>
        <v>0</v>
      </c>
      <c r="N53" s="2">
        <f>M53-L53</f>
        <v>0</v>
      </c>
      <c r="O53" t="str">
        <f>IF(H53&lt;=0, "نفد من المخزن", IF(H53&lt;=I53, "قارب على النفاد", "متوفر بالمخزن"))</f>
        <v>نفد من المخزن</v>
      </c>
      <c r="P53">
        <v>0</v>
      </c>
      <c r="Q53" t="str">
        <v>SKU-0073</v>
      </c>
      <c r="R53" t="str">
        <v/>
      </c>
      <c r="S53" t="str">
        <v/>
      </c>
      <c r="T53" t="str">
        <v/>
      </c>
    </row>
    <row r="54">
      <c r="A54">
        <v>51</v>
      </c>
      <c r="B54" t="str">
        <v>مربى حلواني فراولة 380 جم</v>
      </c>
      <c r="C54" t="str">
        <v>6221028001013</v>
      </c>
      <c r="D54" t="str">
        <v/>
      </c>
      <c r="E54" t="str">
        <v>قطعة</v>
      </c>
      <c r="F54">
        <v>38</v>
      </c>
      <c r="G54">
        <v>29</v>
      </c>
      <c r="H54">
        <v>0</v>
      </c>
      <c r="I54">
        <v>5</v>
      </c>
      <c r="J54">
        <f>F54-G54</f>
        <v>9</v>
      </c>
      <c r="K54" s="1">
        <f>IF(G54&gt;0, (F54-G54)/G54, 0)</f>
        <v>0.3103</v>
      </c>
      <c r="L54" s="2">
        <f>H54*G54</f>
        <v>0</v>
      </c>
      <c r="M54" s="2">
        <f>H54*F54</f>
        <v>0</v>
      </c>
      <c r="N54" s="2">
        <f>M54-L54</f>
        <v>0</v>
      </c>
      <c r="O54" t="str">
        <f>IF(H54&lt;=0, "نفد من المخزن", IF(H54&lt;=I54, "قارب على النفاد", "متوفر بالمخزن"))</f>
        <v>نفد من المخزن</v>
      </c>
      <c r="P54">
        <v>0</v>
      </c>
      <c r="Q54" t="str">
        <v>SKU-0074</v>
      </c>
      <c r="R54" t="str">
        <v/>
      </c>
      <c r="S54" t="str">
        <v/>
      </c>
      <c r="T54" t="str">
        <v/>
      </c>
    </row>
    <row r="55">
      <c r="A55">
        <v>52</v>
      </c>
      <c r="B55" t="str">
        <v>مربى فيتراك تين 430 جم</v>
      </c>
      <c r="C55" t="str">
        <v>6221028002010</v>
      </c>
      <c r="D55" t="str">
        <v/>
      </c>
      <c r="E55" t="str">
        <v>قطعة</v>
      </c>
      <c r="F55">
        <v>42</v>
      </c>
      <c r="G55">
        <v>32.5</v>
      </c>
      <c r="H55">
        <v>0</v>
      </c>
      <c r="I55">
        <v>5</v>
      </c>
      <c r="J55">
        <f>F55-G55</f>
        <v>9.5</v>
      </c>
      <c r="K55" s="1">
        <f>IF(G55&gt;0, (F55-G55)/G55, 0)</f>
        <v>0.2923</v>
      </c>
      <c r="L55" s="2">
        <f>H55*G55</f>
        <v>0</v>
      </c>
      <c r="M55" s="2">
        <f>H55*F55</f>
        <v>0</v>
      </c>
      <c r="N55" s="2">
        <f>M55-L55</f>
        <v>0</v>
      </c>
      <c r="O55" t="str">
        <f>IF(H55&lt;=0, "نفد من المخزن", IF(H55&lt;=I55, "قارب على النفاد", "متوفر بالمخزن"))</f>
        <v>نفد من المخزن</v>
      </c>
      <c r="P55">
        <v>0</v>
      </c>
      <c r="Q55" t="str">
        <v>SKU-0075</v>
      </c>
      <c r="R55" t="str">
        <v/>
      </c>
      <c r="S55" t="str">
        <v/>
      </c>
      <c r="T55" t="str">
        <v/>
      </c>
    </row>
    <row r="56">
      <c r="A56">
        <v>53</v>
      </c>
      <c r="B56" t="str">
        <v>كيس تسوق كبير للمحل</v>
      </c>
      <c r="C56" t="str">
        <v>6229007788030</v>
      </c>
      <c r="D56" t="str">
        <v/>
      </c>
      <c r="E56" t="str">
        <v>قطعة</v>
      </c>
      <c r="F56">
        <v>1.5</v>
      </c>
      <c r="G56">
        <v>0.8</v>
      </c>
      <c r="H56">
        <v>0</v>
      </c>
      <c r="I56">
        <v>30</v>
      </c>
      <c r="J56">
        <f>F56-G56</f>
        <v>0.7</v>
      </c>
      <c r="K56" s="1">
        <f>IF(G56&gt;0, (F56-G56)/G56, 0)</f>
        <v>0.875</v>
      </c>
      <c r="L56" s="2">
        <f>H56*G56</f>
        <v>0</v>
      </c>
      <c r="M56" s="2">
        <f>H56*F56</f>
        <v>0</v>
      </c>
      <c r="N56" s="2">
        <f>M56-L56</f>
        <v>0</v>
      </c>
      <c r="O56" t="str">
        <f>IF(H56&lt;=0, "نفد من المخزن", IF(H56&lt;=I56, "قارب على النفاد", "متوفر بالمخزن"))</f>
        <v>نفد من المخزن</v>
      </c>
      <c r="P56">
        <v>0</v>
      </c>
      <c r="Q56" t="str">
        <v>SKU-0168</v>
      </c>
      <c r="R56" t="str">
        <v/>
      </c>
      <c r="S56" t="str">
        <v/>
      </c>
      <c r="T56" t="str">
        <v/>
      </c>
    </row>
    <row r="57">
      <c r="A57" t="str">
        <v>الإجمالي</v>
      </c>
      <c r="B57" t="str">
        <v>إجمالي 53 صنف مسجل</v>
      </c>
      <c r="C57" t="str">
        <v/>
      </c>
      <c r="D57" t="str">
        <v/>
      </c>
      <c r="E57" t="str">
        <v/>
      </c>
      <c r="F57" s="2">
        <f>AVERAGE(F4:F56)</f>
      </c>
      <c r="G57" s="2">
        <f>AVERAGE(G4:G56)</f>
      </c>
      <c r="H57" s="3">
        <f>SUM(H4:H56)</f>
      </c>
      <c r="I57" t="str">
        <v/>
      </c>
      <c r="J57" s="2">
        <f>AVERAGE(J4:J56)</f>
      </c>
      <c r="K57" s="1">
        <f>IF(L57&gt;0, N57/L57, 0)</f>
      </c>
      <c r="L57" s="2">
        <f>SUM(L4:L56)</f>
      </c>
      <c r="M57" s="2">
        <f>SUM(M4:M56)</f>
      </c>
      <c r="N57" s="2">
        <f>SUM(N4:N56)</f>
      </c>
      <c r="O57" t="str">
        <v>محسوب بمعادلات إكسل</v>
      </c>
      <c r="P57" t="str">
        <v/>
      </c>
      <c r="Q57" t="str">
        <v/>
      </c>
      <c r="R57" t="str">
        <v/>
      </c>
      <c r="S57" t="str">
        <v/>
      </c>
      <c r="T57" t="str">
        <v/>
      </c>
    </row>
  </sheetData>
  <mergeCells count="2">
    <mergeCell ref="A1:T1"/>
    <mergeCell ref="A2:T2"/>
  </mergeCells>
  <ignoredErrors>
    <ignoredError numberStoredAsText="1" sqref="A1:T57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T27"/>
  <sheetViews>
    <sheetView workbookViewId="0"/>
  </sheetViews>
  <cols>
    <col min="1" max="1" width="6.83203125" customWidth="1"/>
    <col min="2" max="2" width="38.83203125" customWidth="1"/>
    <col min="3" max="3" width="20.83203125" customWidth="1"/>
    <col min="4" max="4" width="24.83203125" customWidth="1"/>
    <col min="5" max="5" width="14.83203125" customWidth="1"/>
    <col min="6" max="6" width="16.83203125" customWidth="1"/>
    <col min="7" max="7" width="16.83203125" customWidth="1"/>
    <col min="8" max="8" width="16.83203125" customWidth="1"/>
    <col min="9" max="9" width="16.83203125" customWidth="1"/>
    <col min="10" max="10" width="18.83203125" customWidth="1"/>
    <col min="11" max="11" width="15.83203125" customWidth="1"/>
    <col min="12" max="12" width="22.83203125" customWidth="1"/>
    <col min="13" max="13" width="22.83203125" customWidth="1"/>
    <col min="14" max="14" width="22.83203125" customWidth="1"/>
    <col min="15" max="15" width="18.83203125" customWidth="1"/>
    <col min="16" max="16" width="14.83203125" customWidth="1"/>
    <col min="17" max="17" width="20.83203125" customWidth="1"/>
    <col min="18" max="18" width="18.83203125" customWidth="1"/>
    <col min="19" max="19" width="18.83203125" customWidth="1"/>
    <col min="20" max="20" width="22.83203125" customWidth="1"/>
  </cols>
  <sheetData>
    <row r="1">
      <c r="A1" t="str">
        <v>رفيق POS - قائمة أصناف قسم: [مشروبات وعصائر]</v>
      </c>
    </row>
    <row r="2">
      <c r="A2" t="str">
        <v>تعليمات هامة: الأعمدة المميزة بنجمة (*) إلزامية | اسم التابة يمثل القسم تلقائياً | المبالغ بالجنيه المصري | الأعمدة الملونة تحتوي على معادلات إكسل تتحدث تلقائياً</v>
      </c>
    </row>
    <row r="3">
      <c r="A3" t="str">
        <v>م</v>
      </c>
      <c r="B3" t="str">
        <v>اسم الصنف *</v>
      </c>
      <c r="C3" t="str">
        <v>الباركود الرئيسي</v>
      </c>
      <c r="D3" t="str">
        <v>باركودات إضافية (مفصولة بفاصلة)</v>
      </c>
      <c r="E3" t="str">
        <v>الوحدة (قطعة / كجم)</v>
      </c>
      <c r="F3" t="str">
        <v>سعر البيع (بالجنيه) *</v>
      </c>
      <c r="G3" t="str">
        <v>سعر التكلفة (بالجنيه)</v>
      </c>
      <c r="H3" t="str">
        <v>الرصيد الافتتاحي</v>
      </c>
      <c r="I3" t="str">
        <v>حد الطلب الأدنى</v>
      </c>
      <c r="J3" t="str">
        <v>هامش الربح للقطعة (ج.م)</v>
      </c>
      <c r="K3" t="str">
        <v>نسبة الربح (%)</v>
      </c>
      <c r="L3" t="str">
        <v>إجمالي قيمة التكلفة (ج.م)</v>
      </c>
      <c r="M3" t="str">
        <v>إجمالي القيمة البيعية (ج.م)</v>
      </c>
      <c r="N3" t="str">
        <v>إجمالي الربح المتوقع (ج.م)</v>
      </c>
      <c r="O3" t="str">
        <v>حالة المخزون التلقائية</v>
      </c>
      <c r="P3" t="str">
        <v>نسبة الضريبة (%)</v>
      </c>
      <c r="Q3" t="str">
        <v>كود الصنف الداخلي (SKU)</v>
      </c>
      <c r="R3" t="str">
        <v>اللون (اختياري / للملابس)</v>
      </c>
      <c r="S3" t="str">
        <v>المقاس (اختياري / للملابس)</v>
      </c>
      <c r="T3" t="str">
        <v>كود التصنيف الضريبي (GS1/EGS)</v>
      </c>
    </row>
    <row r="4">
      <c r="A4">
        <v>1</v>
      </c>
      <c r="B4" t="str">
        <v>مياه معدنية بركة 1.5 لتر</v>
      </c>
      <c r="C4" t="str">
        <v>6221001001016</v>
      </c>
      <c r="D4" t="str">
        <v/>
      </c>
      <c r="E4" t="str">
        <v>قطعة</v>
      </c>
      <c r="F4">
        <v>9</v>
      </c>
      <c r="G4">
        <v>6.5</v>
      </c>
      <c r="H4">
        <v>0</v>
      </c>
      <c r="I4">
        <v>20</v>
      </c>
      <c r="J4">
        <f>F4-G4</f>
        <v>2.5</v>
      </c>
      <c r="K4" s="1">
        <f>IF(G4&gt;0, (F4-G4)/G4, 0)</f>
        <v>0.3846</v>
      </c>
      <c r="L4" s="2">
        <f>H4*G4</f>
        <v>0</v>
      </c>
      <c r="M4" s="2">
        <f>H4*F4</f>
        <v>0</v>
      </c>
      <c r="N4" s="2">
        <f>M4-L4</f>
        <v>0</v>
      </c>
      <c r="O4" t="str">
        <f>IF(H4&lt;=0, "نفد من المخزن", IF(H4&lt;=I4, "قارب على النفاد", "متوفر بالمخزن"))</f>
        <v>نفد من المخزن</v>
      </c>
      <c r="P4">
        <v>0</v>
      </c>
      <c r="Q4" t="str">
        <v>SKU-0076</v>
      </c>
      <c r="R4" t="str">
        <v/>
      </c>
      <c r="S4" t="str">
        <v/>
      </c>
      <c r="T4" t="str">
        <v/>
      </c>
    </row>
    <row r="5">
      <c r="A5">
        <v>2</v>
      </c>
      <c r="B5" t="str">
        <v>مياه معدنية دساني 1.5 لتر</v>
      </c>
      <c r="C5" t="str">
        <v>6221001002013</v>
      </c>
      <c r="D5" t="str">
        <v/>
      </c>
      <c r="E5" t="str">
        <v>قطعة</v>
      </c>
      <c r="F5">
        <v>9</v>
      </c>
      <c r="G5">
        <v>6.5</v>
      </c>
      <c r="H5">
        <v>0</v>
      </c>
      <c r="I5">
        <v>15</v>
      </c>
      <c r="J5">
        <f>F5-G5</f>
        <v>2.5</v>
      </c>
      <c r="K5" s="1">
        <f>IF(G5&gt;0, (F5-G5)/G5, 0)</f>
        <v>0.3846</v>
      </c>
      <c r="L5" s="2">
        <f>H5*G5</f>
        <v>0</v>
      </c>
      <c r="M5" s="2">
        <f>H5*F5</f>
        <v>0</v>
      </c>
      <c r="N5" s="2">
        <f>M5-L5</f>
        <v>0</v>
      </c>
      <c r="O5" t="str">
        <f>IF(H5&lt;=0, "نفد من المخزن", IF(H5&lt;=I5, "قارب على النفاد", "متوفر بالمخزن"))</f>
        <v>نفد من المخزن</v>
      </c>
      <c r="P5">
        <v>0</v>
      </c>
      <c r="Q5" t="str">
        <v>SKU-0077</v>
      </c>
      <c r="R5" t="str">
        <v/>
      </c>
      <c r="S5" t="str">
        <v/>
      </c>
      <c r="T5" t="str">
        <v/>
      </c>
    </row>
    <row r="6">
      <c r="A6">
        <v>3</v>
      </c>
      <c r="B6" t="str">
        <v>مياه معدنية نستله 600 مل</v>
      </c>
      <c r="C6" t="str">
        <v>6221001001023</v>
      </c>
      <c r="D6" t="str">
        <v/>
      </c>
      <c r="E6" t="str">
        <v>قطعة</v>
      </c>
      <c r="F6">
        <v>6</v>
      </c>
      <c r="G6">
        <v>4.2</v>
      </c>
      <c r="H6">
        <v>0</v>
      </c>
      <c r="I6">
        <v>25</v>
      </c>
      <c r="J6">
        <f>F6-G6</f>
        <v>1.8</v>
      </c>
      <c r="K6" s="1">
        <f>IF(G6&gt;0, (F6-G6)/G6, 0)</f>
        <v>0.4286</v>
      </c>
      <c r="L6" s="2">
        <f>H6*G6</f>
        <v>0</v>
      </c>
      <c r="M6" s="2">
        <f>H6*F6</f>
        <v>0</v>
      </c>
      <c r="N6" s="2">
        <f>M6-L6</f>
        <v>0</v>
      </c>
      <c r="O6" t="str">
        <f>IF(H6&lt;=0, "نفد من المخزن", IF(H6&lt;=I6, "قارب على النفاد", "متوفر بالمخزن"))</f>
        <v>نفد من المخزن</v>
      </c>
      <c r="P6">
        <v>0</v>
      </c>
      <c r="Q6" t="str">
        <v>SKU-0078</v>
      </c>
      <c r="R6" t="str">
        <v/>
      </c>
      <c r="S6" t="str">
        <v/>
      </c>
      <c r="T6" t="str">
        <v/>
      </c>
    </row>
    <row r="7">
      <c r="A7">
        <v>4</v>
      </c>
      <c r="B7" t="str">
        <v>مياه معدنية دساني 600 مل</v>
      </c>
      <c r="C7" t="str">
        <v>6221001002020</v>
      </c>
      <c r="D7" t="str">
        <v/>
      </c>
      <c r="E7" t="str">
        <v>قطعة</v>
      </c>
      <c r="F7">
        <v>6</v>
      </c>
      <c r="G7">
        <v>4.2</v>
      </c>
      <c r="H7">
        <v>0</v>
      </c>
      <c r="I7">
        <v>20</v>
      </c>
      <c r="J7">
        <f>F7-G7</f>
        <v>1.8</v>
      </c>
      <c r="K7" s="1">
        <f>IF(G7&gt;0, (F7-G7)/G7, 0)</f>
        <v>0.4286</v>
      </c>
      <c r="L7" s="2">
        <f>H7*G7</f>
        <v>0</v>
      </c>
      <c r="M7" s="2">
        <f>H7*F7</f>
        <v>0</v>
      </c>
      <c r="N7" s="2">
        <f>M7-L7</f>
        <v>0</v>
      </c>
      <c r="O7" t="str">
        <f>IF(H7&lt;=0, "نفد من المخزن", IF(H7&lt;=I7, "قارب على النفاد", "متوفر بالمخزن"))</f>
        <v>نفد من المخزن</v>
      </c>
      <c r="P7">
        <v>0</v>
      </c>
      <c r="Q7" t="str">
        <v>SKU-0079</v>
      </c>
      <c r="R7" t="str">
        <v/>
      </c>
      <c r="S7" t="str">
        <v/>
      </c>
      <c r="T7" t="str">
        <v/>
      </c>
    </row>
    <row r="8">
      <c r="A8">
        <v>5</v>
      </c>
      <c r="B8" t="str">
        <v>كوكاكولا كانز 330 مل</v>
      </c>
      <c r="C8" t="str">
        <v>5449000000996</v>
      </c>
      <c r="D8" t="str">
        <v/>
      </c>
      <c r="E8" t="str">
        <v>قطعة</v>
      </c>
      <c r="F8">
        <v>15</v>
      </c>
      <c r="G8">
        <v>11.8</v>
      </c>
      <c r="H8">
        <v>0</v>
      </c>
      <c r="I8">
        <v>15</v>
      </c>
      <c r="J8">
        <f>F8-G8</f>
        <v>3.2</v>
      </c>
      <c r="K8" s="1">
        <f>IF(G8&gt;0, (F8-G8)/G8, 0)</f>
        <v>0.2712</v>
      </c>
      <c r="L8" s="2">
        <f>H8*G8</f>
        <v>0</v>
      </c>
      <c r="M8" s="2">
        <f>H8*F8</f>
        <v>0</v>
      </c>
      <c r="N8" s="2">
        <f>M8-L8</f>
        <v>0</v>
      </c>
      <c r="O8" t="str">
        <f>IF(H8&lt;=0, "نفد من المخزن", IF(H8&lt;=I8, "قارب على النفاد", "متوفر بالمخزن"))</f>
        <v>نفد من المخزن</v>
      </c>
      <c r="P8">
        <v>0</v>
      </c>
      <c r="Q8" t="str">
        <v>SKU-0080</v>
      </c>
      <c r="R8" t="str">
        <v/>
      </c>
      <c r="S8" t="str">
        <v/>
      </c>
      <c r="T8" t="str">
        <v/>
      </c>
    </row>
    <row r="9">
      <c r="A9">
        <v>6</v>
      </c>
      <c r="B9" t="str">
        <v>كوكاكولا زجاجة 1 لتر</v>
      </c>
      <c r="C9" t="str">
        <v>5449000051233</v>
      </c>
      <c r="D9" t="str">
        <v/>
      </c>
      <c r="E9" t="str">
        <v>قطعة</v>
      </c>
      <c r="F9">
        <v>22</v>
      </c>
      <c r="G9">
        <v>17.5</v>
      </c>
      <c r="H9">
        <v>0</v>
      </c>
      <c r="I9">
        <v>8</v>
      </c>
      <c r="J9">
        <f>F9-G9</f>
        <v>4.5</v>
      </c>
      <c r="K9" s="1">
        <f>IF(G9&gt;0, (F9-G9)/G9, 0)</f>
        <v>0.2571</v>
      </c>
      <c r="L9" s="2">
        <f>H9*G9</f>
        <v>0</v>
      </c>
      <c r="M9" s="2">
        <f>H9*F9</f>
        <v>0</v>
      </c>
      <c r="N9" s="2">
        <f>M9-L9</f>
        <v>0</v>
      </c>
      <c r="O9" t="str">
        <f>IF(H9&lt;=0, "نفد من المخزن", IF(H9&lt;=I9, "قارب على النفاد", "متوفر بالمخزن"))</f>
        <v>نفد من المخزن</v>
      </c>
      <c r="P9">
        <v>0</v>
      </c>
      <c r="Q9" t="str">
        <v>SKU-0081</v>
      </c>
      <c r="R9" t="str">
        <v/>
      </c>
      <c r="S9" t="str">
        <v/>
      </c>
      <c r="T9" t="str">
        <v/>
      </c>
    </row>
    <row r="10">
      <c r="A10">
        <v>7</v>
      </c>
      <c r="B10" t="str">
        <v>كوكاكولا عائلية 2.5 لتر</v>
      </c>
      <c r="C10" t="str">
        <v>5449000131836</v>
      </c>
      <c r="D10" t="str">
        <v/>
      </c>
      <c r="E10" t="str">
        <v>قطعة</v>
      </c>
      <c r="F10">
        <v>38</v>
      </c>
      <c r="G10">
        <v>31</v>
      </c>
      <c r="H10">
        <v>0</v>
      </c>
      <c r="I10">
        <v>7</v>
      </c>
      <c r="J10">
        <f>F10-G10</f>
        <v>7</v>
      </c>
      <c r="K10" s="1">
        <f>IF(G10&gt;0, (F10-G10)/G10, 0)</f>
        <v>0.2258</v>
      </c>
      <c r="L10" s="2">
        <f>H10*G10</f>
        <v>0</v>
      </c>
      <c r="M10" s="2">
        <f>H10*F10</f>
        <v>0</v>
      </c>
      <c r="N10" s="2">
        <f>M10-L10</f>
        <v>0</v>
      </c>
      <c r="O10" t="str">
        <f>IF(H10&lt;=0, "نفد من المخزن", IF(H10&lt;=I10, "قارب على النفاد", "متوفر بالمخزن"))</f>
        <v>نفد من المخزن</v>
      </c>
      <c r="P10">
        <v>0</v>
      </c>
      <c r="Q10" t="str">
        <v>SKU-0082</v>
      </c>
      <c r="R10" t="str">
        <v/>
      </c>
      <c r="S10" t="str">
        <v/>
      </c>
      <c r="T10" t="str">
        <v/>
      </c>
    </row>
    <row r="11">
      <c r="A11">
        <v>8</v>
      </c>
      <c r="B11" t="str">
        <v>بيبسي كانز 330 مل</v>
      </c>
      <c r="C11" t="str">
        <v>4060800108913</v>
      </c>
      <c r="D11" t="str">
        <v/>
      </c>
      <c r="E11" t="str">
        <v>قطعة</v>
      </c>
      <c r="F11">
        <v>15</v>
      </c>
      <c r="G11">
        <v>11.8</v>
      </c>
      <c r="H11">
        <v>0</v>
      </c>
      <c r="I11">
        <v>15</v>
      </c>
      <c r="J11">
        <f>F11-G11</f>
        <v>3.2</v>
      </c>
      <c r="K11" s="1">
        <f>IF(G11&gt;0, (F11-G11)/G11, 0)</f>
        <v>0.2712</v>
      </c>
      <c r="L11" s="2">
        <f>H11*G11</f>
        <v>0</v>
      </c>
      <c r="M11" s="2">
        <f>H11*F11</f>
        <v>0</v>
      </c>
      <c r="N11" s="2">
        <f>M11-L11</f>
        <v>0</v>
      </c>
      <c r="O11" t="str">
        <f>IF(H11&lt;=0, "نفد من المخزن", IF(H11&lt;=I11, "قارب على النفاد", "متوفر بالمخزن"))</f>
        <v>نفد من المخزن</v>
      </c>
      <c r="P11">
        <v>0</v>
      </c>
      <c r="Q11" t="str">
        <v>SKU-0083</v>
      </c>
      <c r="R11" t="str">
        <v/>
      </c>
      <c r="S11" t="str">
        <v/>
      </c>
      <c r="T11" t="str">
        <v/>
      </c>
    </row>
    <row r="12">
      <c r="A12">
        <v>9</v>
      </c>
      <c r="B12" t="str">
        <v>بيبسي زجاجة 1 لتر</v>
      </c>
      <c r="C12" t="str">
        <v>4060800108920</v>
      </c>
      <c r="D12" t="str">
        <v/>
      </c>
      <c r="E12" t="str">
        <v>قطعة</v>
      </c>
      <c r="F12">
        <v>22</v>
      </c>
      <c r="G12">
        <v>17.5</v>
      </c>
      <c r="H12">
        <v>0</v>
      </c>
      <c r="I12">
        <v>8</v>
      </c>
      <c r="J12">
        <f>F12-G12</f>
        <v>4.5</v>
      </c>
      <c r="K12" s="1">
        <f>IF(G12&gt;0, (F12-G12)/G12, 0)</f>
        <v>0.2571</v>
      </c>
      <c r="L12" s="2">
        <f>H12*G12</f>
        <v>0</v>
      </c>
      <c r="M12" s="2">
        <f>H12*F12</f>
        <v>0</v>
      </c>
      <c r="N12" s="2">
        <f>M12-L12</f>
        <v>0</v>
      </c>
      <c r="O12" t="str">
        <f>IF(H12&lt;=0, "نفد من المخزن", IF(H12&lt;=I12, "قارب على النفاد", "متوفر بالمخزن"))</f>
        <v>نفد من المخزن</v>
      </c>
      <c r="P12">
        <v>0</v>
      </c>
      <c r="Q12" t="str">
        <v>SKU-0084</v>
      </c>
      <c r="R12" t="str">
        <v/>
      </c>
      <c r="S12" t="str">
        <v/>
      </c>
      <c r="T12" t="str">
        <v/>
      </c>
    </row>
    <row r="13">
      <c r="A13">
        <v>10</v>
      </c>
      <c r="B13" t="str">
        <v>بيبسي عائلية 2.48 لتر</v>
      </c>
      <c r="C13" t="str">
        <v>4060800108937</v>
      </c>
      <c r="D13" t="str">
        <v/>
      </c>
      <c r="E13" t="str">
        <v>قطعة</v>
      </c>
      <c r="F13">
        <v>38</v>
      </c>
      <c r="G13">
        <v>31</v>
      </c>
      <c r="H13">
        <v>0</v>
      </c>
      <c r="I13">
        <v>7</v>
      </c>
      <c r="J13">
        <f>F13-G13</f>
        <v>7</v>
      </c>
      <c r="K13" s="1">
        <f>IF(G13&gt;0, (F13-G13)/G13, 0)</f>
        <v>0.2258</v>
      </c>
      <c r="L13" s="2">
        <f>H13*G13</f>
        <v>0</v>
      </c>
      <c r="M13" s="2">
        <f>H13*F13</f>
        <v>0</v>
      </c>
      <c r="N13" s="2">
        <f>M13-L13</f>
        <v>0</v>
      </c>
      <c r="O13" t="str">
        <f>IF(H13&lt;=0, "نفد من المخزن", IF(H13&lt;=I13, "قارب على النفاد", "متوفر بالمخزن"))</f>
        <v>نفد من المخزن</v>
      </c>
      <c r="P13">
        <v>0</v>
      </c>
      <c r="Q13" t="str">
        <v>SKU-0085</v>
      </c>
      <c r="R13" t="str">
        <v/>
      </c>
      <c r="S13" t="str">
        <v/>
      </c>
      <c r="T13" t="str">
        <v/>
      </c>
    </row>
    <row r="14">
      <c r="A14">
        <v>11</v>
      </c>
      <c r="B14" t="str">
        <v>سفن أب كانز 330 مل</v>
      </c>
      <c r="C14" t="str">
        <v>4060800108944</v>
      </c>
      <c r="D14" t="str">
        <v/>
      </c>
      <c r="E14" t="str">
        <v>قطعة</v>
      </c>
      <c r="F14">
        <v>15</v>
      </c>
      <c r="G14">
        <v>11.8</v>
      </c>
      <c r="H14">
        <v>0</v>
      </c>
      <c r="I14">
        <v>10</v>
      </c>
      <c r="J14">
        <f>F14-G14</f>
        <v>3.2</v>
      </c>
      <c r="K14" s="1">
        <f>IF(G14&gt;0, (F14-G14)/G14, 0)</f>
        <v>0.2712</v>
      </c>
      <c r="L14" s="2">
        <f>H14*G14</f>
        <v>0</v>
      </c>
      <c r="M14" s="2">
        <f>H14*F14</f>
        <v>0</v>
      </c>
      <c r="N14" s="2">
        <f>M14-L14</f>
        <v>0</v>
      </c>
      <c r="O14" t="str">
        <f>IF(H14&lt;=0, "نفد من المخزن", IF(H14&lt;=I14, "قارب على النفاد", "متوفر بالمخزن"))</f>
        <v>نفد من المخزن</v>
      </c>
      <c r="P14">
        <v>0</v>
      </c>
      <c r="Q14" t="str">
        <v>SKU-0086</v>
      </c>
      <c r="R14" t="str">
        <v/>
      </c>
      <c r="S14" t="str">
        <v/>
      </c>
      <c r="T14" t="str">
        <v/>
      </c>
    </row>
    <row r="15">
      <c r="A15">
        <v>12</v>
      </c>
      <c r="B15" t="str">
        <v>سبرايت كانز 330 مل</v>
      </c>
      <c r="C15" t="str">
        <v>5449000014528</v>
      </c>
      <c r="D15" t="str">
        <v/>
      </c>
      <c r="E15" t="str">
        <v>قطعة</v>
      </c>
      <c r="F15">
        <v>15</v>
      </c>
      <c r="G15">
        <v>11.8</v>
      </c>
      <c r="H15">
        <v>0</v>
      </c>
      <c r="I15">
        <v>10</v>
      </c>
      <c r="J15">
        <f>F15-G15</f>
        <v>3.2</v>
      </c>
      <c r="K15" s="1">
        <f>IF(G15&gt;0, (F15-G15)/G15, 0)</f>
        <v>0.2712</v>
      </c>
      <c r="L15" s="2">
        <f>H15*G15</f>
        <v>0</v>
      </c>
      <c r="M15" s="2">
        <f>H15*F15</f>
        <v>0</v>
      </c>
      <c r="N15" s="2">
        <f>M15-L15</f>
        <v>0</v>
      </c>
      <c r="O15" t="str">
        <f>IF(H15&lt;=0, "نفد من المخزن", IF(H15&lt;=I15, "قارب على النفاد", "متوفر بالمخزن"))</f>
        <v>نفد من المخزن</v>
      </c>
      <c r="P15">
        <v>0</v>
      </c>
      <c r="Q15" t="str">
        <v>SKU-0087</v>
      </c>
      <c r="R15" t="str">
        <v/>
      </c>
      <c r="S15" t="str">
        <v/>
      </c>
      <c r="T15" t="str">
        <v/>
      </c>
    </row>
    <row r="16">
      <c r="A16">
        <v>13</v>
      </c>
      <c r="B16" t="str">
        <v>شويبس رمان كانز 300 مل</v>
      </c>
      <c r="C16" t="str">
        <v>5449000214010</v>
      </c>
      <c r="D16" t="str">
        <v/>
      </c>
      <c r="E16" t="str">
        <v>قطعة</v>
      </c>
      <c r="F16">
        <v>16</v>
      </c>
      <c r="G16">
        <v>12.5</v>
      </c>
      <c r="H16">
        <v>0</v>
      </c>
      <c r="I16">
        <v>8</v>
      </c>
      <c r="J16">
        <f>F16-G16</f>
        <v>3.5</v>
      </c>
      <c r="K16" s="1">
        <f>IF(G16&gt;0, (F16-G16)/G16, 0)</f>
        <v>0.28</v>
      </c>
      <c r="L16" s="2">
        <f>H16*G16</f>
        <v>0</v>
      </c>
      <c r="M16" s="2">
        <f>H16*F16</f>
        <v>0</v>
      </c>
      <c r="N16" s="2">
        <f>M16-L16</f>
        <v>0</v>
      </c>
      <c r="O16" t="str">
        <f>IF(H16&lt;=0, "نفد من المخزن", IF(H16&lt;=I16, "قارب على النفاد", "متوفر بالمخزن"))</f>
        <v>نفد من المخزن</v>
      </c>
      <c r="P16">
        <v>0</v>
      </c>
      <c r="Q16" t="str">
        <v>SKU-0088</v>
      </c>
      <c r="R16" t="str">
        <v/>
      </c>
      <c r="S16" t="str">
        <v/>
      </c>
      <c r="T16" t="str">
        <v/>
      </c>
    </row>
    <row r="17">
      <c r="A17">
        <v>14</v>
      </c>
      <c r="B17" t="str">
        <v>شويبس ليمون نعناع كانز 300 مل</v>
      </c>
      <c r="C17" t="str">
        <v>5449000214027</v>
      </c>
      <c r="D17" t="str">
        <v/>
      </c>
      <c r="E17" t="str">
        <v>قطعة</v>
      </c>
      <c r="F17">
        <v>16</v>
      </c>
      <c r="G17">
        <v>12.5</v>
      </c>
      <c r="H17">
        <v>0</v>
      </c>
      <c r="I17">
        <v>8</v>
      </c>
      <c r="J17">
        <f>F17-G17</f>
        <v>3.5</v>
      </c>
      <c r="K17" s="1">
        <f>IF(G17&gt;0, (F17-G17)/G17, 0)</f>
        <v>0.28</v>
      </c>
      <c r="L17" s="2">
        <f>H17*G17</f>
        <v>0</v>
      </c>
      <c r="M17" s="2">
        <f>H17*F17</f>
        <v>0</v>
      </c>
      <c r="N17" s="2">
        <f>M17-L17</f>
        <v>0</v>
      </c>
      <c r="O17" t="str">
        <f>IF(H17&lt;=0, "نفد من المخزن", IF(H17&lt;=I17, "قارب على النفاد", "متوفر بالمخزن"))</f>
        <v>نفد من المخزن</v>
      </c>
      <c r="P17">
        <v>0</v>
      </c>
      <c r="Q17" t="str">
        <v>SKU-0089</v>
      </c>
      <c r="R17" t="str">
        <v/>
      </c>
      <c r="S17" t="str">
        <v/>
      </c>
      <c r="T17" t="str">
        <v/>
      </c>
    </row>
    <row r="18">
      <c r="A18">
        <v>15</v>
      </c>
      <c r="B18" t="str">
        <v>فيروز شعير أناناس كانز 330 مل</v>
      </c>
      <c r="C18" t="str">
        <v>6221088001015</v>
      </c>
      <c r="D18" t="str">
        <v/>
      </c>
      <c r="E18" t="str">
        <v>قطعة</v>
      </c>
      <c r="F18">
        <v>16</v>
      </c>
      <c r="G18">
        <v>12.5</v>
      </c>
      <c r="H18">
        <v>0</v>
      </c>
      <c r="I18">
        <v>8</v>
      </c>
      <c r="J18">
        <f>F18-G18</f>
        <v>3.5</v>
      </c>
      <c r="K18" s="1">
        <f>IF(G18&gt;0, (F18-G18)/G18, 0)</f>
        <v>0.28</v>
      </c>
      <c r="L18" s="2">
        <f>H18*G18</f>
        <v>0</v>
      </c>
      <c r="M18" s="2">
        <f>H18*F18</f>
        <v>0</v>
      </c>
      <c r="N18" s="2">
        <f>M18-L18</f>
        <v>0</v>
      </c>
      <c r="O18" t="str">
        <f>IF(H18&lt;=0, "نفد من المخزن", IF(H18&lt;=I18, "قارب على النفاد", "متوفر بالمخزن"))</f>
        <v>نفد من المخزن</v>
      </c>
      <c r="P18">
        <v>0</v>
      </c>
      <c r="Q18" t="str">
        <v>SKU-0090</v>
      </c>
      <c r="R18" t="str">
        <v/>
      </c>
      <c r="S18" t="str">
        <v/>
      </c>
      <c r="T18" t="str">
        <v/>
      </c>
    </row>
    <row r="19">
      <c r="A19">
        <v>16</v>
      </c>
      <c r="B19" t="str">
        <v>فيروز شعير تفاح كانز 330 مل</v>
      </c>
      <c r="C19" t="str">
        <v>6221088001022</v>
      </c>
      <c r="D19" t="str">
        <v/>
      </c>
      <c r="E19" t="str">
        <v>قطعة</v>
      </c>
      <c r="F19">
        <v>16</v>
      </c>
      <c r="G19">
        <v>12.5</v>
      </c>
      <c r="H19">
        <v>0</v>
      </c>
      <c r="I19">
        <v>7</v>
      </c>
      <c r="J19">
        <f>F19-G19</f>
        <v>3.5</v>
      </c>
      <c r="K19" s="1">
        <f>IF(G19&gt;0, (F19-G19)/G19, 0)</f>
        <v>0.28</v>
      </c>
      <c r="L19" s="2">
        <f>H19*G19</f>
        <v>0</v>
      </c>
      <c r="M19" s="2">
        <f>H19*F19</f>
        <v>0</v>
      </c>
      <c r="N19" s="2">
        <f>M19-L19</f>
        <v>0</v>
      </c>
      <c r="O19" t="str">
        <f>IF(H19&lt;=0, "نفد من المخزن", IF(H19&lt;=I19, "قارب على النفاد", "متوفر بالمخزن"))</f>
        <v>نفد من المخزن</v>
      </c>
      <c r="P19">
        <v>0</v>
      </c>
      <c r="Q19" t="str">
        <v>SKU-0091</v>
      </c>
      <c r="R19" t="str">
        <v/>
      </c>
      <c r="S19" t="str">
        <v/>
      </c>
      <c r="T19" t="str">
        <v/>
      </c>
    </row>
    <row r="20">
      <c r="A20">
        <v>17</v>
      </c>
      <c r="B20" t="str">
        <v>بيريل شعير كانز 330 مل</v>
      </c>
      <c r="C20" t="str">
        <v>6221088002012</v>
      </c>
      <c r="D20" t="str">
        <v/>
      </c>
      <c r="E20" t="str">
        <v>قطعة</v>
      </c>
      <c r="F20">
        <v>16</v>
      </c>
      <c r="G20">
        <v>12.5</v>
      </c>
      <c r="H20">
        <v>0</v>
      </c>
      <c r="I20">
        <v>8</v>
      </c>
      <c r="J20">
        <f>F20-G20</f>
        <v>3.5</v>
      </c>
      <c r="K20" s="1">
        <f>IF(G20&gt;0, (F20-G20)/G20, 0)</f>
        <v>0.28</v>
      </c>
      <c r="L20" s="2">
        <f>H20*G20</f>
        <v>0</v>
      </c>
      <c r="M20" s="2">
        <f>H20*F20</f>
        <v>0</v>
      </c>
      <c r="N20" s="2">
        <f>M20-L20</f>
        <v>0</v>
      </c>
      <c r="O20" t="str">
        <f>IF(H20&lt;=0, "نفد من المخزن", IF(H20&lt;=I20, "قارب على النفاد", "متوفر بالمخزن"))</f>
        <v>نفد من المخزن</v>
      </c>
      <c r="P20">
        <v>0</v>
      </c>
      <c r="Q20" t="str">
        <v>SKU-0092</v>
      </c>
      <c r="R20" t="str">
        <v/>
      </c>
      <c r="S20" t="str">
        <v/>
      </c>
      <c r="T20" t="str">
        <v/>
      </c>
    </row>
    <row r="21">
      <c r="A21">
        <v>18</v>
      </c>
      <c r="B21" t="str">
        <v>ريد بول مشروب طاقة 250 مل</v>
      </c>
      <c r="C21" t="str">
        <v>9002490100070</v>
      </c>
      <c r="D21" t="str">
        <v/>
      </c>
      <c r="E21" t="str">
        <v>قطعة</v>
      </c>
      <c r="F21">
        <v>45</v>
      </c>
      <c r="G21">
        <v>36</v>
      </c>
      <c r="H21">
        <v>0</v>
      </c>
      <c r="I21">
        <v>4</v>
      </c>
      <c r="J21">
        <f>F21-G21</f>
        <v>9</v>
      </c>
      <c r="K21" s="1">
        <f>IF(G21&gt;0, (F21-G21)/G21, 0)</f>
        <v>0.25</v>
      </c>
      <c r="L21" s="2">
        <f>H21*G21</f>
        <v>0</v>
      </c>
      <c r="M21" s="2">
        <f>H21*F21</f>
        <v>0</v>
      </c>
      <c r="N21" s="2">
        <f>M21-L21</f>
        <v>0</v>
      </c>
      <c r="O21" t="str">
        <f>IF(H21&lt;=0, "نفد من المخزن", IF(H21&lt;=I21, "قارب على النفاد", "متوفر بالمخزن"))</f>
        <v>نفد من المخزن</v>
      </c>
      <c r="P21">
        <v>0</v>
      </c>
      <c r="Q21" t="str">
        <v>SKU-0093</v>
      </c>
      <c r="R21" t="str">
        <v/>
      </c>
      <c r="S21" t="str">
        <v/>
      </c>
      <c r="T21" t="str">
        <v/>
      </c>
    </row>
    <row r="22">
      <c r="A22">
        <v>19</v>
      </c>
      <c r="B22" t="str">
        <v>عصير بيتي مانجو 200 مل</v>
      </c>
      <c r="C22" t="str">
        <v>6222004001010</v>
      </c>
      <c r="D22" t="str">
        <v/>
      </c>
      <c r="E22" t="str">
        <v>قطعة</v>
      </c>
      <c r="F22">
        <v>8</v>
      </c>
      <c r="G22">
        <v>5.8</v>
      </c>
      <c r="H22">
        <v>0</v>
      </c>
      <c r="I22">
        <v>12</v>
      </c>
      <c r="J22">
        <f>F22-G22</f>
        <v>2.2</v>
      </c>
      <c r="K22" s="1">
        <f>IF(G22&gt;0, (F22-G22)/G22, 0)</f>
        <v>0.3793</v>
      </c>
      <c r="L22" s="2">
        <f>H22*G22</f>
        <v>0</v>
      </c>
      <c r="M22" s="2">
        <f>H22*F22</f>
        <v>0</v>
      </c>
      <c r="N22" s="2">
        <f>M22-L22</f>
        <v>0</v>
      </c>
      <c r="O22" t="str">
        <f>IF(H22&lt;=0, "نفد من المخزن", IF(H22&lt;=I22, "قارب على النفاد", "متوفر بالمخزن"))</f>
        <v>نفد من المخزن</v>
      </c>
      <c r="P22">
        <v>0</v>
      </c>
      <c r="Q22" t="str">
        <v>SKU-0094</v>
      </c>
      <c r="R22" t="str">
        <v/>
      </c>
      <c r="S22" t="str">
        <v/>
      </c>
      <c r="T22" t="str">
        <v/>
      </c>
    </row>
    <row r="23">
      <c r="A23">
        <v>20</v>
      </c>
      <c r="B23" t="str">
        <v>عصير بيتي جوافة 200 مل</v>
      </c>
      <c r="C23" t="str">
        <v>6222004001027</v>
      </c>
      <c r="D23" t="str">
        <v/>
      </c>
      <c r="E23" t="str">
        <v>قطعة</v>
      </c>
      <c r="F23">
        <v>8</v>
      </c>
      <c r="G23">
        <v>5.8</v>
      </c>
      <c r="H23">
        <v>0</v>
      </c>
      <c r="I23">
        <v>12</v>
      </c>
      <c r="J23">
        <f>F23-G23</f>
        <v>2.2</v>
      </c>
      <c r="K23" s="1">
        <f>IF(G23&gt;0, (F23-G23)/G23, 0)</f>
        <v>0.3793</v>
      </c>
      <c r="L23" s="2">
        <f>H23*G23</f>
        <v>0</v>
      </c>
      <c r="M23" s="2">
        <f>H23*F23</f>
        <v>0</v>
      </c>
      <c r="N23" s="2">
        <f>M23-L23</f>
        <v>0</v>
      </c>
      <c r="O23" t="str">
        <f>IF(H23&lt;=0, "نفد من المخزن", IF(H23&lt;=I23, "قارب على النفاد", "متوفر بالمخزن"))</f>
        <v>نفد من المخزن</v>
      </c>
      <c r="P23">
        <v>0</v>
      </c>
      <c r="Q23" t="str">
        <v>SKU-0095</v>
      </c>
      <c r="R23" t="str">
        <v/>
      </c>
      <c r="S23" t="str">
        <v/>
      </c>
      <c r="T23" t="str">
        <v/>
      </c>
    </row>
    <row r="24">
      <c r="A24">
        <v>21</v>
      </c>
      <c r="B24" t="str">
        <v>عصير جهينة بيور برتقال 1 لتر</v>
      </c>
      <c r="C24" t="str">
        <v>6222014335532</v>
      </c>
      <c r="D24" t="str">
        <v/>
      </c>
      <c r="E24" t="str">
        <v>قطعة</v>
      </c>
      <c r="F24">
        <v>48</v>
      </c>
      <c r="G24">
        <v>39</v>
      </c>
      <c r="H24">
        <v>0</v>
      </c>
      <c r="I24">
        <v>6</v>
      </c>
      <c r="J24">
        <f>F24-G24</f>
        <v>9</v>
      </c>
      <c r="K24" s="1">
        <f>IF(G24&gt;0, (F24-G24)/G24, 0)</f>
        <v>0.2308</v>
      </c>
      <c r="L24" s="2">
        <f>H24*G24</f>
        <v>0</v>
      </c>
      <c r="M24" s="2">
        <f>H24*F24</f>
        <v>0</v>
      </c>
      <c r="N24" s="2">
        <f>M24-L24</f>
        <v>0</v>
      </c>
      <c r="O24" t="str">
        <f>IF(H24&lt;=0, "نفد من المخزن", IF(H24&lt;=I24, "قارب على النفاد", "متوفر بالمخزن"))</f>
        <v>نفد من المخزن</v>
      </c>
      <c r="P24">
        <v>0</v>
      </c>
      <c r="Q24" t="str">
        <v>SKU-0096</v>
      </c>
      <c r="R24" t="str">
        <v/>
      </c>
      <c r="S24" t="str">
        <v/>
      </c>
      <c r="T24" t="str">
        <v/>
      </c>
    </row>
    <row r="25">
      <c r="A25">
        <v>22</v>
      </c>
      <c r="B25" t="str">
        <v>عصير لمار تفاح 1 لتر</v>
      </c>
      <c r="C25" t="str">
        <v>6224000301019</v>
      </c>
      <c r="D25" t="str">
        <v/>
      </c>
      <c r="E25" t="str">
        <v>قطعة</v>
      </c>
      <c r="F25">
        <v>45</v>
      </c>
      <c r="G25">
        <v>37</v>
      </c>
      <c r="H25">
        <v>0</v>
      </c>
      <c r="I25">
        <v>5</v>
      </c>
      <c r="J25">
        <f>F25-G25</f>
        <v>8</v>
      </c>
      <c r="K25" s="1">
        <f>IF(G25&gt;0, (F25-G25)/G25, 0)</f>
        <v>0.2162</v>
      </c>
      <c r="L25" s="2">
        <f>H25*G25</f>
        <v>0</v>
      </c>
      <c r="M25" s="2">
        <f>H25*F25</f>
        <v>0</v>
      </c>
      <c r="N25" s="2">
        <f>M25-L25</f>
        <v>0</v>
      </c>
      <c r="O25" t="str">
        <f>IF(H25&lt;=0, "نفد من المخزن", IF(H25&lt;=I25, "قارب على النفاد", "متوفر بالمخزن"))</f>
        <v>نفد من المخزن</v>
      </c>
      <c r="P25">
        <v>0</v>
      </c>
      <c r="Q25" t="str">
        <v>SKU-0097</v>
      </c>
      <c r="R25" t="str">
        <v/>
      </c>
      <c r="S25" t="str">
        <v/>
      </c>
      <c r="T25" t="str">
        <v/>
      </c>
    </row>
    <row r="26">
      <c r="A26">
        <v>23</v>
      </c>
      <c r="B26" t="str">
        <v>عصير راني خوخ حبيبات كانز 240 مل</v>
      </c>
      <c r="C26" t="str">
        <v>6281007001014</v>
      </c>
      <c r="D26" t="str">
        <v/>
      </c>
      <c r="E26" t="str">
        <v>قطعة</v>
      </c>
      <c r="F26">
        <v>18</v>
      </c>
      <c r="G26">
        <v>14</v>
      </c>
      <c r="H26">
        <v>0</v>
      </c>
      <c r="I26">
        <v>7</v>
      </c>
      <c r="J26">
        <f>F26-G26</f>
        <v>4</v>
      </c>
      <c r="K26" s="1">
        <f>IF(G26&gt;0, (F26-G26)/G26, 0)</f>
        <v>0.2857</v>
      </c>
      <c r="L26" s="2">
        <f>H26*G26</f>
        <v>0</v>
      </c>
      <c r="M26" s="2">
        <f>H26*F26</f>
        <v>0</v>
      </c>
      <c r="N26" s="2">
        <f>M26-L26</f>
        <v>0</v>
      </c>
      <c r="O26" t="str">
        <f>IF(H26&lt;=0, "نفد من المخزن", IF(H26&lt;=I26, "قارب على النفاد", "متوفر بالمخزن"))</f>
        <v>نفد من المخزن</v>
      </c>
      <c r="P26">
        <v>0</v>
      </c>
      <c r="Q26" t="str">
        <v>SKU-0098</v>
      </c>
      <c r="R26" t="str">
        <v/>
      </c>
      <c r="S26" t="str">
        <v/>
      </c>
      <c r="T26" t="str">
        <v/>
      </c>
    </row>
    <row r="27">
      <c r="A27" t="str">
        <v>الإجمالي</v>
      </c>
      <c r="B27" t="str">
        <v>إجمالي 23 صنف مسجل</v>
      </c>
      <c r="C27" t="str">
        <v/>
      </c>
      <c r="D27" t="str">
        <v/>
      </c>
      <c r="E27" t="str">
        <v/>
      </c>
      <c r="F27" s="2">
        <f>AVERAGE(F4:F26)</f>
      </c>
      <c r="G27" s="2">
        <f>AVERAGE(G4:G26)</f>
      </c>
      <c r="H27" s="3">
        <f>SUM(H4:H26)</f>
      </c>
      <c r="I27" t="str">
        <v/>
      </c>
      <c r="J27" s="2">
        <f>AVERAGE(J4:J26)</f>
      </c>
      <c r="K27" s="1">
        <f>IF(L27&gt;0, N27/L27, 0)</f>
      </c>
      <c r="L27" s="2">
        <f>SUM(L4:L26)</f>
      </c>
      <c r="M27" s="2">
        <f>SUM(M4:M26)</f>
      </c>
      <c r="N27" s="2">
        <f>SUM(N4:N26)</f>
      </c>
      <c r="O27" t="str">
        <v>محسوب بمعادلات إكسل</v>
      </c>
      <c r="P27" t="str">
        <v/>
      </c>
      <c r="Q27" t="str">
        <v/>
      </c>
      <c r="R27" t="str">
        <v/>
      </c>
      <c r="S27" t="str">
        <v/>
      </c>
      <c r="T27" t="str">
        <v/>
      </c>
    </row>
  </sheetData>
  <mergeCells count="2">
    <mergeCell ref="A1:T1"/>
    <mergeCell ref="A2:T2"/>
  </mergeCells>
  <ignoredErrors>
    <ignoredError numberStoredAsText="1" sqref="A1:T27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T26"/>
  <sheetViews>
    <sheetView workbookViewId="0"/>
  </sheetViews>
  <cols>
    <col min="1" max="1" width="6.83203125" customWidth="1"/>
    <col min="2" max="2" width="38.83203125" customWidth="1"/>
    <col min="3" max="3" width="20.83203125" customWidth="1"/>
    <col min="4" max="4" width="24.83203125" customWidth="1"/>
    <col min="5" max="5" width="14.83203125" customWidth="1"/>
    <col min="6" max="6" width="16.83203125" customWidth="1"/>
    <col min="7" max="7" width="16.83203125" customWidth="1"/>
    <col min="8" max="8" width="16.83203125" customWidth="1"/>
    <col min="9" max="9" width="16.83203125" customWidth="1"/>
    <col min="10" max="10" width="18.83203125" customWidth="1"/>
    <col min="11" max="11" width="15.83203125" customWidth="1"/>
    <col min="12" max="12" width="22.83203125" customWidth="1"/>
    <col min="13" max="13" width="22.83203125" customWidth="1"/>
    <col min="14" max="14" width="22.83203125" customWidth="1"/>
    <col min="15" max="15" width="18.83203125" customWidth="1"/>
    <col min="16" max="16" width="14.83203125" customWidth="1"/>
    <col min="17" max="17" width="20.83203125" customWidth="1"/>
    <col min="18" max="18" width="18.83203125" customWidth="1"/>
    <col min="19" max="19" width="18.83203125" customWidth="1"/>
    <col min="20" max="20" width="22.83203125" customWidth="1"/>
  </cols>
  <sheetData>
    <row r="1">
      <c r="A1" t="str">
        <v>رفيق POS - قائمة أصناف قسم: [بسكويت وحلويات]</v>
      </c>
    </row>
    <row r="2">
      <c r="A2" t="str">
        <v>تعليمات هامة: الأعمدة المميزة بنجمة (*) إلزامية | اسم التابة يمثل القسم تلقائياً | المبالغ بالجنيه المصري | الأعمدة الملونة تحتوي على معادلات إكسل تتحدث تلقائياً</v>
      </c>
    </row>
    <row r="3">
      <c r="A3" t="str">
        <v>م</v>
      </c>
      <c r="B3" t="str">
        <v>اسم الصنف *</v>
      </c>
      <c r="C3" t="str">
        <v>الباركود الرئيسي</v>
      </c>
      <c r="D3" t="str">
        <v>باركودات إضافية (مفصولة بفاصلة)</v>
      </c>
      <c r="E3" t="str">
        <v>الوحدة (قطعة / كجم)</v>
      </c>
      <c r="F3" t="str">
        <v>سعر البيع (بالجنيه) *</v>
      </c>
      <c r="G3" t="str">
        <v>سعر التكلفة (بالجنيه)</v>
      </c>
      <c r="H3" t="str">
        <v>الرصيد الافتتاحي</v>
      </c>
      <c r="I3" t="str">
        <v>حد الطلب الأدنى</v>
      </c>
      <c r="J3" t="str">
        <v>هامش الربح للقطعة (ج.م)</v>
      </c>
      <c r="K3" t="str">
        <v>نسبة الربح (%)</v>
      </c>
      <c r="L3" t="str">
        <v>إجمالي قيمة التكلفة (ج.م)</v>
      </c>
      <c r="M3" t="str">
        <v>إجمالي القيمة البيعية (ج.م)</v>
      </c>
      <c r="N3" t="str">
        <v>إجمالي الربح المتوقع (ج.م)</v>
      </c>
      <c r="O3" t="str">
        <v>حالة المخزون التلقائية</v>
      </c>
      <c r="P3" t="str">
        <v>نسبة الضريبة (%)</v>
      </c>
      <c r="Q3" t="str">
        <v>كود الصنف الداخلي (SKU)</v>
      </c>
      <c r="R3" t="str">
        <v>اللون (اختياري / للملابس)</v>
      </c>
      <c r="S3" t="str">
        <v>المقاس (اختياري / للملابس)</v>
      </c>
      <c r="T3" t="str">
        <v>كود التصنيف الضريبي (GS1/EGS)</v>
      </c>
    </row>
    <row r="4">
      <c r="A4">
        <v>1</v>
      </c>
      <c r="B4" t="str">
        <v>شيبسي بطاطس عائلي طماطم 85 جم</v>
      </c>
      <c r="C4" t="str">
        <v>6221044001011</v>
      </c>
      <c r="D4" t="str">
        <v/>
      </c>
      <c r="E4" t="str">
        <v>قطعة</v>
      </c>
      <c r="F4">
        <v>15</v>
      </c>
      <c r="G4">
        <v>11.8</v>
      </c>
      <c r="H4">
        <v>0</v>
      </c>
      <c r="I4">
        <v>12</v>
      </c>
      <c r="J4">
        <f>F4-G4</f>
        <v>3.2</v>
      </c>
      <c r="K4" s="1">
        <f>IF(G4&gt;0, (F4-G4)/G4, 0)</f>
        <v>0.2712</v>
      </c>
      <c r="L4" s="2">
        <f>H4*G4</f>
        <v>0</v>
      </c>
      <c r="M4" s="2">
        <f>H4*F4</f>
        <v>0</v>
      </c>
      <c r="N4" s="2">
        <f>M4-L4</f>
        <v>0</v>
      </c>
      <c r="O4" t="str">
        <f>IF(H4&lt;=0, "نفد من المخزن", IF(H4&lt;=I4, "قارب على النفاد", "متوفر بالمخزن"))</f>
        <v>نفد من المخزن</v>
      </c>
      <c r="P4">
        <v>0</v>
      </c>
      <c r="Q4" t="str">
        <v>SKU-0099</v>
      </c>
      <c r="R4" t="str">
        <v/>
      </c>
      <c r="S4" t="str">
        <v/>
      </c>
      <c r="T4" t="str">
        <v/>
      </c>
    </row>
    <row r="5">
      <c r="A5">
        <v>2</v>
      </c>
      <c r="B5" t="str">
        <v>شيبسي بطاطس عائلي جبنة متبلة 85 جم</v>
      </c>
      <c r="C5" t="str">
        <v>6221044001028</v>
      </c>
      <c r="D5" t="str">
        <v/>
      </c>
      <c r="E5" t="str">
        <v>قطعة</v>
      </c>
      <c r="F5">
        <v>15</v>
      </c>
      <c r="G5">
        <v>11.8</v>
      </c>
      <c r="H5">
        <v>0</v>
      </c>
      <c r="I5">
        <v>12</v>
      </c>
      <c r="J5">
        <f>F5-G5</f>
        <v>3.2</v>
      </c>
      <c r="K5" s="1">
        <f>IF(G5&gt;0, (F5-G5)/G5, 0)</f>
        <v>0.2712</v>
      </c>
      <c r="L5" s="2">
        <f>H5*G5</f>
        <v>0</v>
      </c>
      <c r="M5" s="2">
        <f>H5*F5</f>
        <v>0</v>
      </c>
      <c r="N5" s="2">
        <f>M5-L5</f>
        <v>0</v>
      </c>
      <c r="O5" t="str">
        <f>IF(H5&lt;=0, "نفد من المخزن", IF(H5&lt;=I5, "قارب على النفاد", "متوفر بالمخزن"))</f>
        <v>نفد من المخزن</v>
      </c>
      <c r="P5">
        <v>0</v>
      </c>
      <c r="Q5" t="str">
        <v>SKU-0100</v>
      </c>
      <c r="R5" t="str">
        <v/>
      </c>
      <c r="S5" t="str">
        <v/>
      </c>
      <c r="T5" t="str">
        <v/>
      </c>
    </row>
    <row r="6">
      <c r="A6">
        <v>3</v>
      </c>
      <c r="B6" t="str">
        <v>شيبسي بطاطس عائلي شطة وليمون 85 جم</v>
      </c>
      <c r="C6" t="str">
        <v>6221044001035</v>
      </c>
      <c r="D6" t="str">
        <v/>
      </c>
      <c r="E6" t="str">
        <v>قطعة</v>
      </c>
      <c r="F6">
        <v>15</v>
      </c>
      <c r="G6">
        <v>11.8</v>
      </c>
      <c r="H6">
        <v>0</v>
      </c>
      <c r="I6">
        <v>12</v>
      </c>
      <c r="J6">
        <f>F6-G6</f>
        <v>3.2</v>
      </c>
      <c r="K6" s="1">
        <f>IF(G6&gt;0, (F6-G6)/G6, 0)</f>
        <v>0.2712</v>
      </c>
      <c r="L6" s="2">
        <f>H6*G6</f>
        <v>0</v>
      </c>
      <c r="M6" s="2">
        <f>H6*F6</f>
        <v>0</v>
      </c>
      <c r="N6" s="2">
        <f>M6-L6</f>
        <v>0</v>
      </c>
      <c r="O6" t="str">
        <f>IF(H6&lt;=0, "نفد من المخزن", IF(H6&lt;=I6, "قارب على النفاد", "متوفر بالمخزن"))</f>
        <v>نفد من المخزن</v>
      </c>
      <c r="P6">
        <v>0</v>
      </c>
      <c r="Q6" t="str">
        <v>SKU-0101</v>
      </c>
      <c r="R6" t="str">
        <v/>
      </c>
      <c r="S6" t="str">
        <v/>
      </c>
      <c r="T6" t="str">
        <v/>
      </c>
    </row>
    <row r="7">
      <c r="A7">
        <v>4</v>
      </c>
      <c r="B7" t="str">
        <v>دوريتوس جبنة ناتشو 75 جم</v>
      </c>
      <c r="C7" t="str">
        <v>6221044002018</v>
      </c>
      <c r="D7" t="str">
        <v/>
      </c>
      <c r="E7" t="str">
        <v>قطعة</v>
      </c>
      <c r="F7">
        <v>15</v>
      </c>
      <c r="G7">
        <v>11.8</v>
      </c>
      <c r="H7">
        <v>0</v>
      </c>
      <c r="I7">
        <v>10</v>
      </c>
      <c r="J7">
        <f>F7-G7</f>
        <v>3.2</v>
      </c>
      <c r="K7" s="1">
        <f>IF(G7&gt;0, (F7-G7)/G7, 0)</f>
        <v>0.2712</v>
      </c>
      <c r="L7" s="2">
        <f>H7*G7</f>
        <v>0</v>
      </c>
      <c r="M7" s="2">
        <f>H7*F7</f>
        <v>0</v>
      </c>
      <c r="N7" s="2">
        <f>M7-L7</f>
        <v>0</v>
      </c>
      <c r="O7" t="str">
        <f>IF(H7&lt;=0, "نفد من المخزن", IF(H7&lt;=I7, "قارب على النفاد", "متوفر بالمخزن"))</f>
        <v>نفد من المخزن</v>
      </c>
      <c r="P7">
        <v>0</v>
      </c>
      <c r="Q7" t="str">
        <v>SKU-0102</v>
      </c>
      <c r="R7" t="str">
        <v/>
      </c>
      <c r="S7" t="str">
        <v/>
      </c>
      <c r="T7" t="str">
        <v/>
      </c>
    </row>
    <row r="8">
      <c r="A8">
        <v>5</v>
      </c>
      <c r="B8" t="str">
        <v>دوريتوس حار حلو 75 جم</v>
      </c>
      <c r="C8" t="str">
        <v>6221044002025</v>
      </c>
      <c r="D8" t="str">
        <v/>
      </c>
      <c r="E8" t="str">
        <v>قطعة</v>
      </c>
      <c r="F8">
        <v>15</v>
      </c>
      <c r="G8">
        <v>11.8</v>
      </c>
      <c r="H8">
        <v>0</v>
      </c>
      <c r="I8">
        <v>10</v>
      </c>
      <c r="J8">
        <f>F8-G8</f>
        <v>3.2</v>
      </c>
      <c r="K8" s="1">
        <f>IF(G8&gt;0, (F8-G8)/G8, 0)</f>
        <v>0.2712</v>
      </c>
      <c r="L8" s="2">
        <f>H8*G8</f>
        <v>0</v>
      </c>
      <c r="M8" s="2">
        <f>H8*F8</f>
        <v>0</v>
      </c>
      <c r="N8" s="2">
        <f>M8-L8</f>
        <v>0</v>
      </c>
      <c r="O8" t="str">
        <f>IF(H8&lt;=0, "نفد من المخزن", IF(H8&lt;=I8, "قارب على النفاد", "متوفر بالمخزن"))</f>
        <v>نفد من المخزن</v>
      </c>
      <c r="P8">
        <v>0</v>
      </c>
      <c r="Q8" t="str">
        <v>SKU-0103</v>
      </c>
      <c r="R8" t="str">
        <v/>
      </c>
      <c r="S8" t="str">
        <v/>
      </c>
      <c r="T8" t="str">
        <v/>
      </c>
    </row>
    <row r="9">
      <c r="A9">
        <v>6</v>
      </c>
      <c r="B9" t="str">
        <v>شيتوس كاتشب 55 جم</v>
      </c>
      <c r="C9" t="str">
        <v>6221044003015</v>
      </c>
      <c r="D9" t="str">
        <v/>
      </c>
      <c r="E9" t="str">
        <v>قطعة</v>
      </c>
      <c r="F9">
        <v>10</v>
      </c>
      <c r="G9">
        <v>7.6</v>
      </c>
      <c r="H9">
        <v>0</v>
      </c>
      <c r="I9">
        <v>10</v>
      </c>
      <c r="J9">
        <f>F9-G9</f>
        <v>2.4</v>
      </c>
      <c r="K9" s="1">
        <f>IF(G9&gt;0, (F9-G9)/G9, 0)</f>
        <v>0.3158</v>
      </c>
      <c r="L9" s="2">
        <f>H9*G9</f>
        <v>0</v>
      </c>
      <c r="M9" s="2">
        <f>H9*F9</f>
        <v>0</v>
      </c>
      <c r="N9" s="2">
        <f>M9-L9</f>
        <v>0</v>
      </c>
      <c r="O9" t="str">
        <f>IF(H9&lt;=0, "نفد من المخزن", IF(H9&lt;=I9, "قارب على النفاد", "متوفر بالمخزن"))</f>
        <v>نفد من المخزن</v>
      </c>
      <c r="P9">
        <v>0</v>
      </c>
      <c r="Q9" t="str">
        <v>SKU-0104</v>
      </c>
      <c r="R9" t="str">
        <v/>
      </c>
      <c r="S9" t="str">
        <v/>
      </c>
      <c r="T9" t="str">
        <v/>
      </c>
    </row>
    <row r="10">
      <c r="A10">
        <v>7</v>
      </c>
      <c r="B10" t="str">
        <v>كرانشي جبنة 60 جم</v>
      </c>
      <c r="C10" t="str">
        <v>6221044004012</v>
      </c>
      <c r="D10" t="str">
        <v/>
      </c>
      <c r="E10" t="str">
        <v>قطعة</v>
      </c>
      <c r="F10">
        <v>10</v>
      </c>
      <c r="G10">
        <v>7.6</v>
      </c>
      <c r="H10">
        <v>0</v>
      </c>
      <c r="I10">
        <v>10</v>
      </c>
      <c r="J10">
        <f>F10-G10</f>
        <v>2.4</v>
      </c>
      <c r="K10" s="1">
        <f>IF(G10&gt;0, (F10-G10)/G10, 0)</f>
        <v>0.3158</v>
      </c>
      <c r="L10" s="2">
        <f>H10*G10</f>
        <v>0</v>
      </c>
      <c r="M10" s="2">
        <f>H10*F10</f>
        <v>0</v>
      </c>
      <c r="N10" s="2">
        <f>M10-L10</f>
        <v>0</v>
      </c>
      <c r="O10" t="str">
        <f>IF(H10&lt;=0, "نفد من المخزن", IF(H10&lt;=I10, "قارب على النفاد", "متوفر بالمخزن"))</f>
        <v>نفد من المخزن</v>
      </c>
      <c r="P10">
        <v>0</v>
      </c>
      <c r="Q10" t="str">
        <v>SKU-0105</v>
      </c>
      <c r="R10" t="str">
        <v/>
      </c>
      <c r="S10" t="str">
        <v/>
      </c>
      <c r="T10" t="str">
        <v/>
      </c>
    </row>
    <row r="11">
      <c r="A11">
        <v>8</v>
      </c>
      <c r="B11" t="str">
        <v>تايجر بطاطس شطة وليمون 60 جم</v>
      </c>
      <c r="C11" t="str">
        <v>6221044005019</v>
      </c>
      <c r="D11" t="str">
        <v/>
      </c>
      <c r="E11" t="str">
        <v>قطعة</v>
      </c>
      <c r="F11">
        <v>10</v>
      </c>
      <c r="G11">
        <v>7.6</v>
      </c>
      <c r="H11">
        <v>0</v>
      </c>
      <c r="I11">
        <v>10</v>
      </c>
      <c r="J11">
        <f>F11-G11</f>
        <v>2.4</v>
      </c>
      <c r="K11" s="1">
        <f>IF(G11&gt;0, (F11-G11)/G11, 0)</f>
        <v>0.3158</v>
      </c>
      <c r="L11" s="2">
        <f>H11*G11</f>
        <v>0</v>
      </c>
      <c r="M11" s="2">
        <f>H11*F11</f>
        <v>0</v>
      </c>
      <c r="N11" s="2">
        <f>M11-L11</f>
        <v>0</v>
      </c>
      <c r="O11" t="str">
        <f>IF(H11&lt;=0, "نفد من المخزن", IF(H11&lt;=I11, "قارب على النفاد", "متوفر بالمخزن"))</f>
        <v>نفد من المخزن</v>
      </c>
      <c r="P11">
        <v>0</v>
      </c>
      <c r="Q11" t="str">
        <v>SKU-0106</v>
      </c>
      <c r="R11" t="str">
        <v/>
      </c>
      <c r="S11" t="str">
        <v/>
      </c>
      <c r="T11" t="str">
        <v/>
      </c>
    </row>
    <row r="12">
      <c r="A12">
        <v>9</v>
      </c>
      <c r="B12" t="str">
        <v>بسكويت أوريو كلاسيك 6 قطع</v>
      </c>
      <c r="C12" t="str">
        <v>7622210010018</v>
      </c>
      <c r="D12" t="str">
        <v/>
      </c>
      <c r="E12" t="str">
        <v>قطعة</v>
      </c>
      <c r="F12">
        <v>10</v>
      </c>
      <c r="G12">
        <v>7.8</v>
      </c>
      <c r="H12">
        <v>0</v>
      </c>
      <c r="I12">
        <v>15</v>
      </c>
      <c r="J12">
        <f>F12-G12</f>
        <v>2.2</v>
      </c>
      <c r="K12" s="1">
        <f>IF(G12&gt;0, (F12-G12)/G12, 0)</f>
        <v>0.2821</v>
      </c>
      <c r="L12" s="2">
        <f>H12*G12</f>
        <v>0</v>
      </c>
      <c r="M12" s="2">
        <f>H12*F12</f>
        <v>0</v>
      </c>
      <c r="N12" s="2">
        <f>M12-L12</f>
        <v>0</v>
      </c>
      <c r="O12" t="str">
        <f>IF(H12&lt;=0, "نفد من المخزن", IF(H12&lt;=I12, "قارب على النفاد", "متوفر بالمخزن"))</f>
        <v>نفد من المخزن</v>
      </c>
      <c r="P12">
        <v>0</v>
      </c>
      <c r="Q12" t="str">
        <v>SKU-0107</v>
      </c>
      <c r="R12" t="str">
        <v/>
      </c>
      <c r="S12" t="str">
        <v/>
      </c>
      <c r="T12" t="str">
        <v/>
      </c>
    </row>
    <row r="13">
      <c r="A13">
        <v>10</v>
      </c>
      <c r="B13" t="str">
        <v>بسكويت بوريو كلاسيك 6 قطع</v>
      </c>
      <c r="C13" t="str">
        <v>6221155030016</v>
      </c>
      <c r="D13" t="str">
        <v/>
      </c>
      <c r="E13" t="str">
        <v>قطعة</v>
      </c>
      <c r="F13">
        <v>10</v>
      </c>
      <c r="G13">
        <v>7.8</v>
      </c>
      <c r="H13">
        <v>0</v>
      </c>
      <c r="I13">
        <v>12</v>
      </c>
      <c r="J13">
        <f>F13-G13</f>
        <v>2.2</v>
      </c>
      <c r="K13" s="1">
        <f>IF(G13&gt;0, (F13-G13)/G13, 0)</f>
        <v>0.2821</v>
      </c>
      <c r="L13" s="2">
        <f>H13*G13</f>
        <v>0</v>
      </c>
      <c r="M13" s="2">
        <f>H13*F13</f>
        <v>0</v>
      </c>
      <c r="N13" s="2">
        <f>M13-L13</f>
        <v>0</v>
      </c>
      <c r="O13" t="str">
        <f>IF(H13&lt;=0, "نفد من المخزن", IF(H13&lt;=I13, "قارب على النفاد", "متوفر بالمخزن"))</f>
        <v>نفد من المخزن</v>
      </c>
      <c r="P13">
        <v>0</v>
      </c>
      <c r="Q13" t="str">
        <v>SKU-0108</v>
      </c>
      <c r="R13" t="str">
        <v/>
      </c>
      <c r="S13" t="str">
        <v/>
      </c>
      <c r="T13" t="str">
        <v/>
      </c>
    </row>
    <row r="14">
      <c r="A14">
        <v>11</v>
      </c>
      <c r="B14" t="str">
        <v>بسكويت أولكر شاي سادة 12 قطعة</v>
      </c>
      <c r="C14" t="str">
        <v>6221060001019</v>
      </c>
      <c r="D14" t="str">
        <v/>
      </c>
      <c r="E14" t="str">
        <v>قطعة</v>
      </c>
      <c r="F14">
        <v>7</v>
      </c>
      <c r="G14">
        <v>5.2</v>
      </c>
      <c r="H14">
        <v>0</v>
      </c>
      <c r="I14">
        <v>15</v>
      </c>
      <c r="J14">
        <f>F14-G14</f>
        <v>1.8</v>
      </c>
      <c r="K14" s="1">
        <f>IF(G14&gt;0, (F14-G14)/G14, 0)</f>
        <v>0.3462</v>
      </c>
      <c r="L14" s="2">
        <f>H14*G14</f>
        <v>0</v>
      </c>
      <c r="M14" s="2">
        <f>H14*F14</f>
        <v>0</v>
      </c>
      <c r="N14" s="2">
        <f>M14-L14</f>
        <v>0</v>
      </c>
      <c r="O14" t="str">
        <f>IF(H14&lt;=0, "نفد من المخزن", IF(H14&lt;=I14, "قارب على النفاد", "متوفر بالمخزن"))</f>
        <v>نفد من المخزن</v>
      </c>
      <c r="P14">
        <v>0</v>
      </c>
      <c r="Q14" t="str">
        <v>SKU-0109</v>
      </c>
      <c r="R14" t="str">
        <v/>
      </c>
      <c r="S14" t="str">
        <v/>
      </c>
      <c r="T14" t="str">
        <v/>
      </c>
    </row>
    <row r="15">
      <c r="A15">
        <v>12</v>
      </c>
      <c r="B15" t="str">
        <v>بسكويت لوكس شاي 12 قطعة</v>
      </c>
      <c r="C15" t="str">
        <v>6221155040015</v>
      </c>
      <c r="D15" t="str">
        <v/>
      </c>
      <c r="E15" t="str">
        <v>قطعة</v>
      </c>
      <c r="F15">
        <v>6</v>
      </c>
      <c r="G15">
        <v>4.4</v>
      </c>
      <c r="H15">
        <v>0</v>
      </c>
      <c r="I15">
        <v>15</v>
      </c>
      <c r="J15">
        <f>F15-G15</f>
        <v>1.6</v>
      </c>
      <c r="K15" s="1">
        <f>IF(G15&gt;0, (F15-G15)/G15, 0)</f>
        <v>0.3636</v>
      </c>
      <c r="L15" s="2">
        <f>H15*G15</f>
        <v>0</v>
      </c>
      <c r="M15" s="2">
        <f>H15*F15</f>
        <v>0</v>
      </c>
      <c r="N15" s="2">
        <f>M15-L15</f>
        <v>0</v>
      </c>
      <c r="O15" t="str">
        <f>IF(H15&lt;=0, "نفد من المخزن", IF(H15&lt;=I15, "قارب على النفاد", "متوفر بالمخزن"))</f>
        <v>نفد من المخزن</v>
      </c>
      <c r="P15">
        <v>0</v>
      </c>
      <c r="Q15" t="str">
        <v>SKU-0110</v>
      </c>
      <c r="R15" t="str">
        <v/>
      </c>
      <c r="S15" t="str">
        <v/>
      </c>
      <c r="T15" t="str">
        <v/>
      </c>
    </row>
    <row r="16">
      <c r="A16">
        <v>13</v>
      </c>
      <c r="B16" t="str">
        <v>كيكة هوز فانيليا وشيكولاتة</v>
      </c>
      <c r="C16" t="str">
        <v>6221077001019</v>
      </c>
      <c r="D16" t="str">
        <v/>
      </c>
      <c r="E16" t="str">
        <v>قطعة</v>
      </c>
      <c r="F16">
        <v>8</v>
      </c>
      <c r="G16">
        <v>5.8</v>
      </c>
      <c r="H16">
        <v>0</v>
      </c>
      <c r="I16">
        <v>10</v>
      </c>
      <c r="J16">
        <f>F16-G16</f>
        <v>2.2</v>
      </c>
      <c r="K16" s="1">
        <f>IF(G16&gt;0, (F16-G16)/G16, 0)</f>
        <v>0.3793</v>
      </c>
      <c r="L16" s="2">
        <f>H16*G16</f>
        <v>0</v>
      </c>
      <c r="M16" s="2">
        <f>H16*F16</f>
        <v>0</v>
      </c>
      <c r="N16" s="2">
        <f>M16-L16</f>
        <v>0</v>
      </c>
      <c r="O16" t="str">
        <f>IF(H16&lt;=0, "نفد من المخزن", IF(H16&lt;=I16, "قارب على النفاد", "متوفر بالمخزن"))</f>
        <v>نفد من المخزن</v>
      </c>
      <c r="P16">
        <v>0</v>
      </c>
      <c r="Q16" t="str">
        <v>SKU-0111</v>
      </c>
      <c r="R16" t="str">
        <v/>
      </c>
      <c r="S16" t="str">
        <v/>
      </c>
      <c r="T16" t="str">
        <v/>
      </c>
    </row>
    <row r="17">
      <c r="A17">
        <v>14</v>
      </c>
      <c r="B17" t="str">
        <v>كيكة توينكيز كريمة</v>
      </c>
      <c r="C17" t="str">
        <v>6221077002016</v>
      </c>
      <c r="D17" t="str">
        <v/>
      </c>
      <c r="E17" t="str">
        <v>قطعة</v>
      </c>
      <c r="F17">
        <v>8</v>
      </c>
      <c r="G17">
        <v>5.8</v>
      </c>
      <c r="H17">
        <v>0</v>
      </c>
      <c r="I17">
        <v>10</v>
      </c>
      <c r="J17">
        <f>F17-G17</f>
        <v>2.2</v>
      </c>
      <c r="K17" s="1">
        <f>IF(G17&gt;0, (F17-G17)/G17, 0)</f>
        <v>0.3793</v>
      </c>
      <c r="L17" s="2">
        <f>H17*G17</f>
        <v>0</v>
      </c>
      <c r="M17" s="2">
        <f>H17*F17</f>
        <v>0</v>
      </c>
      <c r="N17" s="2">
        <f>M17-L17</f>
        <v>0</v>
      </c>
      <c r="O17" t="str">
        <f>IF(H17&lt;=0, "نفد من المخزن", IF(H17&lt;=I17, "قارب على النفاد", "متوفر بالمخزن"))</f>
        <v>نفد من المخزن</v>
      </c>
      <c r="P17">
        <v>0</v>
      </c>
      <c r="Q17" t="str">
        <v>SKU-0112</v>
      </c>
      <c r="R17" t="str">
        <v/>
      </c>
      <c r="S17" t="str">
        <v/>
      </c>
      <c r="T17" t="str">
        <v/>
      </c>
    </row>
    <row r="18">
      <c r="A18">
        <v>15</v>
      </c>
      <c r="B18" t="str">
        <v>مولتو XXL شيكولاتة وبندق</v>
      </c>
      <c r="C18" t="str">
        <v>6223000553855</v>
      </c>
      <c r="D18" t="str">
        <v/>
      </c>
      <c r="E18" t="str">
        <v>قطعة</v>
      </c>
      <c r="F18">
        <v>15</v>
      </c>
      <c r="G18">
        <v>11.5</v>
      </c>
      <c r="H18">
        <v>0</v>
      </c>
      <c r="I18">
        <v>12</v>
      </c>
      <c r="J18">
        <f>F18-G18</f>
        <v>3.5</v>
      </c>
      <c r="K18" s="1">
        <f>IF(G18&gt;0, (F18-G18)/G18, 0)</f>
        <v>0.3043</v>
      </c>
      <c r="L18" s="2">
        <f>H18*G18</f>
        <v>0</v>
      </c>
      <c r="M18" s="2">
        <f>H18*F18</f>
        <v>0</v>
      </c>
      <c r="N18" s="2">
        <f>M18-L18</f>
        <v>0</v>
      </c>
      <c r="O18" t="str">
        <f>IF(H18&lt;=0, "نفد من المخزن", IF(H18&lt;=I18, "قارب على النفاد", "متوفر بالمخزن"))</f>
        <v>نفد من المخزن</v>
      </c>
      <c r="P18">
        <v>0</v>
      </c>
      <c r="Q18" t="str">
        <v>SKU-0113</v>
      </c>
      <c r="R18" t="str">
        <v/>
      </c>
      <c r="S18" t="str">
        <v/>
      </c>
      <c r="T18" t="str">
        <v/>
      </c>
    </row>
    <row r="19">
      <c r="A19">
        <v>16</v>
      </c>
      <c r="B19" t="str">
        <v>مولتو ميني كيس شيكولاتة</v>
      </c>
      <c r="C19" t="str">
        <v>6223000491294</v>
      </c>
      <c r="D19" t="str">
        <v/>
      </c>
      <c r="E19" t="str">
        <v>قطعة</v>
      </c>
      <c r="F19">
        <v>18</v>
      </c>
      <c r="G19">
        <v>14</v>
      </c>
      <c r="H19">
        <v>0</v>
      </c>
      <c r="I19">
        <v>10</v>
      </c>
      <c r="J19">
        <f>F19-G19</f>
        <v>4</v>
      </c>
      <c r="K19" s="1">
        <f>IF(G19&gt;0, (F19-G19)/G19, 0)</f>
        <v>0.2857</v>
      </c>
      <c r="L19" s="2">
        <f>H19*G19</f>
        <v>0</v>
      </c>
      <c r="M19" s="2">
        <f>H19*F19</f>
        <v>0</v>
      </c>
      <c r="N19" s="2">
        <f>M19-L19</f>
        <v>0</v>
      </c>
      <c r="O19" t="str">
        <f>IF(H19&lt;=0, "نفد من المخزن", IF(H19&lt;=I19, "قارب على النفاد", "متوفر بالمخزن"))</f>
        <v>نفد من المخزن</v>
      </c>
      <c r="P19">
        <v>0</v>
      </c>
      <c r="Q19" t="str">
        <v>SKU-0114</v>
      </c>
      <c r="R19" t="str">
        <v/>
      </c>
      <c r="S19" t="str">
        <v/>
      </c>
      <c r="T19" t="str">
        <v/>
      </c>
    </row>
    <row r="20">
      <c r="A20">
        <v>17</v>
      </c>
      <c r="B20" t="str">
        <v>شيكولاتة جالاكسي ناعمة بالحليب 40 جم</v>
      </c>
      <c r="C20" t="str">
        <v>5000159461122</v>
      </c>
      <c r="D20" t="str">
        <v/>
      </c>
      <c r="E20" t="str">
        <v>قطعة</v>
      </c>
      <c r="F20">
        <v>35</v>
      </c>
      <c r="G20">
        <v>27.5</v>
      </c>
      <c r="H20">
        <v>0</v>
      </c>
      <c r="I20">
        <v>8</v>
      </c>
      <c r="J20">
        <f>F20-G20</f>
        <v>7.5</v>
      </c>
      <c r="K20" s="1">
        <f>IF(G20&gt;0, (F20-G20)/G20, 0)</f>
        <v>0.2727</v>
      </c>
      <c r="L20" s="2">
        <f>H20*G20</f>
        <v>0</v>
      </c>
      <c r="M20" s="2">
        <f>H20*F20</f>
        <v>0</v>
      </c>
      <c r="N20" s="2">
        <f>M20-L20</f>
        <v>0</v>
      </c>
      <c r="O20" t="str">
        <f>IF(H20&lt;=0, "نفد من المخزن", IF(H20&lt;=I20, "قارب على النفاد", "متوفر بالمخزن"))</f>
        <v>نفد من المخزن</v>
      </c>
      <c r="P20">
        <v>0</v>
      </c>
      <c r="Q20" t="str">
        <v>SKU-0115</v>
      </c>
      <c r="R20" t="str">
        <v/>
      </c>
      <c r="S20" t="str">
        <v/>
      </c>
      <c r="T20" t="str">
        <v/>
      </c>
    </row>
    <row r="21">
      <c r="A21">
        <v>18</v>
      </c>
      <c r="B21" t="str">
        <v>شيكولاتة كادبوري ديري ميلك 37 جم</v>
      </c>
      <c r="C21" t="str">
        <v>7622210287113</v>
      </c>
      <c r="D21" t="str">
        <v/>
      </c>
      <c r="E21" t="str">
        <v>قطعة</v>
      </c>
      <c r="F21">
        <v>35</v>
      </c>
      <c r="G21">
        <v>27.5</v>
      </c>
      <c r="H21">
        <v>0</v>
      </c>
      <c r="I21">
        <v>8</v>
      </c>
      <c r="J21">
        <f>F21-G21</f>
        <v>7.5</v>
      </c>
      <c r="K21" s="1">
        <f>IF(G21&gt;0, (F21-G21)/G21, 0)</f>
        <v>0.2727</v>
      </c>
      <c r="L21" s="2">
        <f>H21*G21</f>
        <v>0</v>
      </c>
      <c r="M21" s="2">
        <f>H21*F21</f>
        <v>0</v>
      </c>
      <c r="N21" s="2">
        <f>M21-L21</f>
        <v>0</v>
      </c>
      <c r="O21" t="str">
        <f>IF(H21&lt;=0, "نفد من المخزن", IF(H21&lt;=I21, "قارب على النفاد", "متوفر بالمخزن"))</f>
        <v>نفد من المخزن</v>
      </c>
      <c r="P21">
        <v>0</v>
      </c>
      <c r="Q21" t="str">
        <v>SKU-0116</v>
      </c>
      <c r="R21" t="str">
        <v/>
      </c>
      <c r="S21" t="str">
        <v/>
      </c>
      <c r="T21" t="str">
        <v/>
      </c>
    </row>
    <row r="22">
      <c r="A22">
        <v>19</v>
      </c>
      <c r="B22" t="str">
        <v>شيكولاتة كيت كات 4 أصابع</v>
      </c>
      <c r="C22" t="str">
        <v>7613035345010</v>
      </c>
      <c r="D22" t="str">
        <v/>
      </c>
      <c r="E22" t="str">
        <v>قطعة</v>
      </c>
      <c r="F22">
        <v>35</v>
      </c>
      <c r="G22">
        <v>28</v>
      </c>
      <c r="H22">
        <v>0</v>
      </c>
      <c r="I22">
        <v>7</v>
      </c>
      <c r="J22">
        <f>F22-G22</f>
        <v>7</v>
      </c>
      <c r="K22" s="1">
        <f>IF(G22&gt;0, (F22-G22)/G22, 0)</f>
        <v>0.25</v>
      </c>
      <c r="L22" s="2">
        <f>H22*G22</f>
        <v>0</v>
      </c>
      <c r="M22" s="2">
        <f>H22*F22</f>
        <v>0</v>
      </c>
      <c r="N22" s="2">
        <f>M22-L22</f>
        <v>0</v>
      </c>
      <c r="O22" t="str">
        <f>IF(H22&lt;=0, "نفد من المخزن", IF(H22&lt;=I22, "قارب على النفاد", "متوفر بالمخزن"))</f>
        <v>نفد من المخزن</v>
      </c>
      <c r="P22">
        <v>0</v>
      </c>
      <c r="Q22" t="str">
        <v>SKU-0117</v>
      </c>
      <c r="R22" t="str">
        <v/>
      </c>
      <c r="S22" t="str">
        <v/>
      </c>
      <c r="T22" t="str">
        <v/>
      </c>
    </row>
    <row r="23">
      <c r="A23">
        <v>20</v>
      </c>
      <c r="B23" t="str">
        <v>شيكولاتة كورونا سادة 50 جم</v>
      </c>
      <c r="C23" t="str">
        <v>6221010001014</v>
      </c>
      <c r="D23" t="str">
        <v/>
      </c>
      <c r="E23" t="str">
        <v>قطعة</v>
      </c>
      <c r="F23">
        <v>18</v>
      </c>
      <c r="G23">
        <v>13.5</v>
      </c>
      <c r="H23">
        <v>0</v>
      </c>
      <c r="I23">
        <v>7</v>
      </c>
      <c r="J23">
        <f>F23-G23</f>
        <v>4.5</v>
      </c>
      <c r="K23" s="1">
        <f>IF(G23&gt;0, (F23-G23)/G23, 0)</f>
        <v>0.3333</v>
      </c>
      <c r="L23" s="2">
        <f>H23*G23</f>
        <v>0</v>
      </c>
      <c r="M23" s="2">
        <f>H23*F23</f>
        <v>0</v>
      </c>
      <c r="N23" s="2">
        <f>M23-L23</f>
        <v>0</v>
      </c>
      <c r="O23" t="str">
        <f>IF(H23&lt;=0, "نفد من المخزن", IF(H23&lt;=I23, "قارب على النفاد", "متوفر بالمخزن"))</f>
        <v>نفد من المخزن</v>
      </c>
      <c r="P23">
        <v>0</v>
      </c>
      <c r="Q23" t="str">
        <v>SKU-0118</v>
      </c>
      <c r="R23" t="str">
        <v/>
      </c>
      <c r="S23" t="str">
        <v/>
      </c>
      <c r="T23" t="str">
        <v/>
      </c>
    </row>
    <row r="24">
      <c r="A24">
        <v>21</v>
      </c>
      <c r="B24" t="str">
        <v>لبان كلورتس نعناع حار</v>
      </c>
      <c r="C24" t="str">
        <v>7622210101013</v>
      </c>
      <c r="D24" t="str">
        <v/>
      </c>
      <c r="E24" t="str">
        <v>قطعة</v>
      </c>
      <c r="F24">
        <v>10</v>
      </c>
      <c r="G24">
        <v>7.5</v>
      </c>
      <c r="H24">
        <v>0</v>
      </c>
      <c r="I24">
        <v>12</v>
      </c>
      <c r="J24">
        <f>F24-G24</f>
        <v>2.5</v>
      </c>
      <c r="K24" s="1">
        <f>IF(G24&gt;0, (F24-G24)/G24, 0)</f>
        <v>0.3333</v>
      </c>
      <c r="L24" s="2">
        <f>H24*G24</f>
        <v>0</v>
      </c>
      <c r="M24" s="2">
        <f>H24*F24</f>
        <v>0</v>
      </c>
      <c r="N24" s="2">
        <f>M24-L24</f>
        <v>0</v>
      </c>
      <c r="O24" t="str">
        <f>IF(H24&lt;=0, "نفد من المخزن", IF(H24&lt;=I24, "قارب على النفاد", "متوفر بالمخزن"))</f>
        <v>نفد من المخزن</v>
      </c>
      <c r="P24">
        <v>0</v>
      </c>
      <c r="Q24" t="str">
        <v>SKU-0119</v>
      </c>
      <c r="R24" t="str">
        <v/>
      </c>
      <c r="S24" t="str">
        <v/>
      </c>
      <c r="T24" t="str">
        <v/>
      </c>
    </row>
    <row r="25">
      <c r="A25">
        <v>22</v>
      </c>
      <c r="B25" t="str">
        <v>لبان ترايدنت نعناع بدون سكر</v>
      </c>
      <c r="C25" t="str">
        <v>7622210201010</v>
      </c>
      <c r="D25" t="str">
        <v/>
      </c>
      <c r="E25" t="str">
        <v>قطعة</v>
      </c>
      <c r="F25">
        <v>12</v>
      </c>
      <c r="G25">
        <v>9</v>
      </c>
      <c r="H25">
        <v>0</v>
      </c>
      <c r="I25">
        <v>10</v>
      </c>
      <c r="J25">
        <f>F25-G25</f>
        <v>3</v>
      </c>
      <c r="K25" s="1">
        <f>IF(G25&gt;0, (F25-G25)/G25, 0)</f>
        <v>0.3333</v>
      </c>
      <c r="L25" s="2">
        <f>H25*G25</f>
        <v>0</v>
      </c>
      <c r="M25" s="2">
        <f>H25*F25</f>
        <v>0</v>
      </c>
      <c r="N25" s="2">
        <f>M25-L25</f>
        <v>0</v>
      </c>
      <c r="O25" t="str">
        <f>IF(H25&lt;=0, "نفد من المخزن", IF(H25&lt;=I25, "قارب على النفاد", "متوفر بالمخزن"))</f>
        <v>نفد من المخزن</v>
      </c>
      <c r="P25">
        <v>0</v>
      </c>
      <c r="Q25" t="str">
        <v>SKU-0120</v>
      </c>
      <c r="R25" t="str">
        <v/>
      </c>
      <c r="S25" t="str">
        <v/>
      </c>
      <c r="T25" t="str">
        <v/>
      </c>
    </row>
    <row r="26">
      <c r="A26" t="str">
        <v>الإجمالي</v>
      </c>
      <c r="B26" t="str">
        <v>إجمالي 22 صنف مسجل</v>
      </c>
      <c r="C26" t="str">
        <v/>
      </c>
      <c r="D26" t="str">
        <v/>
      </c>
      <c r="E26" t="str">
        <v/>
      </c>
      <c r="F26" s="2">
        <f>AVERAGE(F4:F25)</f>
      </c>
      <c r="G26" s="2">
        <f>AVERAGE(G4:G25)</f>
      </c>
      <c r="H26" s="3">
        <f>SUM(H4:H25)</f>
      </c>
      <c r="I26" t="str">
        <v/>
      </c>
      <c r="J26" s="2">
        <f>AVERAGE(J4:J25)</f>
      </c>
      <c r="K26" s="1">
        <f>IF(L26&gt;0, N26/L26, 0)</f>
      </c>
      <c r="L26" s="2">
        <f>SUM(L4:L25)</f>
      </c>
      <c r="M26" s="2">
        <f>SUM(M4:M25)</f>
      </c>
      <c r="N26" s="2">
        <f>SUM(N4:N25)</f>
      </c>
      <c r="O26" t="str">
        <v>محسوب بمعادلات إكسل</v>
      </c>
      <c r="P26" t="str">
        <v/>
      </c>
      <c r="Q26" t="str">
        <v/>
      </c>
      <c r="R26" t="str">
        <v/>
      </c>
      <c r="S26" t="str">
        <v/>
      </c>
      <c r="T26" t="str">
        <v/>
      </c>
    </row>
  </sheetData>
  <mergeCells count="2">
    <mergeCell ref="A1:T1"/>
    <mergeCell ref="A2:T2"/>
  </mergeCells>
  <ignoredErrors>
    <ignoredError numberStoredAsText="1" sqref="A1:T26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T25"/>
  <sheetViews>
    <sheetView workbookViewId="0"/>
  </sheetViews>
  <cols>
    <col min="1" max="1" width="6.83203125" customWidth="1"/>
    <col min="2" max="2" width="38.83203125" customWidth="1"/>
    <col min="3" max="3" width="20.83203125" customWidth="1"/>
    <col min="4" max="4" width="24.83203125" customWidth="1"/>
    <col min="5" max="5" width="14.83203125" customWidth="1"/>
    <col min="6" max="6" width="16.83203125" customWidth="1"/>
    <col min="7" max="7" width="16.83203125" customWidth="1"/>
    <col min="8" max="8" width="16.83203125" customWidth="1"/>
    <col min="9" max="9" width="16.83203125" customWidth="1"/>
    <col min="10" max="10" width="18.83203125" customWidth="1"/>
    <col min="11" max="11" width="15.83203125" customWidth="1"/>
    <col min="12" max="12" width="22.83203125" customWidth="1"/>
    <col min="13" max="13" width="22.83203125" customWidth="1"/>
    <col min="14" max="14" width="22.83203125" customWidth="1"/>
    <col min="15" max="15" width="18.83203125" customWidth="1"/>
    <col min="16" max="16" width="14.83203125" customWidth="1"/>
    <col min="17" max="17" width="20.83203125" customWidth="1"/>
    <col min="18" max="18" width="18.83203125" customWidth="1"/>
    <col min="19" max="19" width="18.83203125" customWidth="1"/>
    <col min="20" max="20" width="22.83203125" customWidth="1"/>
  </cols>
  <sheetData>
    <row r="1">
      <c r="A1" t="str">
        <v>رفيق POS - قائمة أصناف قسم: [منظفات وعناية منزلية]</v>
      </c>
    </row>
    <row r="2">
      <c r="A2" t="str">
        <v>تعليمات هامة: الأعمدة المميزة بنجمة (*) إلزامية | اسم التابة يمثل القسم تلقائياً | المبالغ بالجنيه المصري | الأعمدة الملونة تحتوي على معادلات إكسل تتحدث تلقائياً</v>
      </c>
    </row>
    <row r="3">
      <c r="A3" t="str">
        <v>م</v>
      </c>
      <c r="B3" t="str">
        <v>اسم الصنف *</v>
      </c>
      <c r="C3" t="str">
        <v>الباركود الرئيسي</v>
      </c>
      <c r="D3" t="str">
        <v>باركودات إضافية (مفصولة بفاصلة)</v>
      </c>
      <c r="E3" t="str">
        <v>الوحدة (قطعة / كجم)</v>
      </c>
      <c r="F3" t="str">
        <v>سعر البيع (بالجنيه) *</v>
      </c>
      <c r="G3" t="str">
        <v>سعر التكلفة (بالجنيه)</v>
      </c>
      <c r="H3" t="str">
        <v>الرصيد الافتتاحي</v>
      </c>
      <c r="I3" t="str">
        <v>حد الطلب الأدنى</v>
      </c>
      <c r="J3" t="str">
        <v>هامش الربح للقطعة (ج.م)</v>
      </c>
      <c r="K3" t="str">
        <v>نسبة الربح (%)</v>
      </c>
      <c r="L3" t="str">
        <v>إجمالي قيمة التكلفة (ج.م)</v>
      </c>
      <c r="M3" t="str">
        <v>إجمالي القيمة البيعية (ج.م)</v>
      </c>
      <c r="N3" t="str">
        <v>إجمالي الربح المتوقع (ج.م)</v>
      </c>
      <c r="O3" t="str">
        <v>حالة المخزون التلقائية</v>
      </c>
      <c r="P3" t="str">
        <v>نسبة الضريبة (%)</v>
      </c>
      <c r="Q3" t="str">
        <v>كود الصنف الداخلي (SKU)</v>
      </c>
      <c r="R3" t="str">
        <v>اللون (اختياري / للملابس)</v>
      </c>
      <c r="S3" t="str">
        <v>المقاس (اختياري / للملابس)</v>
      </c>
      <c r="T3" t="str">
        <v>كود التصنيف الضريبي (GS1/EGS)</v>
      </c>
    </row>
    <row r="4">
      <c r="A4">
        <v>1</v>
      </c>
      <c r="B4" t="str">
        <v>مسحوق إريال أوتوماتيك لافندر 2.5 كجم</v>
      </c>
      <c r="C4" t="str">
        <v>6221155050014</v>
      </c>
      <c r="D4" t="str">
        <v/>
      </c>
      <c r="E4" t="str">
        <v>قطعة</v>
      </c>
      <c r="F4">
        <v>195</v>
      </c>
      <c r="G4">
        <v>165</v>
      </c>
      <c r="H4">
        <v>0</v>
      </c>
      <c r="I4">
        <v>5</v>
      </c>
      <c r="J4">
        <f>F4-G4</f>
        <v>30</v>
      </c>
      <c r="K4" s="1">
        <f>IF(G4&gt;0, (F4-G4)/G4, 0)</f>
        <v>0.1818</v>
      </c>
      <c r="L4" s="2">
        <f>H4*G4</f>
        <v>0</v>
      </c>
      <c r="M4" s="2">
        <f>H4*F4</f>
        <v>0</v>
      </c>
      <c r="N4" s="2">
        <f>M4-L4</f>
        <v>0</v>
      </c>
      <c r="O4" t="str">
        <f>IF(H4&lt;=0, "نفد من المخزن", IF(H4&lt;=I4, "قارب على النفاد", "متوفر بالمخزن"))</f>
        <v>نفد من المخزن</v>
      </c>
      <c r="P4">
        <v>0</v>
      </c>
      <c r="Q4" t="str">
        <v>SKU-0121</v>
      </c>
      <c r="R4" t="str">
        <v/>
      </c>
      <c r="S4" t="str">
        <v/>
      </c>
      <c r="T4" t="str">
        <v/>
      </c>
    </row>
    <row r="5">
      <c r="A5">
        <v>2</v>
      </c>
      <c r="B5" t="str">
        <v>مسحوق برسيل أوتوماتيك لافندر 2.5 كجم</v>
      </c>
      <c r="C5" t="str">
        <v>6221122001018</v>
      </c>
      <c r="D5" t="str">
        <v/>
      </c>
      <c r="E5" t="str">
        <v>قطعة</v>
      </c>
      <c r="F5">
        <v>195</v>
      </c>
      <c r="G5">
        <v>165</v>
      </c>
      <c r="H5">
        <v>0</v>
      </c>
      <c r="I5">
        <v>5</v>
      </c>
      <c r="J5">
        <f>F5-G5</f>
        <v>30</v>
      </c>
      <c r="K5" s="1">
        <f>IF(G5&gt;0, (F5-G5)/G5, 0)</f>
        <v>0.1818</v>
      </c>
      <c r="L5" s="2">
        <f>H5*G5</f>
        <v>0</v>
      </c>
      <c r="M5" s="2">
        <f>H5*F5</f>
        <v>0</v>
      </c>
      <c r="N5" s="2">
        <f>M5-L5</f>
        <v>0</v>
      </c>
      <c r="O5" t="str">
        <f>IF(H5&lt;=0, "نفد من المخزن", IF(H5&lt;=I5, "قارب على النفاد", "متوفر بالمخزن"))</f>
        <v>نفد من المخزن</v>
      </c>
      <c r="P5">
        <v>0</v>
      </c>
      <c r="Q5" t="str">
        <v>SKU-0122</v>
      </c>
      <c r="R5" t="str">
        <v/>
      </c>
      <c r="S5" t="str">
        <v/>
      </c>
      <c r="T5" t="str">
        <v/>
      </c>
    </row>
    <row r="6">
      <c r="A6">
        <v>3</v>
      </c>
      <c r="B6" t="str">
        <v>مسحوق تايد يدوي كيس 500 جم</v>
      </c>
      <c r="C6" t="str">
        <v>6221155060013</v>
      </c>
      <c r="D6" t="str">
        <v/>
      </c>
      <c r="E6" t="str">
        <v>قطعة</v>
      </c>
      <c r="F6">
        <v>28</v>
      </c>
      <c r="G6">
        <v>22</v>
      </c>
      <c r="H6">
        <v>0</v>
      </c>
      <c r="I6">
        <v>8</v>
      </c>
      <c r="J6">
        <f>F6-G6</f>
        <v>6</v>
      </c>
      <c r="K6" s="1">
        <f>IF(G6&gt;0, (F6-G6)/G6, 0)</f>
        <v>0.2727</v>
      </c>
      <c r="L6" s="2">
        <f>H6*G6</f>
        <v>0</v>
      </c>
      <c r="M6" s="2">
        <f>H6*F6</f>
        <v>0</v>
      </c>
      <c r="N6" s="2">
        <f>M6-L6</f>
        <v>0</v>
      </c>
      <c r="O6" t="str">
        <f>IF(H6&lt;=0, "نفد من المخزن", IF(H6&lt;=I6, "قارب على النفاد", "متوفر بالمخزن"))</f>
        <v>نفد من المخزن</v>
      </c>
      <c r="P6">
        <v>0</v>
      </c>
      <c r="Q6" t="str">
        <v>SKU-0123</v>
      </c>
      <c r="R6" t="str">
        <v/>
      </c>
      <c r="S6" t="str">
        <v/>
      </c>
      <c r="T6" t="str">
        <v/>
      </c>
    </row>
    <row r="7">
      <c r="A7">
        <v>4</v>
      </c>
      <c r="B7" t="str">
        <v>صابون سائل بريل ليمون 1 لتر</v>
      </c>
      <c r="C7" t="str">
        <v>6221122002015</v>
      </c>
      <c r="D7" t="str">
        <v/>
      </c>
      <c r="E7" t="str">
        <v>قطعة</v>
      </c>
      <c r="F7">
        <v>42</v>
      </c>
      <c r="G7">
        <v>33.5</v>
      </c>
      <c r="H7">
        <v>0</v>
      </c>
      <c r="I7">
        <v>10</v>
      </c>
      <c r="J7">
        <f>F7-G7</f>
        <v>8.5</v>
      </c>
      <c r="K7" s="1">
        <f>IF(G7&gt;0, (F7-G7)/G7, 0)</f>
        <v>0.2537</v>
      </c>
      <c r="L7" s="2">
        <f>H7*G7</f>
        <v>0</v>
      </c>
      <c r="M7" s="2">
        <f>H7*F7</f>
        <v>0</v>
      </c>
      <c r="N7" s="2">
        <f>M7-L7</f>
        <v>0</v>
      </c>
      <c r="O7" t="str">
        <f>IF(H7&lt;=0, "نفد من المخزن", IF(H7&lt;=I7, "قارب على النفاد", "متوفر بالمخزن"))</f>
        <v>نفد من المخزن</v>
      </c>
      <c r="P7">
        <v>0</v>
      </c>
      <c r="Q7" t="str">
        <v>SKU-0124</v>
      </c>
      <c r="R7" t="str">
        <v/>
      </c>
      <c r="S7" t="str">
        <v/>
      </c>
      <c r="T7" t="str">
        <v/>
      </c>
    </row>
    <row r="8">
      <c r="A8">
        <v>5</v>
      </c>
      <c r="B8" t="str">
        <v>صابون سائل فيري بلس ليمون 650 مل</v>
      </c>
      <c r="C8" t="str">
        <v>6221155070012</v>
      </c>
      <c r="D8" t="str">
        <v/>
      </c>
      <c r="E8" t="str">
        <v>قطعة</v>
      </c>
      <c r="F8">
        <v>48</v>
      </c>
      <c r="G8">
        <v>38.5</v>
      </c>
      <c r="H8">
        <v>0</v>
      </c>
      <c r="I8">
        <v>7</v>
      </c>
      <c r="J8">
        <f>F8-G8</f>
        <v>9.5</v>
      </c>
      <c r="K8" s="1">
        <f>IF(G8&gt;0, (F8-G8)/G8, 0)</f>
        <v>0.2468</v>
      </c>
      <c r="L8" s="2">
        <f>H8*G8</f>
        <v>0</v>
      </c>
      <c r="M8" s="2">
        <f>H8*F8</f>
        <v>0</v>
      </c>
      <c r="N8" s="2">
        <f>M8-L8</f>
        <v>0</v>
      </c>
      <c r="O8" t="str">
        <f>IF(H8&lt;=0, "نفد من المخزن", IF(H8&lt;=I8, "قارب على النفاد", "متوفر بالمخزن"))</f>
        <v>نفد من المخزن</v>
      </c>
      <c r="P8">
        <v>0</v>
      </c>
      <c r="Q8" t="str">
        <v>SKU-0125</v>
      </c>
      <c r="R8" t="str">
        <v/>
      </c>
      <c r="S8" t="str">
        <v/>
      </c>
      <c r="T8" t="str">
        <v/>
      </c>
    </row>
    <row r="9">
      <c r="A9">
        <v>6</v>
      </c>
      <c r="B9" t="str">
        <v>كلوركس مبيض أبيض للملابس 950 مل</v>
      </c>
      <c r="C9" t="str">
        <v>6221099001011</v>
      </c>
      <c r="D9" t="str">
        <v/>
      </c>
      <c r="E9" t="str">
        <v>قطعة</v>
      </c>
      <c r="F9">
        <v>28</v>
      </c>
      <c r="G9">
        <v>21.5</v>
      </c>
      <c r="H9">
        <v>0</v>
      </c>
      <c r="I9">
        <v>8</v>
      </c>
      <c r="J9">
        <f>F9-G9</f>
        <v>6.5</v>
      </c>
      <c r="K9" s="1">
        <f>IF(G9&gt;0, (F9-G9)/G9, 0)</f>
        <v>0.3023</v>
      </c>
      <c r="L9" s="2">
        <f>H9*G9</f>
        <v>0</v>
      </c>
      <c r="M9" s="2">
        <f>H9*F9</f>
        <v>0</v>
      </c>
      <c r="N9" s="2">
        <f>M9-L9</f>
        <v>0</v>
      </c>
      <c r="O9" t="str">
        <f>IF(H9&lt;=0, "نفد من المخزن", IF(H9&lt;=I9, "قارب على النفاد", "متوفر بالمخزن"))</f>
        <v>نفد من المخزن</v>
      </c>
      <c r="P9">
        <v>0</v>
      </c>
      <c r="Q9" t="str">
        <v>SKU-0126</v>
      </c>
      <c r="R9" t="str">
        <v/>
      </c>
      <c r="S9" t="str">
        <v/>
      </c>
      <c r="T9" t="str">
        <v/>
      </c>
    </row>
    <row r="10">
      <c r="A10">
        <v>7</v>
      </c>
      <c r="B10" t="str">
        <v>كلوركس ألوان للملابس 950 مل</v>
      </c>
      <c r="C10" t="str">
        <v>6221099002018</v>
      </c>
      <c r="D10" t="str">
        <v/>
      </c>
      <c r="E10" t="str">
        <v>قطعة</v>
      </c>
      <c r="F10">
        <v>35</v>
      </c>
      <c r="G10">
        <v>27.5</v>
      </c>
      <c r="H10">
        <v>0</v>
      </c>
      <c r="I10">
        <v>7</v>
      </c>
      <c r="J10">
        <f>F10-G10</f>
        <v>7.5</v>
      </c>
      <c r="K10" s="1">
        <f>IF(G10&gt;0, (F10-G10)/G10, 0)</f>
        <v>0.2727</v>
      </c>
      <c r="L10" s="2">
        <f>H10*G10</f>
        <v>0</v>
      </c>
      <c r="M10" s="2">
        <f>H10*F10</f>
        <v>0</v>
      </c>
      <c r="N10" s="2">
        <f>M10-L10</f>
        <v>0</v>
      </c>
      <c r="O10" t="str">
        <f>IF(H10&lt;=0, "نفد من المخزن", IF(H10&lt;=I10, "قارب على النفاد", "متوفر بالمخزن"))</f>
        <v>نفد من المخزن</v>
      </c>
      <c r="P10">
        <v>0</v>
      </c>
      <c r="Q10" t="str">
        <v>SKU-0127</v>
      </c>
      <c r="R10" t="str">
        <v/>
      </c>
      <c r="S10" t="str">
        <v/>
      </c>
      <c r="T10" t="str">
        <v/>
      </c>
    </row>
    <row r="11">
      <c r="A11">
        <v>8</v>
      </c>
      <c r="B11" t="str">
        <v>ديتول مطهر سائل معقم 500 مل</v>
      </c>
      <c r="C11" t="str">
        <v>5000158068018</v>
      </c>
      <c r="D11" t="str">
        <v/>
      </c>
      <c r="E11" t="str">
        <v>قطعة</v>
      </c>
      <c r="F11">
        <v>95</v>
      </c>
      <c r="G11">
        <v>78</v>
      </c>
      <c r="H11">
        <v>0</v>
      </c>
      <c r="I11">
        <v>4</v>
      </c>
      <c r="J11">
        <f>F11-G11</f>
        <v>17</v>
      </c>
      <c r="K11" s="1">
        <f>IF(G11&gt;0, (F11-G11)/G11, 0)</f>
        <v>0.2179</v>
      </c>
      <c r="L11" s="2">
        <f>H11*G11</f>
        <v>0</v>
      </c>
      <c r="M11" s="2">
        <f>H11*F11</f>
        <v>0</v>
      </c>
      <c r="N11" s="2">
        <f>M11-L11</f>
        <v>0</v>
      </c>
      <c r="O11" t="str">
        <f>IF(H11&lt;=0, "نفد من المخزن", IF(H11&lt;=I11, "قارب على النفاد", "متوفر بالمخزن"))</f>
        <v>نفد من المخزن</v>
      </c>
      <c r="P11">
        <v>0</v>
      </c>
      <c r="Q11" t="str">
        <v>SKU-0128</v>
      </c>
      <c r="R11" t="str">
        <v/>
      </c>
      <c r="S11" t="str">
        <v/>
      </c>
      <c r="T11" t="str">
        <v/>
      </c>
    </row>
    <row r="12">
      <c r="A12">
        <v>9</v>
      </c>
      <c r="B12" t="str">
        <v>صابون تواليت لوكس ورد 120 جم</v>
      </c>
      <c r="C12" t="str">
        <v>6221155080011</v>
      </c>
      <c r="D12" t="str">
        <v/>
      </c>
      <c r="E12" t="str">
        <v>قطعة</v>
      </c>
      <c r="F12">
        <v>18</v>
      </c>
      <c r="G12">
        <v>13.5</v>
      </c>
      <c r="H12">
        <v>0</v>
      </c>
      <c r="I12">
        <v>12</v>
      </c>
      <c r="J12">
        <f>F12-G12</f>
        <v>4.5</v>
      </c>
      <c r="K12" s="1">
        <f>IF(G12&gt;0, (F12-G12)/G12, 0)</f>
        <v>0.3333</v>
      </c>
      <c r="L12" s="2">
        <f>H12*G12</f>
        <v>0</v>
      </c>
      <c r="M12" s="2">
        <f>H12*F12</f>
        <v>0</v>
      </c>
      <c r="N12" s="2">
        <f>M12-L12</f>
        <v>0</v>
      </c>
      <c r="O12" t="str">
        <f>IF(H12&lt;=0, "نفد من المخزن", IF(H12&lt;=I12, "قارب على النفاد", "متوفر بالمخزن"))</f>
        <v>نفد من المخزن</v>
      </c>
      <c r="P12">
        <v>0</v>
      </c>
      <c r="Q12" t="str">
        <v>SKU-0129</v>
      </c>
      <c r="R12" t="str">
        <v/>
      </c>
      <c r="S12" t="str">
        <v/>
      </c>
      <c r="T12" t="str">
        <v/>
      </c>
    </row>
    <row r="13">
      <c r="A13">
        <v>10</v>
      </c>
      <c r="B13" t="str">
        <v>صابون تواليت دوف أبيض 100 جم</v>
      </c>
      <c r="C13" t="str">
        <v>6221155090010</v>
      </c>
      <c r="D13" t="str">
        <v/>
      </c>
      <c r="E13" t="str">
        <v>قطعة</v>
      </c>
      <c r="F13">
        <v>32</v>
      </c>
      <c r="G13">
        <v>25</v>
      </c>
      <c r="H13">
        <v>0</v>
      </c>
      <c r="I13">
        <v>8</v>
      </c>
      <c r="J13">
        <f>F13-G13</f>
        <v>7</v>
      </c>
      <c r="K13" s="1">
        <f>IF(G13&gt;0, (F13-G13)/G13, 0)</f>
        <v>0.28</v>
      </c>
      <c r="L13" s="2">
        <f>H13*G13</f>
        <v>0</v>
      </c>
      <c r="M13" s="2">
        <f>H13*F13</f>
        <v>0</v>
      </c>
      <c r="N13" s="2">
        <f>M13-L13</f>
        <v>0</v>
      </c>
      <c r="O13" t="str">
        <f>IF(H13&lt;=0, "نفد من المخزن", IF(H13&lt;=I13, "قارب على النفاد", "متوفر بالمخزن"))</f>
        <v>نفد من المخزن</v>
      </c>
      <c r="P13">
        <v>0</v>
      </c>
      <c r="Q13" t="str">
        <v>SKU-0130</v>
      </c>
      <c r="R13" t="str">
        <v/>
      </c>
      <c r="S13" t="str">
        <v/>
      </c>
      <c r="T13" t="str">
        <v/>
      </c>
    </row>
    <row r="14">
      <c r="A14">
        <v>11</v>
      </c>
      <c r="B14" t="str">
        <v>صابون لايف بوي معقم أحمر 100 جم</v>
      </c>
      <c r="C14" t="str">
        <v>6221155100016</v>
      </c>
      <c r="D14" t="str">
        <v/>
      </c>
      <c r="E14" t="str">
        <v>قطعة</v>
      </c>
      <c r="F14">
        <v>18</v>
      </c>
      <c r="G14">
        <v>13.5</v>
      </c>
      <c r="H14">
        <v>0</v>
      </c>
      <c r="I14">
        <v>8</v>
      </c>
      <c r="J14">
        <f>F14-G14</f>
        <v>4.5</v>
      </c>
      <c r="K14" s="1">
        <f>IF(G14&gt;0, (F14-G14)/G14, 0)</f>
        <v>0.3333</v>
      </c>
      <c r="L14" s="2">
        <f>H14*G14</f>
        <v>0</v>
      </c>
      <c r="M14" s="2">
        <f>H14*F14</f>
        <v>0</v>
      </c>
      <c r="N14" s="2">
        <f>M14-L14</f>
        <v>0</v>
      </c>
      <c r="O14" t="str">
        <f>IF(H14&lt;=0, "نفد من المخزن", IF(H14&lt;=I14, "قارب على النفاد", "متوفر بالمخزن"))</f>
        <v>نفد من المخزن</v>
      </c>
      <c r="P14">
        <v>0</v>
      </c>
      <c r="Q14" t="str">
        <v>SKU-0131</v>
      </c>
      <c r="R14" t="str">
        <v/>
      </c>
      <c r="S14" t="str">
        <v/>
      </c>
      <c r="T14" t="str">
        <v/>
      </c>
    </row>
    <row r="15">
      <c r="A15">
        <v>12</v>
      </c>
      <c r="B15" t="str">
        <v>شامبو بانتين بديل الزيت 400 مل</v>
      </c>
      <c r="C15" t="str">
        <v>6221155110015</v>
      </c>
      <c r="D15" t="str">
        <v/>
      </c>
      <c r="E15" t="str">
        <v>قطعة</v>
      </c>
      <c r="F15">
        <v>85</v>
      </c>
      <c r="G15">
        <v>68</v>
      </c>
      <c r="H15">
        <v>0</v>
      </c>
      <c r="I15">
        <v>5</v>
      </c>
      <c r="J15">
        <f>F15-G15</f>
        <v>17</v>
      </c>
      <c r="K15" s="1">
        <f>IF(G15&gt;0, (F15-G15)/G15, 0)</f>
        <v>0.25</v>
      </c>
      <c r="L15" s="2">
        <f>H15*G15</f>
        <v>0</v>
      </c>
      <c r="M15" s="2">
        <f>H15*F15</f>
        <v>0</v>
      </c>
      <c r="N15" s="2">
        <f>M15-L15</f>
        <v>0</v>
      </c>
      <c r="O15" t="str">
        <f>IF(H15&lt;=0, "نفد من المخزن", IF(H15&lt;=I15, "قارب على النفاد", "متوفر بالمخزن"))</f>
        <v>نفد من المخزن</v>
      </c>
      <c r="P15">
        <v>0</v>
      </c>
      <c r="Q15" t="str">
        <v>SKU-0132</v>
      </c>
      <c r="R15" t="str">
        <v/>
      </c>
      <c r="S15" t="str">
        <v/>
      </c>
      <c r="T15" t="str">
        <v/>
      </c>
    </row>
    <row r="16">
      <c r="A16">
        <v>13</v>
      </c>
      <c r="B16" t="str">
        <v>شامبو هيد آند شولدرز 400 مل</v>
      </c>
      <c r="C16" t="str">
        <v>6221155120014</v>
      </c>
      <c r="D16" t="str">
        <v/>
      </c>
      <c r="E16" t="str">
        <v>قطعة</v>
      </c>
      <c r="F16">
        <v>90</v>
      </c>
      <c r="G16">
        <v>72</v>
      </c>
      <c r="H16">
        <v>0</v>
      </c>
      <c r="I16">
        <v>5</v>
      </c>
      <c r="J16">
        <f>F16-G16</f>
        <v>18</v>
      </c>
      <c r="K16" s="1">
        <f>IF(G16&gt;0, (F16-G16)/G16, 0)</f>
        <v>0.25</v>
      </c>
      <c r="L16" s="2">
        <f>H16*G16</f>
        <v>0</v>
      </c>
      <c r="M16" s="2">
        <f>H16*F16</f>
        <v>0</v>
      </c>
      <c r="N16" s="2">
        <f>M16-L16</f>
        <v>0</v>
      </c>
      <c r="O16" t="str">
        <f>IF(H16&lt;=0, "نفد من المخزن", IF(H16&lt;=I16, "قارب على النفاد", "متوفر بالمخزن"))</f>
        <v>نفد من المخزن</v>
      </c>
      <c r="P16">
        <v>0</v>
      </c>
      <c r="Q16" t="str">
        <v>SKU-0133</v>
      </c>
      <c r="R16" t="str">
        <v/>
      </c>
      <c r="S16" t="str">
        <v/>
      </c>
      <c r="T16" t="str">
        <v/>
      </c>
    </row>
    <row r="17">
      <c r="A17">
        <v>14</v>
      </c>
      <c r="B17" t="str">
        <v>معجون أسنان سيجنال تو مكافح التسوس 75 مل</v>
      </c>
      <c r="C17" t="str">
        <v>6221155130013</v>
      </c>
      <c r="D17" t="str">
        <v/>
      </c>
      <c r="E17" t="str">
        <v>قطعة</v>
      </c>
      <c r="F17">
        <v>32</v>
      </c>
      <c r="G17">
        <v>24</v>
      </c>
      <c r="H17">
        <v>0</v>
      </c>
      <c r="I17">
        <v>7</v>
      </c>
      <c r="J17">
        <f>F17-G17</f>
        <v>8</v>
      </c>
      <c r="K17" s="1">
        <f>IF(G17&gt;0, (F17-G17)/G17, 0)</f>
        <v>0.3333</v>
      </c>
      <c r="L17" s="2">
        <f>H17*G17</f>
        <v>0</v>
      </c>
      <c r="M17" s="2">
        <f>H17*F17</f>
        <v>0</v>
      </c>
      <c r="N17" s="2">
        <f>M17-L17</f>
        <v>0</v>
      </c>
      <c r="O17" t="str">
        <f>IF(H17&lt;=0, "نفد من المخزن", IF(H17&lt;=I17, "قارب على النفاد", "متوفر بالمخزن"))</f>
        <v>نفد من المخزن</v>
      </c>
      <c r="P17">
        <v>0</v>
      </c>
      <c r="Q17" t="str">
        <v>SKU-0134</v>
      </c>
      <c r="R17" t="str">
        <v/>
      </c>
      <c r="S17" t="str">
        <v/>
      </c>
      <c r="T17" t="str">
        <v/>
      </c>
    </row>
    <row r="18">
      <c r="A18">
        <v>15</v>
      </c>
      <c r="B18" t="str">
        <v>معجون أسنان كولجيت حماية فائقة 75 مل</v>
      </c>
      <c r="C18" t="str">
        <v>6920354813016</v>
      </c>
      <c r="D18" t="str">
        <v/>
      </c>
      <c r="E18" t="str">
        <v>قطعة</v>
      </c>
      <c r="F18">
        <v>35</v>
      </c>
      <c r="G18">
        <v>26.5</v>
      </c>
      <c r="H18">
        <v>0</v>
      </c>
      <c r="I18">
        <v>6</v>
      </c>
      <c r="J18">
        <f>F18-G18</f>
        <v>8.5</v>
      </c>
      <c r="K18" s="1">
        <f>IF(G18&gt;0, (F18-G18)/G18, 0)</f>
        <v>0.3208</v>
      </c>
      <c r="L18" s="2">
        <f>H18*G18</f>
        <v>0</v>
      </c>
      <c r="M18" s="2">
        <f>H18*F18</f>
        <v>0</v>
      </c>
      <c r="N18" s="2">
        <f>M18-L18</f>
        <v>0</v>
      </c>
      <c r="O18" t="str">
        <f>IF(H18&lt;=0, "نفد من المخزن", IF(H18&lt;=I18, "قارب على النفاد", "متوفر بالمخزن"))</f>
        <v>نفد من المخزن</v>
      </c>
      <c r="P18">
        <v>0</v>
      </c>
      <c r="Q18" t="str">
        <v>SKU-0135</v>
      </c>
      <c r="R18" t="str">
        <v/>
      </c>
      <c r="S18" t="str">
        <v/>
      </c>
      <c r="T18" t="str">
        <v/>
      </c>
    </row>
    <row r="19">
      <c r="A19">
        <v>16</v>
      </c>
      <c r="B19" t="str">
        <v>فرشاة أسنان أورال-بي كلاسيك</v>
      </c>
      <c r="C19" t="str">
        <v>3014260010010</v>
      </c>
      <c r="D19" t="str">
        <v/>
      </c>
      <c r="E19" t="str">
        <v>قطعة</v>
      </c>
      <c r="F19">
        <v>25</v>
      </c>
      <c r="G19">
        <v>17.5</v>
      </c>
      <c r="H19">
        <v>0</v>
      </c>
      <c r="I19">
        <v>6</v>
      </c>
      <c r="J19">
        <f>F19-G19</f>
        <v>7.5</v>
      </c>
      <c r="K19" s="1">
        <f>IF(G19&gt;0, (F19-G19)/G19, 0)</f>
        <v>0.4286</v>
      </c>
      <c r="L19" s="2">
        <f>H19*G19</f>
        <v>0</v>
      </c>
      <c r="M19" s="2">
        <f>H19*F19</f>
        <v>0</v>
      </c>
      <c r="N19" s="2">
        <f>M19-L19</f>
        <v>0</v>
      </c>
      <c r="O19" t="str">
        <f>IF(H19&lt;=0, "نفد من المخزن", IF(H19&lt;=I19, "قارب على النفاد", "متوفر بالمخزن"))</f>
        <v>نفد من المخزن</v>
      </c>
      <c r="P19">
        <v>0</v>
      </c>
      <c r="Q19" t="str">
        <v>SKU-0136</v>
      </c>
      <c r="R19" t="str">
        <v/>
      </c>
      <c r="S19" t="str">
        <v/>
      </c>
      <c r="T19" t="str">
        <v/>
      </c>
    </row>
    <row r="20">
      <c r="A20">
        <v>17</v>
      </c>
      <c r="B20" t="str">
        <v>مناديل جيب زينة 3 طبقات باكت</v>
      </c>
      <c r="C20" t="str">
        <v>6221144001010</v>
      </c>
      <c r="D20" t="str">
        <v/>
      </c>
      <c r="E20" t="str">
        <v>قطعة</v>
      </c>
      <c r="F20">
        <v>5</v>
      </c>
      <c r="G20">
        <v>3.3</v>
      </c>
      <c r="H20">
        <v>0</v>
      </c>
      <c r="I20">
        <v>20</v>
      </c>
      <c r="J20">
        <f>F20-G20</f>
        <v>1.7</v>
      </c>
      <c r="K20" s="1">
        <f>IF(G20&gt;0, (F20-G20)/G20, 0)</f>
        <v>0.5152</v>
      </c>
      <c r="L20" s="2">
        <f>H20*G20</f>
        <v>0</v>
      </c>
      <c r="M20" s="2">
        <f>H20*F20</f>
        <v>0</v>
      </c>
      <c r="N20" s="2">
        <f>M20-L20</f>
        <v>0</v>
      </c>
      <c r="O20" t="str">
        <f>IF(H20&lt;=0, "نفد من المخزن", IF(H20&lt;=I20, "قارب على النفاد", "متوفر بالمخزن"))</f>
        <v>نفد من المخزن</v>
      </c>
      <c r="P20">
        <v>0</v>
      </c>
      <c r="Q20" t="str">
        <v>SKU-0137</v>
      </c>
      <c r="R20" t="str">
        <v/>
      </c>
      <c r="S20" t="str">
        <v/>
      </c>
      <c r="T20" t="str">
        <v/>
      </c>
    </row>
    <row r="21">
      <c r="A21">
        <v>18</v>
      </c>
      <c r="B21" t="str">
        <v>مناديل مطبخ فاميليا رول مضغوط</v>
      </c>
      <c r="C21" t="str">
        <v>6221144002017</v>
      </c>
      <c r="D21" t="str">
        <v/>
      </c>
      <c r="E21" t="str">
        <v>قطعة</v>
      </c>
      <c r="F21">
        <v>42</v>
      </c>
      <c r="G21">
        <v>32</v>
      </c>
      <c r="H21">
        <v>0</v>
      </c>
      <c r="I21">
        <v>6</v>
      </c>
      <c r="J21">
        <f>F21-G21</f>
        <v>10</v>
      </c>
      <c r="K21" s="1">
        <f>IF(G21&gt;0, (F21-G21)/G21, 0)</f>
        <v>0.3125</v>
      </c>
      <c r="L21" s="2">
        <f>H21*G21</f>
        <v>0</v>
      </c>
      <c r="M21" s="2">
        <f>H21*F21</f>
        <v>0</v>
      </c>
      <c r="N21" s="2">
        <f>M21-L21</f>
        <v>0</v>
      </c>
      <c r="O21" t="str">
        <f>IF(H21&lt;=0, "نفد من المخزن", IF(H21&lt;=I21, "قارب على النفاد", "متوفر بالمخزن"))</f>
        <v>نفد من المخزن</v>
      </c>
      <c r="P21">
        <v>0</v>
      </c>
      <c r="Q21" t="str">
        <v>SKU-0138</v>
      </c>
      <c r="R21" t="str">
        <v/>
      </c>
      <c r="S21" t="str">
        <v/>
      </c>
      <c r="T21" t="str">
        <v/>
      </c>
    </row>
    <row r="22">
      <c r="A22">
        <v>19</v>
      </c>
      <c r="B22" t="str">
        <v>مناديل تواليت زينة رول 2 قطعة</v>
      </c>
      <c r="C22" t="str">
        <v>6221144003014</v>
      </c>
      <c r="D22" t="str">
        <v/>
      </c>
      <c r="E22" t="str">
        <v>قطعة</v>
      </c>
      <c r="F22">
        <v>28</v>
      </c>
      <c r="G22">
        <v>21</v>
      </c>
      <c r="H22">
        <v>0</v>
      </c>
      <c r="I22">
        <v>7</v>
      </c>
      <c r="J22">
        <f>F22-G22</f>
        <v>7</v>
      </c>
      <c r="K22" s="1">
        <f>IF(G22&gt;0, (F22-G22)/G22, 0)</f>
        <v>0.3333</v>
      </c>
      <c r="L22" s="2">
        <f>H22*G22</f>
        <v>0</v>
      </c>
      <c r="M22" s="2">
        <f>H22*F22</f>
        <v>0</v>
      </c>
      <c r="N22" s="2">
        <f>M22-L22</f>
        <v>0</v>
      </c>
      <c r="O22" t="str">
        <f>IF(H22&lt;=0, "نفد من المخزن", IF(H22&lt;=I22, "قارب على النفاد", "متوفر بالمخزن"))</f>
        <v>نفد من المخزن</v>
      </c>
      <c r="P22">
        <v>0</v>
      </c>
      <c r="Q22" t="str">
        <v>SKU-0139</v>
      </c>
      <c r="R22" t="str">
        <v/>
      </c>
      <c r="S22" t="str">
        <v/>
      </c>
      <c r="T22" t="str">
        <v/>
      </c>
    </row>
    <row r="23">
      <c r="A23">
        <v>20</v>
      </c>
      <c r="B23" t="str">
        <v>سلك مواعين ألومنيوم لفة 100 جم</v>
      </c>
      <c r="C23" t="str">
        <v>6221144004011</v>
      </c>
      <c r="D23" t="str">
        <v/>
      </c>
      <c r="E23" t="str">
        <v>قطعة</v>
      </c>
      <c r="F23">
        <v>15</v>
      </c>
      <c r="G23">
        <v>9.5</v>
      </c>
      <c r="H23">
        <v>0</v>
      </c>
      <c r="I23">
        <v>10</v>
      </c>
      <c r="J23">
        <f>F23-G23</f>
        <v>5.5</v>
      </c>
      <c r="K23" s="1">
        <f>IF(G23&gt;0, (F23-G23)/G23, 0)</f>
        <v>0.5789</v>
      </c>
      <c r="L23" s="2">
        <f>H23*G23</f>
        <v>0</v>
      </c>
      <c r="M23" s="2">
        <f>H23*F23</f>
        <v>0</v>
      </c>
      <c r="N23" s="2">
        <f>M23-L23</f>
        <v>0</v>
      </c>
      <c r="O23" t="str">
        <f>IF(H23&lt;=0, "نفد من المخزن", IF(H23&lt;=I23, "قارب على النفاد", "متوفر بالمخزن"))</f>
        <v>نفد من المخزن</v>
      </c>
      <c r="P23">
        <v>0</v>
      </c>
      <c r="Q23" t="str">
        <v>SKU-0140</v>
      </c>
      <c r="R23" t="str">
        <v/>
      </c>
      <c r="S23" t="str">
        <v/>
      </c>
      <c r="T23" t="str">
        <v/>
      </c>
    </row>
    <row r="24">
      <c r="A24">
        <v>21</v>
      </c>
      <c r="B24" t="str">
        <v>أكياس قمامة 70×90 سم رول 1 كجم</v>
      </c>
      <c r="C24" t="str">
        <v>6221144005018</v>
      </c>
      <c r="D24" t="str">
        <v/>
      </c>
      <c r="E24" t="str">
        <v>قطعة</v>
      </c>
      <c r="F24">
        <v>50</v>
      </c>
      <c r="G24">
        <v>37</v>
      </c>
      <c r="H24">
        <v>0</v>
      </c>
      <c r="I24">
        <v>6</v>
      </c>
      <c r="J24">
        <f>F24-G24</f>
        <v>13</v>
      </c>
      <c r="K24" s="1">
        <f>IF(G24&gt;0, (F24-G24)/G24, 0)</f>
        <v>0.3514</v>
      </c>
      <c r="L24" s="2">
        <f>H24*G24</f>
        <v>0</v>
      </c>
      <c r="M24" s="2">
        <f>H24*F24</f>
        <v>0</v>
      </c>
      <c r="N24" s="2">
        <f>M24-L24</f>
        <v>0</v>
      </c>
      <c r="O24" t="str">
        <f>IF(H24&lt;=0, "نفد من المخزن", IF(H24&lt;=I24, "قارب على النفاد", "متوفر بالمخزن"))</f>
        <v>نفد من المخزن</v>
      </c>
      <c r="P24">
        <v>0</v>
      </c>
      <c r="Q24" t="str">
        <v>SKU-0141</v>
      </c>
      <c r="R24" t="str">
        <v/>
      </c>
      <c r="S24" t="str">
        <v/>
      </c>
      <c r="T24" t="str">
        <v/>
      </c>
    </row>
    <row r="25">
      <c r="A25" t="str">
        <v>الإجمالي</v>
      </c>
      <c r="B25" t="str">
        <v>إجمالي 21 صنف مسجل</v>
      </c>
      <c r="C25" t="str">
        <v/>
      </c>
      <c r="D25" t="str">
        <v/>
      </c>
      <c r="E25" t="str">
        <v/>
      </c>
      <c r="F25" s="2">
        <f>AVERAGE(F4:F24)</f>
      </c>
      <c r="G25" s="2">
        <f>AVERAGE(G4:G24)</f>
      </c>
      <c r="H25" s="3">
        <f>SUM(H4:H24)</f>
      </c>
      <c r="I25" t="str">
        <v/>
      </c>
      <c r="J25" s="2">
        <f>AVERAGE(J4:J24)</f>
      </c>
      <c r="K25" s="1">
        <f>IF(L25&gt;0, N25/L25, 0)</f>
      </c>
      <c r="L25" s="2">
        <f>SUM(L4:L24)</f>
      </c>
      <c r="M25" s="2">
        <f>SUM(M4:M24)</f>
      </c>
      <c r="N25" s="2">
        <f>SUM(N4:N24)</f>
      </c>
      <c r="O25" t="str">
        <v>محسوب بمعادلات إكسل</v>
      </c>
      <c r="P25" t="str">
        <v/>
      </c>
      <c r="Q25" t="str">
        <v/>
      </c>
      <c r="R25" t="str">
        <v/>
      </c>
      <c r="S25" t="str">
        <v/>
      </c>
      <c r="T25" t="str">
        <v/>
      </c>
    </row>
  </sheetData>
  <mergeCells count="2">
    <mergeCell ref="A1:T1"/>
    <mergeCell ref="A2:T2"/>
  </mergeCells>
  <ignoredErrors>
    <ignoredError numberStoredAsText="1" sqref="A1:T25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T7"/>
  <sheetViews>
    <sheetView workbookViewId="0"/>
  </sheetViews>
  <cols>
    <col min="1" max="1" width="6.83203125" customWidth="1"/>
    <col min="2" max="2" width="38.83203125" customWidth="1"/>
    <col min="3" max="3" width="20.83203125" customWidth="1"/>
    <col min="4" max="4" width="24.83203125" customWidth="1"/>
    <col min="5" max="5" width="14.83203125" customWidth="1"/>
    <col min="6" max="6" width="16.83203125" customWidth="1"/>
    <col min="7" max="7" width="16.83203125" customWidth="1"/>
    <col min="8" max="8" width="16.83203125" customWidth="1"/>
    <col min="9" max="9" width="16.83203125" customWidth="1"/>
    <col min="10" max="10" width="18.83203125" customWidth="1"/>
    <col min="11" max="11" width="15.83203125" customWidth="1"/>
    <col min="12" max="12" width="22.83203125" customWidth="1"/>
    <col min="13" max="13" width="22.83203125" customWidth="1"/>
    <col min="14" max="14" width="22.83203125" customWidth="1"/>
    <col min="15" max="15" width="18.83203125" customWidth="1"/>
    <col min="16" max="16" width="14.83203125" customWidth="1"/>
    <col min="17" max="17" width="20.83203125" customWidth="1"/>
    <col min="18" max="18" width="18.83203125" customWidth="1"/>
    <col min="19" max="19" width="18.83203125" customWidth="1"/>
    <col min="20" max="20" width="22.83203125" customWidth="1"/>
  </cols>
  <sheetData>
    <row r="1">
      <c r="A1" t="str">
        <v>رفيق POS - قائمة أصناف قسم: [مخبوزات]</v>
      </c>
    </row>
    <row r="2">
      <c r="A2" t="str">
        <v>تعليمات هامة: الأعمدة المميزة بنجمة (*) إلزامية | اسم التابة يمثل القسم تلقائياً | المبالغ بالجنيه المصري | الأعمدة الملونة تحتوي على معادلات إكسل تتحدث تلقائياً</v>
      </c>
    </row>
    <row r="3">
      <c r="A3" t="str">
        <v>م</v>
      </c>
      <c r="B3" t="str">
        <v>اسم الصنف *</v>
      </c>
      <c r="C3" t="str">
        <v>الباركود الرئيسي</v>
      </c>
      <c r="D3" t="str">
        <v>باركودات إضافية (مفصولة بفاصلة)</v>
      </c>
      <c r="E3" t="str">
        <v>الوحدة (قطعة / كجم)</v>
      </c>
      <c r="F3" t="str">
        <v>سعر البيع (بالجنيه) *</v>
      </c>
      <c r="G3" t="str">
        <v>سعر التكلفة (بالجنيه)</v>
      </c>
      <c r="H3" t="str">
        <v>الرصيد الافتتاحي</v>
      </c>
      <c r="I3" t="str">
        <v>حد الطلب الأدنى</v>
      </c>
      <c r="J3" t="str">
        <v>هامش الربح للقطعة (ج.م)</v>
      </c>
      <c r="K3" t="str">
        <v>نسبة الربح (%)</v>
      </c>
      <c r="L3" t="str">
        <v>إجمالي قيمة التكلفة (ج.م)</v>
      </c>
      <c r="M3" t="str">
        <v>إجمالي القيمة البيعية (ج.م)</v>
      </c>
      <c r="N3" t="str">
        <v>إجمالي الربح المتوقع (ج.م)</v>
      </c>
      <c r="O3" t="str">
        <v>حالة المخزون التلقائية</v>
      </c>
      <c r="P3" t="str">
        <v>نسبة الضريبة (%)</v>
      </c>
      <c r="Q3" t="str">
        <v>كود الصنف الداخلي (SKU)</v>
      </c>
      <c r="R3" t="str">
        <v>اللون (اختياري / للملابس)</v>
      </c>
      <c r="S3" t="str">
        <v>المقاس (اختياري / للملابس)</v>
      </c>
      <c r="T3" t="str">
        <v>كود التصنيف الضريبي (GS1/EGS)</v>
      </c>
    </row>
    <row r="4">
      <c r="A4">
        <v>1</v>
      </c>
      <c r="B4" t="str">
        <v>عيش فينو كيس 5 رغيف طازج</v>
      </c>
      <c r="C4" t="str">
        <v>6229007788016</v>
      </c>
      <c r="D4" t="str">
        <v/>
      </c>
      <c r="E4" t="str">
        <v>قطعة</v>
      </c>
      <c r="F4">
        <v>10</v>
      </c>
      <c r="G4">
        <v>7</v>
      </c>
      <c r="H4">
        <v>0</v>
      </c>
      <c r="I4">
        <v>8</v>
      </c>
      <c r="J4">
        <f>F4-G4</f>
        <v>3</v>
      </c>
      <c r="K4" s="1">
        <f>IF(G4&gt;0, (F4-G4)/G4, 0)</f>
        <v>0.4286</v>
      </c>
      <c r="L4" s="2">
        <f>H4*G4</f>
        <v>0</v>
      </c>
      <c r="M4" s="2">
        <f>H4*F4</f>
        <v>0</v>
      </c>
      <c r="N4" s="2">
        <f>M4-L4</f>
        <v>0</v>
      </c>
      <c r="O4" t="str">
        <f>IF(H4&lt;=0, "نفد من المخزن", IF(H4&lt;=I4, "قارب على النفاد", "متوفر بالمخزن"))</f>
        <v>نفد من المخزن</v>
      </c>
      <c r="P4">
        <v>0</v>
      </c>
      <c r="Q4" t="str">
        <v>SKU-0142</v>
      </c>
      <c r="R4" t="str">
        <v/>
      </c>
      <c r="S4" t="str">
        <v/>
      </c>
      <c r="T4" t="str">
        <v/>
      </c>
    </row>
    <row r="5">
      <c r="A5">
        <v>2</v>
      </c>
      <c r="B5" t="str">
        <v>عيش توست أبيض فاخر ريتش بيك</v>
      </c>
      <c r="C5" t="str">
        <v>6221104400334</v>
      </c>
      <c r="D5" t="str">
        <v/>
      </c>
      <c r="E5" t="str">
        <v>قطعة</v>
      </c>
      <c r="F5">
        <v>45</v>
      </c>
      <c r="G5">
        <v>35</v>
      </c>
      <c r="H5">
        <v>0</v>
      </c>
      <c r="I5">
        <v>5</v>
      </c>
      <c r="J5">
        <f>F5-G5</f>
        <v>10</v>
      </c>
      <c r="K5" s="1">
        <f>IF(G5&gt;0, (F5-G5)/G5, 0)</f>
        <v>0.2857</v>
      </c>
      <c r="L5" s="2">
        <f>H5*G5</f>
        <v>0</v>
      </c>
      <c r="M5" s="2">
        <f>H5*F5</f>
        <v>0</v>
      </c>
      <c r="N5" s="2">
        <f>M5-L5</f>
        <v>0</v>
      </c>
      <c r="O5" t="str">
        <f>IF(H5&lt;=0, "نفد من المخزن", IF(H5&lt;=I5, "قارب على النفاد", "متوفر بالمخزن"))</f>
        <v>نفد من المخزن</v>
      </c>
      <c r="P5">
        <v>0</v>
      </c>
      <c r="Q5" t="str">
        <v>SKU-0143</v>
      </c>
      <c r="R5" t="str">
        <v/>
      </c>
      <c r="S5" t="str">
        <v/>
      </c>
      <c r="T5" t="str">
        <v/>
      </c>
    </row>
    <row r="6">
      <c r="A6">
        <v>3</v>
      </c>
      <c r="B6" t="str">
        <v>بقسماط مطحون الضحى 500 جم</v>
      </c>
      <c r="C6" t="str">
        <v>6223000660089</v>
      </c>
      <c r="D6" t="str">
        <v/>
      </c>
      <c r="E6" t="str">
        <v>قطعة</v>
      </c>
      <c r="F6">
        <v>28</v>
      </c>
      <c r="G6">
        <v>21</v>
      </c>
      <c r="H6">
        <v>0</v>
      </c>
      <c r="I6">
        <v>6</v>
      </c>
      <c r="J6">
        <f>F6-G6</f>
        <v>7</v>
      </c>
      <c r="K6" s="1">
        <f>IF(G6&gt;0, (F6-G6)/G6, 0)</f>
        <v>0.3333</v>
      </c>
      <c r="L6" s="2">
        <f>H6*G6</f>
        <v>0</v>
      </c>
      <c r="M6" s="2">
        <f>H6*F6</f>
        <v>0</v>
      </c>
      <c r="N6" s="2">
        <f>M6-L6</f>
        <v>0</v>
      </c>
      <c r="O6" t="str">
        <f>IF(H6&lt;=0, "نفد من المخزن", IF(H6&lt;=I6, "قارب على النفاد", "متوفر بالمخزن"))</f>
        <v>نفد من المخزن</v>
      </c>
      <c r="P6">
        <v>0</v>
      </c>
      <c r="Q6" t="str">
        <v>SKU-0144</v>
      </c>
      <c r="R6" t="str">
        <v/>
      </c>
      <c r="S6" t="str">
        <v/>
      </c>
      <c r="T6" t="str">
        <v/>
      </c>
    </row>
    <row r="7">
      <c r="A7" t="str">
        <v>الإجمالي</v>
      </c>
      <c r="B7" t="str">
        <v>إجمالي 3 صنف مسجل</v>
      </c>
      <c r="C7" t="str">
        <v/>
      </c>
      <c r="D7" t="str">
        <v/>
      </c>
      <c r="E7" t="str">
        <v/>
      </c>
      <c r="F7" s="2">
        <f>AVERAGE(F4:F6)</f>
      </c>
      <c r="G7" s="2">
        <f>AVERAGE(G4:G6)</f>
      </c>
      <c r="H7" s="3">
        <f>SUM(H4:H6)</f>
      </c>
      <c r="I7" t="str">
        <v/>
      </c>
      <c r="J7" s="2">
        <f>AVERAGE(J4:J6)</f>
      </c>
      <c r="K7" s="1">
        <f>IF(L7&gt;0, N7/L7, 0)</f>
      </c>
      <c r="L7" s="2">
        <f>SUM(L4:L6)</f>
      </c>
      <c r="M7" s="2">
        <f>SUM(M4:M6)</f>
      </c>
      <c r="N7" s="2">
        <f>SUM(N4:N6)</f>
      </c>
      <c r="O7" t="str">
        <v>محسوب بمعادلات إكسل</v>
      </c>
      <c r="P7" t="str">
        <v/>
      </c>
      <c r="Q7" t="str">
        <v/>
      </c>
      <c r="R7" t="str">
        <v/>
      </c>
      <c r="S7" t="str">
        <v/>
      </c>
      <c r="T7" t="str">
        <v/>
      </c>
    </row>
  </sheetData>
  <mergeCells count="2">
    <mergeCell ref="A1:T1"/>
    <mergeCell ref="A2:T2"/>
  </mergeCells>
  <ignoredErrors>
    <ignoredError numberStoredAsText="1" sqref="A1:T7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T11"/>
  <sheetViews>
    <sheetView workbookViewId="0"/>
  </sheetViews>
  <cols>
    <col min="1" max="1" width="6.83203125" customWidth="1"/>
    <col min="2" max="2" width="38.83203125" customWidth="1"/>
    <col min="3" max="3" width="20.83203125" customWidth="1"/>
    <col min="4" max="4" width="24.83203125" customWidth="1"/>
    <col min="5" max="5" width="14.83203125" customWidth="1"/>
    <col min="6" max="6" width="16.83203125" customWidth="1"/>
    <col min="7" max="7" width="16.83203125" customWidth="1"/>
    <col min="8" max="8" width="16.83203125" customWidth="1"/>
    <col min="9" max="9" width="16.83203125" customWidth="1"/>
    <col min="10" max="10" width="18.83203125" customWidth="1"/>
    <col min="11" max="11" width="15.83203125" customWidth="1"/>
    <col min="12" max="12" width="22.83203125" customWidth="1"/>
    <col min="13" max="13" width="22.83203125" customWidth="1"/>
    <col min="14" max="14" width="22.83203125" customWidth="1"/>
    <col min="15" max="15" width="18.83203125" customWidth="1"/>
    <col min="16" max="16" width="14.83203125" customWidth="1"/>
    <col min="17" max="17" width="20.83203125" customWidth="1"/>
    <col min="18" max="18" width="18.83203125" customWidth="1"/>
    <col min="19" max="19" width="18.83203125" customWidth="1"/>
    <col min="20" max="20" width="22.83203125" customWidth="1"/>
  </cols>
  <sheetData>
    <row r="1">
      <c r="A1" t="str">
        <v>رفيق POS - قائمة أصناف قسم: [خضار وفاكهة]</v>
      </c>
    </row>
    <row r="2">
      <c r="A2" t="str">
        <v>تعليمات هامة: الأعمدة المميزة بنجمة (*) إلزامية | اسم التابة يمثل القسم تلقائياً | المبالغ بالجنيه المصري | الأعمدة الملونة تحتوي على معادلات إكسل تتحدث تلقائياً</v>
      </c>
    </row>
    <row r="3">
      <c r="A3" t="str">
        <v>م</v>
      </c>
      <c r="B3" t="str">
        <v>اسم الصنف *</v>
      </c>
      <c r="C3" t="str">
        <v>الباركود الرئيسي</v>
      </c>
      <c r="D3" t="str">
        <v>باركودات إضافية (مفصولة بفاصلة)</v>
      </c>
      <c r="E3" t="str">
        <v>الوحدة (قطعة / كجم)</v>
      </c>
      <c r="F3" t="str">
        <v>سعر البيع (بالجنيه) *</v>
      </c>
      <c r="G3" t="str">
        <v>سعر التكلفة (بالجنيه)</v>
      </c>
      <c r="H3" t="str">
        <v>الرصيد الافتتاحي</v>
      </c>
      <c r="I3" t="str">
        <v>حد الطلب الأدنى</v>
      </c>
      <c r="J3" t="str">
        <v>هامش الربح للقطعة (ج.م)</v>
      </c>
      <c r="K3" t="str">
        <v>نسبة الربح (%)</v>
      </c>
      <c r="L3" t="str">
        <v>إجمالي قيمة التكلفة (ج.م)</v>
      </c>
      <c r="M3" t="str">
        <v>إجمالي القيمة البيعية (ج.م)</v>
      </c>
      <c r="N3" t="str">
        <v>إجمالي الربح المتوقع (ج.م)</v>
      </c>
      <c r="O3" t="str">
        <v>حالة المخزون التلقائية</v>
      </c>
      <c r="P3" t="str">
        <v>نسبة الضريبة (%)</v>
      </c>
      <c r="Q3" t="str">
        <v>كود الصنف الداخلي (SKU)</v>
      </c>
      <c r="R3" t="str">
        <v>اللون (اختياري / للملابس)</v>
      </c>
      <c r="S3" t="str">
        <v>المقاس (اختياري / للملابس)</v>
      </c>
      <c r="T3" t="str">
        <v>كود التصنيف الضريبي (GS1/EGS)</v>
      </c>
    </row>
    <row r="4">
      <c r="A4">
        <v>1</v>
      </c>
      <c r="B4" t="str">
        <v>طماطم بلدي طازجة سلك كجم</v>
      </c>
      <c r="C4" t="str">
        <v>2001</v>
      </c>
      <c r="D4" t="str">
        <v/>
      </c>
      <c r="E4" t="str">
        <v>كجم</v>
      </c>
      <c r="F4">
        <v>15</v>
      </c>
      <c r="G4">
        <v>10</v>
      </c>
      <c r="H4">
        <v>0</v>
      </c>
      <c r="I4">
        <v>15</v>
      </c>
      <c r="J4">
        <f>F4-G4</f>
        <v>5</v>
      </c>
      <c r="K4" s="1">
        <f>IF(G4&gt;0, (F4-G4)/G4, 0)</f>
        <v>0.5</v>
      </c>
      <c r="L4" s="2">
        <f>H4*G4</f>
        <v>0</v>
      </c>
      <c r="M4" s="2">
        <f>H4*F4</f>
        <v>0</v>
      </c>
      <c r="N4" s="2">
        <f>M4-L4</f>
        <v>0</v>
      </c>
      <c r="O4" t="str">
        <f>IF(H4&lt;=0, "نفد من المخزن", IF(H4&lt;=I4, "قارب على النفاد", "متوفر بالمخزن"))</f>
        <v>نفد من المخزن</v>
      </c>
      <c r="P4">
        <v>0</v>
      </c>
      <c r="Q4" t="str">
        <v>SKU-0145</v>
      </c>
      <c r="R4" t="str">
        <v/>
      </c>
      <c r="S4" t="str">
        <v/>
      </c>
      <c r="T4" t="str">
        <v/>
      </c>
    </row>
    <row r="5">
      <c r="A5">
        <v>2</v>
      </c>
      <c r="B5" t="str">
        <v>بطاطس كارا تحمير كجم</v>
      </c>
      <c r="C5" t="str">
        <v>2002</v>
      </c>
      <c r="D5" t="str">
        <v/>
      </c>
      <c r="E5" t="str">
        <v>كجم</v>
      </c>
      <c r="F5">
        <v>18</v>
      </c>
      <c r="G5">
        <v>12.5</v>
      </c>
      <c r="H5">
        <v>0</v>
      </c>
      <c r="I5">
        <v>20</v>
      </c>
      <c r="J5">
        <f>F5-G5</f>
        <v>5.5</v>
      </c>
      <c r="K5" s="1">
        <f>IF(G5&gt;0, (F5-G5)/G5, 0)</f>
        <v>0.44</v>
      </c>
      <c r="L5" s="2">
        <f>H5*G5</f>
        <v>0</v>
      </c>
      <c r="M5" s="2">
        <f>H5*F5</f>
        <v>0</v>
      </c>
      <c r="N5" s="2">
        <f>M5-L5</f>
        <v>0</v>
      </c>
      <c r="O5" t="str">
        <f>IF(H5&lt;=0, "نفد من المخزن", IF(H5&lt;=I5, "قارب على النفاد", "متوفر بالمخزن"))</f>
        <v>نفد من المخزن</v>
      </c>
      <c r="P5">
        <v>0</v>
      </c>
      <c r="Q5" t="str">
        <v>SKU-0146</v>
      </c>
      <c r="R5" t="str">
        <v/>
      </c>
      <c r="S5" t="str">
        <v/>
      </c>
      <c r="T5" t="str">
        <v/>
      </c>
    </row>
    <row r="6">
      <c r="A6">
        <v>3</v>
      </c>
      <c r="B6" t="str">
        <v>بصل أحمر بلدي كجم</v>
      </c>
      <c r="C6" t="str">
        <v>2003</v>
      </c>
      <c r="D6" t="str">
        <v/>
      </c>
      <c r="E6" t="str">
        <v>كجم</v>
      </c>
      <c r="F6">
        <v>14</v>
      </c>
      <c r="G6">
        <v>9.5</v>
      </c>
      <c r="H6">
        <v>0</v>
      </c>
      <c r="I6">
        <v>15</v>
      </c>
      <c r="J6">
        <f>F6-G6</f>
        <v>4.5</v>
      </c>
      <c r="K6" s="1">
        <f>IF(G6&gt;0, (F6-G6)/G6, 0)</f>
        <v>0.4737</v>
      </c>
      <c r="L6" s="2">
        <f>H6*G6</f>
        <v>0</v>
      </c>
      <c r="M6" s="2">
        <f>H6*F6</f>
        <v>0</v>
      </c>
      <c r="N6" s="2">
        <f>M6-L6</f>
        <v>0</v>
      </c>
      <c r="O6" t="str">
        <f>IF(H6&lt;=0, "نفد من المخزن", IF(H6&lt;=I6, "قارب على النفاد", "متوفر بالمخزن"))</f>
        <v>نفد من المخزن</v>
      </c>
      <c r="P6">
        <v>0</v>
      </c>
      <c r="Q6" t="str">
        <v>SKU-0147</v>
      </c>
      <c r="R6" t="str">
        <v/>
      </c>
      <c r="S6" t="str">
        <v/>
      </c>
      <c r="T6" t="str">
        <v/>
      </c>
    </row>
    <row r="7">
      <c r="A7">
        <v>4</v>
      </c>
      <c r="B7" t="str">
        <v>خيار بلدي صوب كجم</v>
      </c>
      <c r="C7" t="str">
        <v>2005</v>
      </c>
      <c r="D7" t="str">
        <v/>
      </c>
      <c r="E7" t="str">
        <v>كجم</v>
      </c>
      <c r="F7">
        <v>16</v>
      </c>
      <c r="G7">
        <v>11</v>
      </c>
      <c r="H7">
        <v>0</v>
      </c>
      <c r="I7">
        <v>10</v>
      </c>
      <c r="J7">
        <f>F7-G7</f>
        <v>5</v>
      </c>
      <c r="K7" s="1">
        <f>IF(G7&gt;0, (F7-G7)/G7, 0)</f>
        <v>0.4545</v>
      </c>
      <c r="L7" s="2">
        <f>H7*G7</f>
        <v>0</v>
      </c>
      <c r="M7" s="2">
        <f>H7*F7</f>
        <v>0</v>
      </c>
      <c r="N7" s="2">
        <f>M7-L7</f>
        <v>0</v>
      </c>
      <c r="O7" t="str">
        <f>IF(H7&lt;=0, "نفد من المخزن", IF(H7&lt;=I7, "قارب على النفاد", "متوفر بالمخزن"))</f>
        <v>نفد من المخزن</v>
      </c>
      <c r="P7">
        <v>0</v>
      </c>
      <c r="Q7" t="str">
        <v>SKU-0148</v>
      </c>
      <c r="R7" t="str">
        <v/>
      </c>
      <c r="S7" t="str">
        <v/>
      </c>
      <c r="T7" t="str">
        <v/>
      </c>
    </row>
    <row r="8">
      <c r="A8">
        <v>5</v>
      </c>
      <c r="B8" t="str">
        <v>ليمون بلدي أصفر كجم</v>
      </c>
      <c r="C8" t="str">
        <v>2006</v>
      </c>
      <c r="D8" t="str">
        <v/>
      </c>
      <c r="E8" t="str">
        <v>كجم</v>
      </c>
      <c r="F8">
        <v>25</v>
      </c>
      <c r="G8">
        <v>17</v>
      </c>
      <c r="H8">
        <v>0</v>
      </c>
      <c r="I8">
        <v>6</v>
      </c>
      <c r="J8">
        <f>F8-G8</f>
        <v>8</v>
      </c>
      <c r="K8" s="1">
        <f>IF(G8&gt;0, (F8-G8)/G8, 0)</f>
        <v>0.4706</v>
      </c>
      <c r="L8" s="2">
        <f>H8*G8</f>
        <v>0</v>
      </c>
      <c r="M8" s="2">
        <f>H8*F8</f>
        <v>0</v>
      </c>
      <c r="N8" s="2">
        <f>M8-L8</f>
        <v>0</v>
      </c>
      <c r="O8" t="str">
        <f>IF(H8&lt;=0, "نفد من المخزن", IF(H8&lt;=I8, "قارب على النفاد", "متوفر بالمخزن"))</f>
        <v>نفد من المخزن</v>
      </c>
      <c r="P8">
        <v>0</v>
      </c>
      <c r="Q8" t="str">
        <v>SKU-0149</v>
      </c>
      <c r="R8" t="str">
        <v/>
      </c>
      <c r="S8" t="str">
        <v/>
      </c>
      <c r="T8" t="str">
        <v/>
      </c>
    </row>
    <row r="9">
      <c r="A9">
        <v>6</v>
      </c>
      <c r="B9" t="str">
        <v>موز بلدي سكري كجم</v>
      </c>
      <c r="C9" t="str">
        <v>2015</v>
      </c>
      <c r="D9" t="str">
        <v/>
      </c>
      <c r="E9" t="str">
        <v>كجم</v>
      </c>
      <c r="F9">
        <v>20</v>
      </c>
      <c r="G9">
        <v>14.5</v>
      </c>
      <c r="H9">
        <v>0</v>
      </c>
      <c r="I9">
        <v>10</v>
      </c>
      <c r="J9">
        <f>F9-G9</f>
        <v>5.5</v>
      </c>
      <c r="K9" s="1">
        <f>IF(G9&gt;0, (F9-G9)/G9, 0)</f>
        <v>0.3793</v>
      </c>
      <c r="L9" s="2">
        <f>H9*G9</f>
        <v>0</v>
      </c>
      <c r="M9" s="2">
        <f>H9*F9</f>
        <v>0</v>
      </c>
      <c r="N9" s="2">
        <f>M9-L9</f>
        <v>0</v>
      </c>
      <c r="O9" t="str">
        <f>IF(H9&lt;=0, "نفد من المخزن", IF(H9&lt;=I9, "قارب على النفاد", "متوفر بالمخزن"))</f>
        <v>نفد من المخزن</v>
      </c>
      <c r="P9">
        <v>0</v>
      </c>
      <c r="Q9" t="str">
        <v>SKU-0150</v>
      </c>
      <c r="R9" t="str">
        <v/>
      </c>
      <c r="S9" t="str">
        <v/>
      </c>
      <c r="T9" t="str">
        <v/>
      </c>
    </row>
    <row r="10">
      <c r="A10">
        <v>7</v>
      </c>
      <c r="B10" t="str">
        <v>تفاح أحمر سكري كجم</v>
      </c>
      <c r="C10" t="str">
        <v>2016</v>
      </c>
      <c r="D10" t="str">
        <v/>
      </c>
      <c r="E10" t="str">
        <v>كجم</v>
      </c>
      <c r="F10">
        <v>45</v>
      </c>
      <c r="G10">
        <v>34</v>
      </c>
      <c r="H10">
        <v>0</v>
      </c>
      <c r="I10">
        <v>8</v>
      </c>
      <c r="J10">
        <f>F10-G10</f>
        <v>11</v>
      </c>
      <c r="K10" s="1">
        <f>IF(G10&gt;0, (F10-G10)/G10, 0)</f>
        <v>0.3235</v>
      </c>
      <c r="L10" s="2">
        <f>H10*G10</f>
        <v>0</v>
      </c>
      <c r="M10" s="2">
        <f>H10*F10</f>
        <v>0</v>
      </c>
      <c r="N10" s="2">
        <f>M10-L10</f>
        <v>0</v>
      </c>
      <c r="O10" t="str">
        <f>IF(H10&lt;=0, "نفد من المخزن", IF(H10&lt;=I10, "قارب على النفاد", "متوفر بالمخزن"))</f>
        <v>نفد من المخزن</v>
      </c>
      <c r="P10">
        <v>0</v>
      </c>
      <c r="Q10" t="str">
        <v>SKU-0151</v>
      </c>
      <c r="R10" t="str">
        <v/>
      </c>
      <c r="S10" t="str">
        <v/>
      </c>
      <c r="T10" t="str">
        <v/>
      </c>
    </row>
    <row r="11">
      <c r="A11" t="str">
        <v>الإجمالي</v>
      </c>
      <c r="B11" t="str">
        <v>إجمالي 7 صنف مسجل</v>
      </c>
      <c r="C11" t="str">
        <v/>
      </c>
      <c r="D11" t="str">
        <v/>
      </c>
      <c r="E11" t="str">
        <v/>
      </c>
      <c r="F11" s="2">
        <f>AVERAGE(F4:F10)</f>
      </c>
      <c r="G11" s="2">
        <f>AVERAGE(G4:G10)</f>
      </c>
      <c r="H11" s="3">
        <f>SUM(H4:H10)</f>
      </c>
      <c r="I11" t="str">
        <v/>
      </c>
      <c r="J11" s="2">
        <f>AVERAGE(J4:J10)</f>
      </c>
      <c r="K11" s="1">
        <f>IF(L11&gt;0, N11/L11, 0)</f>
      </c>
      <c r="L11" s="2">
        <f>SUM(L4:L10)</f>
      </c>
      <c r="M11" s="2">
        <f>SUM(M4:M10)</f>
      </c>
      <c r="N11" s="2">
        <f>SUM(N4:N10)</f>
      </c>
      <c r="O11" t="str">
        <v>محسوب بمعادلات إكسل</v>
      </c>
      <c r="P11" t="str">
        <v/>
      </c>
      <c r="Q11" t="str">
        <v/>
      </c>
      <c r="R11" t="str">
        <v/>
      </c>
      <c r="S11" t="str">
        <v/>
      </c>
      <c r="T11" t="str">
        <v/>
      </c>
    </row>
  </sheetData>
  <mergeCells count="2">
    <mergeCell ref="A1:T1"/>
    <mergeCell ref="A2:T2"/>
  </mergeCells>
  <ignoredErrors>
    <ignoredError numberStoredAsText="1" sqref="A1:T11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T9"/>
  <sheetViews>
    <sheetView workbookViewId="0"/>
  </sheetViews>
  <cols>
    <col min="1" max="1" width="6.83203125" customWidth="1"/>
    <col min="2" max="2" width="38.83203125" customWidth="1"/>
    <col min="3" max="3" width="20.83203125" customWidth="1"/>
    <col min="4" max="4" width="24.83203125" customWidth="1"/>
    <col min="5" max="5" width="14.83203125" customWidth="1"/>
    <col min="6" max="6" width="16.83203125" customWidth="1"/>
    <col min="7" max="7" width="16.83203125" customWidth="1"/>
    <col min="8" max="8" width="16.83203125" customWidth="1"/>
    <col min="9" max="9" width="16.83203125" customWidth="1"/>
    <col min="10" max="10" width="18.83203125" customWidth="1"/>
    <col min="11" max="11" width="15.83203125" customWidth="1"/>
    <col min="12" max="12" width="22.83203125" customWidth="1"/>
    <col min="13" max="13" width="22.83203125" customWidth="1"/>
    <col min="14" max="14" width="22.83203125" customWidth="1"/>
    <col min="15" max="15" width="18.83203125" customWidth="1"/>
    <col min="16" max="16" width="14.83203125" customWidth="1"/>
    <col min="17" max="17" width="20.83203125" customWidth="1"/>
    <col min="18" max="18" width="18.83203125" customWidth="1"/>
    <col min="19" max="19" width="18.83203125" customWidth="1"/>
    <col min="20" max="20" width="22.83203125" customWidth="1"/>
  </cols>
  <sheetData>
    <row r="1">
      <c r="A1" t="str">
        <v>رفيق POS - قائمة أصناف قسم: [مجمدات]</v>
      </c>
    </row>
    <row r="2">
      <c r="A2" t="str">
        <v>تعليمات هامة: الأعمدة المميزة بنجمة (*) إلزامية | اسم التابة يمثل القسم تلقائياً | المبالغ بالجنيه المصري | الأعمدة الملونة تحتوي على معادلات إكسل تتحدث تلقائياً</v>
      </c>
    </row>
    <row r="3">
      <c r="A3" t="str">
        <v>م</v>
      </c>
      <c r="B3" t="str">
        <v>اسم الصنف *</v>
      </c>
      <c r="C3" t="str">
        <v>الباركود الرئيسي</v>
      </c>
      <c r="D3" t="str">
        <v>باركودات إضافية (مفصولة بفاصلة)</v>
      </c>
      <c r="E3" t="str">
        <v>الوحدة (قطعة / كجم)</v>
      </c>
      <c r="F3" t="str">
        <v>سعر البيع (بالجنيه) *</v>
      </c>
      <c r="G3" t="str">
        <v>سعر التكلفة (بالجنيه)</v>
      </c>
      <c r="H3" t="str">
        <v>الرصيد الافتتاحي</v>
      </c>
      <c r="I3" t="str">
        <v>حد الطلب الأدنى</v>
      </c>
      <c r="J3" t="str">
        <v>هامش الربح للقطعة (ج.م)</v>
      </c>
      <c r="K3" t="str">
        <v>نسبة الربح (%)</v>
      </c>
      <c r="L3" t="str">
        <v>إجمالي قيمة التكلفة (ج.م)</v>
      </c>
      <c r="M3" t="str">
        <v>إجمالي القيمة البيعية (ج.م)</v>
      </c>
      <c r="N3" t="str">
        <v>إجمالي الربح المتوقع (ج.م)</v>
      </c>
      <c r="O3" t="str">
        <v>حالة المخزون التلقائية</v>
      </c>
      <c r="P3" t="str">
        <v>نسبة الضريبة (%)</v>
      </c>
      <c r="Q3" t="str">
        <v>كود الصنف الداخلي (SKU)</v>
      </c>
      <c r="R3" t="str">
        <v>اللون (اختياري / للملابس)</v>
      </c>
      <c r="S3" t="str">
        <v>المقاس (اختياري / للملابس)</v>
      </c>
      <c r="T3" t="str">
        <v>كود التصنيف الضريبي (GS1/EGS)</v>
      </c>
    </row>
    <row r="4">
      <c r="A4">
        <v>1</v>
      </c>
      <c r="B4" t="str">
        <v>ملوخية مفرومة مجمدة بسمة 400 جم</v>
      </c>
      <c r="C4" t="str">
        <v>6221070001016</v>
      </c>
      <c r="D4" t="str">
        <v/>
      </c>
      <c r="E4" t="str">
        <v>قطعة</v>
      </c>
      <c r="F4">
        <v>20</v>
      </c>
      <c r="G4">
        <v>15</v>
      </c>
      <c r="H4">
        <v>0</v>
      </c>
      <c r="I4">
        <v>6</v>
      </c>
      <c r="J4">
        <f>F4-G4</f>
        <v>5</v>
      </c>
      <c r="K4" s="1">
        <f>IF(G4&gt;0, (F4-G4)/G4, 0)</f>
        <v>0.3333</v>
      </c>
      <c r="L4" s="2">
        <f>H4*G4</f>
        <v>0</v>
      </c>
      <c r="M4" s="2">
        <f>H4*F4</f>
        <v>0</v>
      </c>
      <c r="N4" s="2">
        <f>M4-L4</f>
        <v>0</v>
      </c>
      <c r="O4" t="str">
        <f>IF(H4&lt;=0, "نفد من المخزن", IF(H4&lt;=I4, "قارب على النفاد", "متوفر بالمخزن"))</f>
        <v>نفد من المخزن</v>
      </c>
      <c r="P4">
        <v>0</v>
      </c>
      <c r="Q4" t="str">
        <v>SKU-0152</v>
      </c>
      <c r="R4" t="str">
        <v/>
      </c>
      <c r="S4" t="str">
        <v/>
      </c>
      <c r="T4" t="str">
        <v/>
      </c>
    </row>
    <row r="5">
      <c r="A5">
        <v>2</v>
      </c>
      <c r="B5" t="str">
        <v>بازلاء وجزر مجمدة بسمة 400 جم</v>
      </c>
      <c r="C5" t="str">
        <v>6221070002013</v>
      </c>
      <c r="D5" t="str">
        <v/>
      </c>
      <c r="E5" t="str">
        <v>قطعة</v>
      </c>
      <c r="F5">
        <v>25</v>
      </c>
      <c r="G5">
        <v>19</v>
      </c>
      <c r="H5">
        <v>0</v>
      </c>
      <c r="I5">
        <v>5</v>
      </c>
      <c r="J5">
        <f>F5-G5</f>
        <v>6</v>
      </c>
      <c r="K5" s="1">
        <f>IF(G5&gt;0, (F5-G5)/G5, 0)</f>
        <v>0.3158</v>
      </c>
      <c r="L5" s="2">
        <f>H5*G5</f>
        <v>0</v>
      </c>
      <c r="M5" s="2">
        <f>H5*F5</f>
        <v>0</v>
      </c>
      <c r="N5" s="2">
        <f>M5-L5</f>
        <v>0</v>
      </c>
      <c r="O5" t="str">
        <f>IF(H5&lt;=0, "نفد من المخزن", IF(H5&lt;=I5, "قارب على النفاد", "متوفر بالمخزن"))</f>
        <v>نفد من المخزن</v>
      </c>
      <c r="P5">
        <v>0</v>
      </c>
      <c r="Q5" t="str">
        <v>SKU-0153</v>
      </c>
      <c r="R5" t="str">
        <v/>
      </c>
      <c r="S5" t="str">
        <v/>
      </c>
      <c r="T5" t="str">
        <v/>
      </c>
    </row>
    <row r="6">
      <c r="A6">
        <v>3</v>
      </c>
      <c r="B6" t="str">
        <v>بطاطس نصف مقلية فارم فريتس 1 كجم</v>
      </c>
      <c r="C6" t="str">
        <v>6221070003010</v>
      </c>
      <c r="D6" t="str">
        <v/>
      </c>
      <c r="E6" t="str">
        <v>قطعة</v>
      </c>
      <c r="F6">
        <v>65</v>
      </c>
      <c r="G6">
        <v>51</v>
      </c>
      <c r="H6">
        <v>0</v>
      </c>
      <c r="I6">
        <v>5</v>
      </c>
      <c r="J6">
        <f>F6-G6</f>
        <v>14</v>
      </c>
      <c r="K6" s="1">
        <f>IF(G6&gt;0, (F6-G6)/G6, 0)</f>
        <v>0.2745</v>
      </c>
      <c r="L6" s="2">
        <f>H6*G6</f>
        <v>0</v>
      </c>
      <c r="M6" s="2">
        <f>H6*F6</f>
        <v>0</v>
      </c>
      <c r="N6" s="2">
        <f>M6-L6</f>
        <v>0</v>
      </c>
      <c r="O6" t="str">
        <f>IF(H6&lt;=0, "نفد من المخزن", IF(H6&lt;=I6, "قارب على النفاد", "متوفر بالمخزن"))</f>
        <v>نفد من المخزن</v>
      </c>
      <c r="P6">
        <v>0</v>
      </c>
      <c r="Q6" t="str">
        <v>SKU-0154</v>
      </c>
      <c r="R6" t="str">
        <v/>
      </c>
      <c r="S6" t="str">
        <v/>
      </c>
      <c r="T6" t="str">
        <v/>
      </c>
    </row>
    <row r="7">
      <c r="A7">
        <v>4</v>
      </c>
      <c r="B7" t="str">
        <v>برجر بقري أطياب 8 قطع</v>
      </c>
      <c r="C7" t="str">
        <v>6221070004017</v>
      </c>
      <c r="D7" t="str">
        <v/>
      </c>
      <c r="E7" t="str">
        <v>قطعة</v>
      </c>
      <c r="F7">
        <v>95</v>
      </c>
      <c r="G7">
        <v>76</v>
      </c>
      <c r="H7">
        <v>0</v>
      </c>
      <c r="I7">
        <v>4</v>
      </c>
      <c r="J7">
        <f>F7-G7</f>
        <v>19</v>
      </c>
      <c r="K7" s="1">
        <f>IF(G7&gt;0, (F7-G7)/G7, 0)</f>
        <v>0.25</v>
      </c>
      <c r="L7" s="2">
        <f>H7*G7</f>
        <v>0</v>
      </c>
      <c r="M7" s="2">
        <f>H7*F7</f>
        <v>0</v>
      </c>
      <c r="N7" s="2">
        <f>M7-L7</f>
        <v>0</v>
      </c>
      <c r="O7" t="str">
        <f>IF(H7&lt;=0, "نفد من المخزن", IF(H7&lt;=I7, "قارب على النفاد", "متوفر بالمخزن"))</f>
        <v>نفد من المخزن</v>
      </c>
      <c r="P7">
        <v>0</v>
      </c>
      <c r="Q7" t="str">
        <v>SKU-0155</v>
      </c>
      <c r="R7" t="str">
        <v/>
      </c>
      <c r="S7" t="str">
        <v/>
      </c>
      <c r="T7" t="str">
        <v/>
      </c>
    </row>
    <row r="8">
      <c r="A8">
        <v>5</v>
      </c>
      <c r="B8" t="str">
        <v>هوت دوج بقري فرجلو 300 جم</v>
      </c>
      <c r="C8" t="str">
        <v>6221070005014</v>
      </c>
      <c r="D8" t="str">
        <v/>
      </c>
      <c r="E8" t="str">
        <v>قطعة</v>
      </c>
      <c r="F8">
        <v>55</v>
      </c>
      <c r="G8">
        <v>42</v>
      </c>
      <c r="H8">
        <v>0</v>
      </c>
      <c r="I8">
        <v>4</v>
      </c>
      <c r="J8">
        <f>F8-G8</f>
        <v>13</v>
      </c>
      <c r="K8" s="1">
        <f>IF(G8&gt;0, (F8-G8)/G8, 0)</f>
        <v>0.3095</v>
      </c>
      <c r="L8" s="2">
        <f>H8*G8</f>
        <v>0</v>
      </c>
      <c r="M8" s="2">
        <f>H8*F8</f>
        <v>0</v>
      </c>
      <c r="N8" s="2">
        <f>M8-L8</f>
        <v>0</v>
      </c>
      <c r="O8" t="str">
        <f>IF(H8&lt;=0, "نفد من المخزن", IF(H8&lt;=I8, "قارب على النفاد", "متوفر بالمخزن"))</f>
        <v>نفد من المخزن</v>
      </c>
      <c r="P8">
        <v>0</v>
      </c>
      <c r="Q8" t="str">
        <v>SKU-0156</v>
      </c>
      <c r="R8" t="str">
        <v/>
      </c>
      <c r="S8" t="str">
        <v/>
      </c>
      <c r="T8" t="str">
        <v/>
      </c>
    </row>
    <row r="9">
      <c r="A9" t="str">
        <v>الإجمالي</v>
      </c>
      <c r="B9" t="str">
        <v>إجمالي 5 صنف مسجل</v>
      </c>
      <c r="C9" t="str">
        <v/>
      </c>
      <c r="D9" t="str">
        <v/>
      </c>
      <c r="E9" t="str">
        <v/>
      </c>
      <c r="F9" s="2">
        <f>AVERAGE(F4:F8)</f>
      </c>
      <c r="G9" s="2">
        <f>AVERAGE(G4:G8)</f>
      </c>
      <c r="H9" s="3">
        <f>SUM(H4:H8)</f>
      </c>
      <c r="I9" t="str">
        <v/>
      </c>
      <c r="J9" s="2">
        <f>AVERAGE(J4:J8)</f>
      </c>
      <c r="K9" s="1">
        <f>IF(L9&gt;0, N9/L9, 0)</f>
      </c>
      <c r="L9" s="2">
        <f>SUM(L4:L8)</f>
      </c>
      <c r="M9" s="2">
        <f>SUM(M4:M8)</f>
      </c>
      <c r="N9" s="2">
        <f>SUM(N4:N8)</f>
      </c>
      <c r="O9" t="str">
        <v>محسوب بمعادلات إكسل</v>
      </c>
      <c r="P9" t="str">
        <v/>
      </c>
      <c r="Q9" t="str">
        <v/>
      </c>
      <c r="R9" t="str">
        <v/>
      </c>
      <c r="S9" t="str">
        <v/>
      </c>
      <c r="T9" t="str">
        <v/>
      </c>
    </row>
  </sheetData>
  <mergeCells count="2">
    <mergeCell ref="A1:T1"/>
    <mergeCell ref="A2:T2"/>
  </mergeCells>
  <ignoredErrors>
    <ignoredError numberStoredAsText="1" sqref="A1:T9"/>
  </ignoredErrors>
</worksheet>
</file>

<file path=xl/worksheets/sheet9.xml><?xml version="1.0" encoding="utf-8"?>
<worksheet xmlns="http://schemas.openxmlformats.org/spreadsheetml/2006/main" xmlns:r="http://schemas.openxmlformats.org/officeDocument/2006/relationships">
  <dimension ref="A1:T15"/>
  <sheetViews>
    <sheetView workbookViewId="0"/>
  </sheetViews>
  <cols>
    <col min="1" max="1" width="6.83203125" customWidth="1"/>
    <col min="2" max="2" width="38.83203125" customWidth="1"/>
    <col min="3" max="3" width="20.83203125" customWidth="1"/>
    <col min="4" max="4" width="24.83203125" customWidth="1"/>
    <col min="5" max="5" width="14.83203125" customWidth="1"/>
    <col min="6" max="6" width="16.83203125" customWidth="1"/>
    <col min="7" max="7" width="16.83203125" customWidth="1"/>
    <col min="8" max="8" width="16.83203125" customWidth="1"/>
    <col min="9" max="9" width="16.83203125" customWidth="1"/>
    <col min="10" max="10" width="18.83203125" customWidth="1"/>
    <col min="11" max="11" width="15.83203125" customWidth="1"/>
    <col min="12" max="12" width="22.83203125" customWidth="1"/>
    <col min="13" max="13" width="22.83203125" customWidth="1"/>
    <col min="14" max="14" width="22.83203125" customWidth="1"/>
    <col min="15" max="15" width="18.83203125" customWidth="1"/>
    <col min="16" max="16" width="14.83203125" customWidth="1"/>
    <col min="17" max="17" width="20.83203125" customWidth="1"/>
    <col min="18" max="18" width="18.83203125" customWidth="1"/>
    <col min="19" max="19" width="18.83203125" customWidth="1"/>
    <col min="20" max="20" width="22.83203125" customWidth="1"/>
  </cols>
  <sheetData>
    <row r="1">
      <c r="A1" t="str">
        <v>رفيق POS - قائمة أصناف قسم: [دخان وسجائر]</v>
      </c>
    </row>
    <row r="2">
      <c r="A2" t="str">
        <v>تعليمات هامة: الأعمدة المميزة بنجمة (*) إلزامية | اسم التابة يمثل القسم تلقائياً | المبالغ بالجنيه المصري | الأعمدة الملونة تحتوي على معادلات إكسل تتحدث تلقائياً</v>
      </c>
    </row>
    <row r="3">
      <c r="A3" t="str">
        <v>م</v>
      </c>
      <c r="B3" t="str">
        <v>اسم الصنف *</v>
      </c>
      <c r="C3" t="str">
        <v>الباركود الرئيسي</v>
      </c>
      <c r="D3" t="str">
        <v>باركودات إضافية (مفصولة بفاصلة)</v>
      </c>
      <c r="E3" t="str">
        <v>الوحدة (قطعة / كجم)</v>
      </c>
      <c r="F3" t="str">
        <v>سعر البيع (بالجنيه) *</v>
      </c>
      <c r="G3" t="str">
        <v>سعر التكلفة (بالجنيه)</v>
      </c>
      <c r="H3" t="str">
        <v>الرصيد الافتتاحي</v>
      </c>
      <c r="I3" t="str">
        <v>حد الطلب الأدنى</v>
      </c>
      <c r="J3" t="str">
        <v>هامش الربح للقطعة (ج.م)</v>
      </c>
      <c r="K3" t="str">
        <v>نسبة الربح (%)</v>
      </c>
      <c r="L3" t="str">
        <v>إجمالي قيمة التكلفة (ج.م)</v>
      </c>
      <c r="M3" t="str">
        <v>إجمالي القيمة البيعية (ج.م)</v>
      </c>
      <c r="N3" t="str">
        <v>إجمالي الربح المتوقع (ج.م)</v>
      </c>
      <c r="O3" t="str">
        <v>حالة المخزون التلقائية</v>
      </c>
      <c r="P3" t="str">
        <v>نسبة الضريبة (%)</v>
      </c>
      <c r="Q3" t="str">
        <v>كود الصنف الداخلي (SKU)</v>
      </c>
      <c r="R3" t="str">
        <v>اللون (اختياري / للملابس)</v>
      </c>
      <c r="S3" t="str">
        <v>المقاس (اختياري / للملابس)</v>
      </c>
      <c r="T3" t="str">
        <v>كود التصنيف الضريبي (GS1/EGS)</v>
      </c>
    </row>
    <row r="4">
      <c r="A4">
        <v>1</v>
      </c>
      <c r="B4" t="str">
        <v>علبة سجائر كليوباترا بوكس أبيض</v>
      </c>
      <c r="C4" t="str">
        <v>6229900010016</v>
      </c>
      <c r="D4" t="str">
        <v/>
      </c>
      <c r="E4" t="str">
        <v>قطعة</v>
      </c>
      <c r="F4">
        <v>40</v>
      </c>
      <c r="G4">
        <v>36</v>
      </c>
      <c r="H4">
        <v>0</v>
      </c>
      <c r="I4">
        <v>15</v>
      </c>
      <c r="J4">
        <f>F4-G4</f>
        <v>4</v>
      </c>
      <c r="K4" s="1">
        <f>IF(G4&gt;0, (F4-G4)/G4, 0)</f>
        <v>0.1111</v>
      </c>
      <c r="L4" s="2">
        <f>H4*G4</f>
        <v>0</v>
      </c>
      <c r="M4" s="2">
        <f>H4*F4</f>
        <v>0</v>
      </c>
      <c r="N4" s="2">
        <f>M4-L4</f>
        <v>0</v>
      </c>
      <c r="O4" t="str">
        <f>IF(H4&lt;=0, "نفد من المخزن", IF(H4&lt;=I4, "قارب على النفاد", "متوفر بالمخزن"))</f>
        <v>نفد من المخزن</v>
      </c>
      <c r="P4">
        <v>0</v>
      </c>
      <c r="Q4" t="str">
        <v>SKU-0157</v>
      </c>
      <c r="R4" t="str">
        <v/>
      </c>
      <c r="S4" t="str">
        <v/>
      </c>
      <c r="T4" t="str">
        <v/>
      </c>
    </row>
    <row r="5">
      <c r="A5">
        <v>2</v>
      </c>
      <c r="B5" t="str">
        <v>علبة سجائر كليوباترا كينج سايز أحمر</v>
      </c>
      <c r="C5" t="str">
        <v>6229900010061</v>
      </c>
      <c r="D5" t="str">
        <v/>
      </c>
      <c r="E5" t="str">
        <v>قطعة</v>
      </c>
      <c r="F5">
        <v>40</v>
      </c>
      <c r="G5">
        <v>36</v>
      </c>
      <c r="H5">
        <v>0</v>
      </c>
      <c r="I5">
        <v>12</v>
      </c>
      <c r="J5">
        <f>F5-G5</f>
        <v>4</v>
      </c>
      <c r="K5" s="1">
        <f>IF(G5&gt;0, (F5-G5)/G5, 0)</f>
        <v>0.1111</v>
      </c>
      <c r="L5" s="2">
        <f>H5*G5</f>
        <v>0</v>
      </c>
      <c r="M5" s="2">
        <f>H5*F5</f>
        <v>0</v>
      </c>
      <c r="N5" s="2">
        <f>M5-L5</f>
        <v>0</v>
      </c>
      <c r="O5" t="str">
        <f>IF(H5&lt;=0, "نفد من المخزن", IF(H5&lt;=I5, "قارب على النفاد", "متوفر بالمخزن"))</f>
        <v>نفد من المخزن</v>
      </c>
      <c r="P5">
        <v>0</v>
      </c>
      <c r="Q5" t="str">
        <v>SKU-0158</v>
      </c>
      <c r="R5" t="str">
        <v/>
      </c>
      <c r="S5" t="str">
        <v/>
      </c>
      <c r="T5" t="str">
        <v/>
      </c>
    </row>
    <row r="6">
      <c r="A6">
        <v>3</v>
      </c>
      <c r="B6" t="str">
        <v>علبة سجائر كليوباترا سوفت كوين</v>
      </c>
      <c r="C6" t="str">
        <v>6229900010078</v>
      </c>
      <c r="D6" t="str">
        <v/>
      </c>
      <c r="E6" t="str">
        <v>قطعة</v>
      </c>
      <c r="F6">
        <v>40</v>
      </c>
      <c r="G6">
        <v>36</v>
      </c>
      <c r="H6">
        <v>0</v>
      </c>
      <c r="I6">
        <v>12</v>
      </c>
      <c r="J6">
        <f>F6-G6</f>
        <v>4</v>
      </c>
      <c r="K6" s="1">
        <f>IF(G6&gt;0, (F6-G6)/G6, 0)</f>
        <v>0.1111</v>
      </c>
      <c r="L6" s="2">
        <f>H6*G6</f>
        <v>0</v>
      </c>
      <c r="M6" s="2">
        <f>H6*F6</f>
        <v>0</v>
      </c>
      <c r="N6" s="2">
        <f>M6-L6</f>
        <v>0</v>
      </c>
      <c r="O6" t="str">
        <f>IF(H6&lt;=0, "نفد من المخزن", IF(H6&lt;=I6, "قارب على النفاد", "متوفر بالمخزن"))</f>
        <v>نفد من المخزن</v>
      </c>
      <c r="P6">
        <v>0</v>
      </c>
      <c r="Q6" t="str">
        <v>SKU-0159</v>
      </c>
      <c r="R6" t="str">
        <v/>
      </c>
      <c r="S6" t="str">
        <v/>
      </c>
      <c r="T6" t="str">
        <v/>
      </c>
    </row>
    <row r="7">
      <c r="A7">
        <v>4</v>
      </c>
      <c r="B7" t="str">
        <v>علبة سجائر إل إم أزرق</v>
      </c>
      <c r="C7" t="str">
        <v>7622100800019</v>
      </c>
      <c r="D7" t="str">
        <v/>
      </c>
      <c r="E7" t="str">
        <v>قطعة</v>
      </c>
      <c r="F7">
        <v>74</v>
      </c>
      <c r="G7">
        <v>69</v>
      </c>
      <c r="H7">
        <v>0</v>
      </c>
      <c r="I7">
        <v>10</v>
      </c>
      <c r="J7">
        <f>F7-G7</f>
        <v>5</v>
      </c>
      <c r="K7" s="1">
        <f>IF(G7&gt;0, (F7-G7)/G7, 0)</f>
        <v>0.0725</v>
      </c>
      <c r="L7" s="2">
        <f>H7*G7</f>
        <v>0</v>
      </c>
      <c r="M7" s="2">
        <f>H7*F7</f>
        <v>0</v>
      </c>
      <c r="N7" s="2">
        <f>M7-L7</f>
        <v>0</v>
      </c>
      <c r="O7" t="str">
        <f>IF(H7&lt;=0, "نفد من المخزن", IF(H7&lt;=I7, "قارب على النفاد", "متوفر بالمخزن"))</f>
        <v>نفد من المخزن</v>
      </c>
      <c r="P7">
        <v>0</v>
      </c>
      <c r="Q7" t="str">
        <v>SKU-0160</v>
      </c>
      <c r="R7" t="str">
        <v/>
      </c>
      <c r="S7" t="str">
        <v/>
      </c>
      <c r="T7" t="str">
        <v/>
      </c>
    </row>
    <row r="8">
      <c r="A8">
        <v>5</v>
      </c>
      <c r="B8" t="str">
        <v>علبة سجائر إل إم أحمر</v>
      </c>
      <c r="C8" t="str">
        <v>7622100800026</v>
      </c>
      <c r="D8" t="str">
        <v/>
      </c>
      <c r="E8" t="str">
        <v>قطعة</v>
      </c>
      <c r="F8">
        <v>74</v>
      </c>
      <c r="G8">
        <v>69</v>
      </c>
      <c r="H8">
        <v>0</v>
      </c>
      <c r="I8">
        <v>10</v>
      </c>
      <c r="J8">
        <f>F8-G8</f>
        <v>5</v>
      </c>
      <c r="K8" s="1">
        <f>IF(G8&gt;0, (F8-G8)/G8, 0)</f>
        <v>0.0725</v>
      </c>
      <c r="L8" s="2">
        <f>H8*G8</f>
        <v>0</v>
      </c>
      <c r="M8" s="2">
        <f>H8*F8</f>
        <v>0</v>
      </c>
      <c r="N8" s="2">
        <f>M8-L8</f>
        <v>0</v>
      </c>
      <c r="O8" t="str">
        <f>IF(H8&lt;=0, "نفد من المخزن", IF(H8&lt;=I8, "قارب على النفاد", "متوفر بالمخزن"))</f>
        <v>نفد من المخزن</v>
      </c>
      <c r="P8">
        <v>0</v>
      </c>
      <c r="Q8" t="str">
        <v>SKU-0161</v>
      </c>
      <c r="R8" t="str">
        <v/>
      </c>
      <c r="S8" t="str">
        <v/>
      </c>
      <c r="T8" t="str">
        <v/>
      </c>
    </row>
    <row r="9">
      <c r="A9">
        <v>6</v>
      </c>
      <c r="B9" t="str">
        <v>علبة سجائر مارلبورو أحمر</v>
      </c>
      <c r="C9" t="str">
        <v>7622100900016</v>
      </c>
      <c r="D9" t="str">
        <v/>
      </c>
      <c r="E9" t="str">
        <v>قطعة</v>
      </c>
      <c r="F9">
        <v>94</v>
      </c>
      <c r="G9">
        <v>88</v>
      </c>
      <c r="H9">
        <v>0</v>
      </c>
      <c r="I9">
        <v>8</v>
      </c>
      <c r="J9">
        <f>F9-G9</f>
        <v>6</v>
      </c>
      <c r="K9" s="1">
        <f>IF(G9&gt;0, (F9-G9)/G9, 0)</f>
        <v>0.0682</v>
      </c>
      <c r="L9" s="2">
        <f>H9*G9</f>
        <v>0</v>
      </c>
      <c r="M9" s="2">
        <f>H9*F9</f>
        <v>0</v>
      </c>
      <c r="N9" s="2">
        <f>M9-L9</f>
        <v>0</v>
      </c>
      <c r="O9" t="str">
        <f>IF(H9&lt;=0, "نفد من المخزن", IF(H9&lt;=I9, "قارب على النفاد", "متوفر بالمخزن"))</f>
        <v>نفد من المخزن</v>
      </c>
      <c r="P9">
        <v>0</v>
      </c>
      <c r="Q9" t="str">
        <v>SKU-0162</v>
      </c>
      <c r="R9" t="str">
        <v/>
      </c>
      <c r="S9" t="str">
        <v/>
      </c>
      <c r="T9" t="str">
        <v/>
      </c>
    </row>
    <row r="10">
      <c r="A10">
        <v>7</v>
      </c>
      <c r="B10" t="str">
        <v>علبة سجائر مارلبورو جولد</v>
      </c>
      <c r="C10" t="str">
        <v>7622100900023</v>
      </c>
      <c r="D10" t="str">
        <v/>
      </c>
      <c r="E10" t="str">
        <v>قطعة</v>
      </c>
      <c r="F10">
        <v>94</v>
      </c>
      <c r="G10">
        <v>88</v>
      </c>
      <c r="H10">
        <v>0</v>
      </c>
      <c r="I10">
        <v>8</v>
      </c>
      <c r="J10">
        <f>F10-G10</f>
        <v>6</v>
      </c>
      <c r="K10" s="1">
        <f>IF(G10&gt;0, (F10-G10)/G10, 0)</f>
        <v>0.0682</v>
      </c>
      <c r="L10" s="2">
        <f>H10*G10</f>
        <v>0</v>
      </c>
      <c r="M10" s="2">
        <f>H10*F10</f>
        <v>0</v>
      </c>
      <c r="N10" s="2">
        <f>M10-L10</f>
        <v>0</v>
      </c>
      <c r="O10" t="str">
        <f>IF(H10&lt;=0, "نفد من المخزن", IF(H10&lt;=I10, "قارب على النفاد", "متوفر بالمخزن"))</f>
        <v>نفد من المخزن</v>
      </c>
      <c r="P10">
        <v>0</v>
      </c>
      <c r="Q10" t="str">
        <v>SKU-0163</v>
      </c>
      <c r="R10" t="str">
        <v/>
      </c>
      <c r="S10" t="str">
        <v/>
      </c>
      <c r="T10" t="str">
        <v/>
      </c>
    </row>
    <row r="11">
      <c r="A11">
        <v>8</v>
      </c>
      <c r="B11" t="str">
        <v>علبة سجائر ميريت أصفر</v>
      </c>
      <c r="C11" t="str">
        <v>7622100900030</v>
      </c>
      <c r="D11" t="str">
        <v/>
      </c>
      <c r="E11" t="str">
        <v>قطعة</v>
      </c>
      <c r="F11">
        <v>100</v>
      </c>
      <c r="G11">
        <v>94</v>
      </c>
      <c r="H11">
        <v>0</v>
      </c>
      <c r="I11">
        <v>5</v>
      </c>
      <c r="J11">
        <f>F11-G11</f>
        <v>6</v>
      </c>
      <c r="K11" s="1">
        <f>IF(G11&gt;0, (F11-G11)/G11, 0)</f>
        <v>0.0638</v>
      </c>
      <c r="L11" s="2">
        <f>H11*G11</f>
        <v>0</v>
      </c>
      <c r="M11" s="2">
        <f>H11*F11</f>
        <v>0</v>
      </c>
      <c r="N11" s="2">
        <f>M11-L11</f>
        <v>0</v>
      </c>
      <c r="O11" t="str">
        <f>IF(H11&lt;=0, "نفد من المخزن", IF(H11&lt;=I11, "قارب على النفاد", "متوفر بالمخزن"))</f>
        <v>نفد من المخزن</v>
      </c>
      <c r="P11">
        <v>0</v>
      </c>
      <c r="Q11" t="str">
        <v>SKU-0164</v>
      </c>
      <c r="R11" t="str">
        <v/>
      </c>
      <c r="S11" t="str">
        <v/>
      </c>
      <c r="T11" t="str">
        <v/>
      </c>
    </row>
    <row r="12">
      <c r="A12">
        <v>9</v>
      </c>
      <c r="B12" t="str">
        <v>علبة سجائر وينستون أزرق</v>
      </c>
      <c r="C12" t="str">
        <v>6229900020015</v>
      </c>
      <c r="D12" t="str">
        <v/>
      </c>
      <c r="E12" t="str">
        <v>قطعة</v>
      </c>
      <c r="F12">
        <v>62</v>
      </c>
      <c r="G12">
        <v>57</v>
      </c>
      <c r="H12">
        <v>0</v>
      </c>
      <c r="I12">
        <v>8</v>
      </c>
      <c r="J12">
        <f>F12-G12</f>
        <v>5</v>
      </c>
      <c r="K12" s="1">
        <f>IF(G12&gt;0, (F12-G12)/G12, 0)</f>
        <v>0.0877</v>
      </c>
      <c r="L12" s="2">
        <f>H12*G12</f>
        <v>0</v>
      </c>
      <c r="M12" s="2">
        <f>H12*F12</f>
        <v>0</v>
      </c>
      <c r="N12" s="2">
        <f>M12-L12</f>
        <v>0</v>
      </c>
      <c r="O12" t="str">
        <f>IF(H12&lt;=0, "نفد من المخزن", IF(H12&lt;=I12, "قارب على النفاد", "متوفر بالمخزن"))</f>
        <v>نفد من المخزن</v>
      </c>
      <c r="P12">
        <v>0</v>
      </c>
      <c r="Q12" t="str">
        <v>SKU-0165</v>
      </c>
      <c r="R12" t="str">
        <v/>
      </c>
      <c r="S12" t="str">
        <v/>
      </c>
      <c r="T12" t="str">
        <v/>
      </c>
    </row>
    <row r="13">
      <c r="A13">
        <v>10</v>
      </c>
      <c r="B13" t="str">
        <v>ولاعة إلكترونية شفافة</v>
      </c>
      <c r="C13" t="str">
        <v>6229900010030</v>
      </c>
      <c r="D13" t="str">
        <v/>
      </c>
      <c r="E13" t="str">
        <v>قطعة</v>
      </c>
      <c r="F13">
        <v>5</v>
      </c>
      <c r="G13">
        <v>2.5</v>
      </c>
      <c r="H13">
        <v>0</v>
      </c>
      <c r="I13">
        <v>15</v>
      </c>
      <c r="J13">
        <f>F13-G13</f>
        <v>2.5</v>
      </c>
      <c r="K13" s="1">
        <f>IF(G13&gt;0, (F13-G13)/G13, 0)</f>
        <v>1</v>
      </c>
      <c r="L13" s="2">
        <f>H13*G13</f>
        <v>0</v>
      </c>
      <c r="M13" s="2">
        <f>H13*F13</f>
        <v>0</v>
      </c>
      <c r="N13" s="2">
        <f>M13-L13</f>
        <v>0</v>
      </c>
      <c r="O13" t="str">
        <f>IF(H13&lt;=0, "نفد من المخزن", IF(H13&lt;=I13, "قارب على النفاد", "متوفر بالمخزن"))</f>
        <v>نفد من المخزن</v>
      </c>
      <c r="P13">
        <v>0</v>
      </c>
      <c r="Q13" t="str">
        <v>SKU-0166</v>
      </c>
      <c r="R13" t="str">
        <v/>
      </c>
      <c r="S13" t="str">
        <v/>
      </c>
      <c r="T13" t="str">
        <v/>
      </c>
    </row>
    <row r="14">
      <c r="A14">
        <v>11</v>
      </c>
      <c r="B14" t="str">
        <v>علبة كبريت فراشة</v>
      </c>
      <c r="C14" t="str">
        <v>6229900010047</v>
      </c>
      <c r="D14" t="str">
        <v/>
      </c>
      <c r="E14" t="str">
        <v>قطعة</v>
      </c>
      <c r="F14">
        <v>1</v>
      </c>
      <c r="G14">
        <v>0.5</v>
      </c>
      <c r="H14">
        <v>0</v>
      </c>
      <c r="I14">
        <v>20</v>
      </c>
      <c r="J14">
        <f>F14-G14</f>
        <v>0.5</v>
      </c>
      <c r="K14" s="1">
        <f>IF(G14&gt;0, (F14-G14)/G14, 0)</f>
        <v>1</v>
      </c>
      <c r="L14" s="2">
        <f>H14*G14</f>
        <v>0</v>
      </c>
      <c r="M14" s="2">
        <f>H14*F14</f>
        <v>0</v>
      </c>
      <c r="N14" s="2">
        <f>M14-L14</f>
        <v>0</v>
      </c>
      <c r="O14" t="str">
        <f>IF(H14&lt;=0, "نفد من المخزن", IF(H14&lt;=I14, "قارب على النفاد", "متوفر بالمخزن"))</f>
        <v>نفد من المخزن</v>
      </c>
      <c r="P14">
        <v>0</v>
      </c>
      <c r="Q14" t="str">
        <v>SKU-0167</v>
      </c>
      <c r="R14" t="str">
        <v/>
      </c>
      <c r="S14" t="str">
        <v/>
      </c>
      <c r="T14" t="str">
        <v/>
      </c>
    </row>
    <row r="15">
      <c r="A15" t="str">
        <v>الإجمالي</v>
      </c>
      <c r="B15" t="str">
        <v>إجمالي 11 صنف مسجل</v>
      </c>
      <c r="C15" t="str">
        <v/>
      </c>
      <c r="D15" t="str">
        <v/>
      </c>
      <c r="E15" t="str">
        <v/>
      </c>
      <c r="F15" s="2">
        <f>AVERAGE(F4:F14)</f>
      </c>
      <c r="G15" s="2">
        <f>AVERAGE(G4:G14)</f>
      </c>
      <c r="H15" s="3">
        <f>SUM(H4:H14)</f>
      </c>
      <c r="I15" t="str">
        <v/>
      </c>
      <c r="J15" s="2">
        <f>AVERAGE(J4:J14)</f>
      </c>
      <c r="K15" s="1">
        <f>IF(L15&gt;0, N15/L15, 0)</f>
      </c>
      <c r="L15" s="2">
        <f>SUM(L4:L14)</f>
      </c>
      <c r="M15" s="2">
        <f>SUM(M4:M14)</f>
      </c>
      <c r="N15" s="2">
        <f>SUM(N4:N14)</f>
      </c>
      <c r="O15" t="str">
        <v>محسوب بمعادلات إكسل</v>
      </c>
      <c r="P15" t="str">
        <v/>
      </c>
      <c r="Q15" t="str">
        <v/>
      </c>
      <c r="R15" t="str">
        <v/>
      </c>
      <c r="S15" t="str">
        <v/>
      </c>
      <c r="T15" t="str">
        <v/>
      </c>
    </row>
  </sheetData>
  <mergeCells count="2">
    <mergeCell ref="A1:T1"/>
    <mergeCell ref="A2:T2"/>
  </mergeCells>
  <ignoredErrors>
    <ignoredError numberStoredAsText="1" sqref="A1:T15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ألبان وأجبان</vt:lpstr>
      <vt:lpstr>معلبات وبقوليات</vt:lpstr>
      <vt:lpstr>مشروبات وعصائر</vt:lpstr>
      <vt:lpstr>بسكويت وحلويات</vt:lpstr>
      <vt:lpstr>منظفات وعناية منزلية</vt:lpstr>
      <vt:lpstr>مخبوزات</vt:lpstr>
      <vt:lpstr>خضار وفاكهة</vt:lpstr>
      <vt:lpstr>مجمدات</vt:lpstr>
      <vt:lpstr>دخان وسجائر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