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لبان وأجبان" sheetId="1" r:id="rId1"/>
    <sheet name="معلبات وبقوليات" sheetId="2" r:id="rId2"/>
    <sheet name="مشروبات وعصائر" sheetId="3" r:id="rId3"/>
    <sheet name="بسكويت وحلويات" sheetId="4" r:id="rId4"/>
    <sheet name="منظفات وعناية منزلية" sheetId="5" r:id="rId5"/>
    <sheet name="مخبوزات" sheetId="6" r:id="rId6"/>
    <sheet name="مجمدات" sheetId="7" r:id="rId7"/>
    <sheet name="خضار وفاكهة" sheetId="8" r:id="rId8"/>
    <sheet name="دخان وسجائر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[ألبان وأجبان]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لبن جهينة كامل الدسم 1 لتر</v>
      </c>
      <c r="C4" t="str">
        <v>6223000350089</v>
      </c>
      <c r="D4" t="str">
        <v/>
      </c>
      <c r="E4" t="str">
        <v>قطعة</v>
      </c>
      <c r="F4">
        <v>45</v>
      </c>
      <c r="G4">
        <v>38</v>
      </c>
      <c r="H4">
        <v>0</v>
      </c>
      <c r="I4">
        <v>10</v>
      </c>
      <c r="J4">
        <f>F4-G4</f>
        <v>7</v>
      </c>
      <c r="K4" s="1">
        <f>IF(G4&gt;0, (F4-G4)/G4, 0)</f>
        <v>0.1842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SKU-0001</v>
      </c>
      <c r="R4" t="str">
        <v/>
      </c>
      <c r="S4" t="str">
        <v/>
      </c>
      <c r="T4" t="str">
        <v/>
      </c>
    </row>
    <row r="5">
      <c r="A5">
        <v>2</v>
      </c>
      <c r="B5" t="str">
        <v>لبن جهينة خالي الدسم 1 لتر</v>
      </c>
      <c r="C5" t="str">
        <v>6223000350096</v>
      </c>
      <c r="D5" t="str">
        <v/>
      </c>
      <c r="E5" t="str">
        <v>قطعة</v>
      </c>
      <c r="F5">
        <v>45</v>
      </c>
      <c r="G5">
        <v>38</v>
      </c>
      <c r="H5">
        <v>0</v>
      </c>
      <c r="I5">
        <v>8</v>
      </c>
      <c r="J5">
        <f>F5-G5</f>
        <v>7</v>
      </c>
      <c r="K5" s="1">
        <f>IF(G5&gt;0, (F5-G5)/G5, 0)</f>
        <v>0.1842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SKU-0002</v>
      </c>
      <c r="R5" t="str">
        <v/>
      </c>
      <c r="S5" t="str">
        <v/>
      </c>
      <c r="T5" t="str">
        <v/>
      </c>
    </row>
    <row r="6">
      <c r="A6">
        <v>3</v>
      </c>
      <c r="B6" t="str">
        <v>لبن جهينة نصف دسم 1 لتر</v>
      </c>
      <c r="C6" t="str">
        <v>6223000350102</v>
      </c>
      <c r="D6" t="str">
        <v/>
      </c>
      <c r="E6" t="str">
        <v>قطعة</v>
      </c>
      <c r="F6">
        <v>45</v>
      </c>
      <c r="G6">
        <v>38</v>
      </c>
      <c r="H6">
        <v>0</v>
      </c>
      <c r="I6">
        <v>8</v>
      </c>
      <c r="J6">
        <f>F6-G6</f>
        <v>7</v>
      </c>
      <c r="K6" s="1">
        <f>IF(G6&gt;0, (F6-G6)/G6, 0)</f>
        <v>0.1842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SKU-0003</v>
      </c>
      <c r="R6" t="str">
        <v/>
      </c>
      <c r="S6" t="str">
        <v/>
      </c>
      <c r="T6" t="str">
        <v/>
      </c>
    </row>
    <row r="7">
      <c r="A7">
        <v>4</v>
      </c>
      <c r="B7" t="str">
        <v>لبن بخيره كامل الدسم كيس 500 مل</v>
      </c>
      <c r="C7" t="str">
        <v>6223000350157</v>
      </c>
      <c r="D7" t="str">
        <v/>
      </c>
      <c r="E7" t="str">
        <v>قطعة</v>
      </c>
      <c r="F7">
        <v>20</v>
      </c>
      <c r="G7">
        <v>17</v>
      </c>
      <c r="H7">
        <v>0</v>
      </c>
      <c r="I7">
        <v>15</v>
      </c>
      <c r="J7">
        <f>F7-G7</f>
        <v>3</v>
      </c>
      <c r="K7" s="1">
        <f>IF(G7&gt;0, (F7-G7)/G7, 0)</f>
        <v>0.1765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SKU-0004</v>
      </c>
      <c r="R7" t="str">
        <v/>
      </c>
      <c r="S7" t="str">
        <v/>
      </c>
      <c r="T7" t="str">
        <v/>
      </c>
    </row>
    <row r="8">
      <c r="A8">
        <v>5</v>
      </c>
      <c r="B8" t="str">
        <v>لبن بخيره كامل الدسم كيس 1 لتر</v>
      </c>
      <c r="C8" t="str">
        <v>6223000350164</v>
      </c>
      <c r="D8" t="str">
        <v/>
      </c>
      <c r="E8" t="str">
        <v>قطعة</v>
      </c>
      <c r="F8">
        <v>38</v>
      </c>
      <c r="G8">
        <v>32</v>
      </c>
      <c r="H8">
        <v>0</v>
      </c>
      <c r="I8">
        <v>15</v>
      </c>
      <c r="J8">
        <f>F8-G8</f>
        <v>6</v>
      </c>
      <c r="K8" s="1">
        <f>IF(G8&gt;0, (F8-G8)/G8, 0)</f>
        <v>0.1875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SKU-0005</v>
      </c>
      <c r="R8" t="str">
        <v/>
      </c>
      <c r="S8" t="str">
        <v/>
      </c>
      <c r="T8" t="str">
        <v/>
      </c>
    </row>
    <row r="9">
      <c r="A9">
        <v>6</v>
      </c>
      <c r="B9" t="str">
        <v>لبن المراعي كامل الدسم 1 لتر</v>
      </c>
      <c r="C9" t="str">
        <v>6221008001019</v>
      </c>
      <c r="D9" t="str">
        <v/>
      </c>
      <c r="E9" t="str">
        <v>قطعة</v>
      </c>
      <c r="F9">
        <v>45</v>
      </c>
      <c r="G9">
        <v>38.5</v>
      </c>
      <c r="H9">
        <v>0</v>
      </c>
      <c r="I9">
        <v>10</v>
      </c>
      <c r="J9">
        <f>F9-G9</f>
        <v>6.5</v>
      </c>
      <c r="K9" s="1">
        <f>IF(G9&gt;0, (F9-G9)/G9, 0)</f>
        <v>0.1688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SKU-0006</v>
      </c>
      <c r="R9" t="str">
        <v/>
      </c>
      <c r="S9" t="str">
        <v/>
      </c>
      <c r="T9" t="str">
        <v/>
      </c>
    </row>
    <row r="10">
      <c r="A10">
        <v>7</v>
      </c>
      <c r="B10" t="str">
        <v>لبن المراعي خالي الدسم 1 لتر</v>
      </c>
      <c r="C10" t="str">
        <v>6221008001026</v>
      </c>
      <c r="D10" t="str">
        <v/>
      </c>
      <c r="E10" t="str">
        <v>قطعة</v>
      </c>
      <c r="F10">
        <v>45</v>
      </c>
      <c r="G10">
        <v>38.5</v>
      </c>
      <c r="H10">
        <v>0</v>
      </c>
      <c r="I10">
        <v>8</v>
      </c>
      <c r="J10">
        <f>F10-G10</f>
        <v>6.5</v>
      </c>
      <c r="K10" s="1">
        <f>IF(G10&gt;0, (F10-G10)/G10, 0)</f>
        <v>0.1688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لبن المراعي نصف دسم 1 لتر</v>
      </c>
      <c r="C11" t="str">
        <v>6221008001033</v>
      </c>
      <c r="D11" t="str">
        <v/>
      </c>
      <c r="E11" t="str">
        <v>قطعة</v>
      </c>
      <c r="F11">
        <v>45</v>
      </c>
      <c r="G11">
        <v>38.5</v>
      </c>
      <c r="H11">
        <v>0</v>
      </c>
      <c r="I11">
        <v>8</v>
      </c>
      <c r="J11">
        <f>F11-G11</f>
        <v>6.5</v>
      </c>
      <c r="K11" s="1">
        <f>IF(G11&gt;0, (F11-G11)/G11, 0)</f>
        <v>0.1688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SKU-0008</v>
      </c>
      <c r="R11" t="str">
        <v/>
      </c>
      <c r="S11" t="str">
        <v/>
      </c>
      <c r="T11" t="str">
        <v/>
      </c>
    </row>
    <row r="12">
      <c r="A12">
        <v>9</v>
      </c>
      <c r="B12" t="str">
        <v>لبن لمار كامل الدسم 1 لتر</v>
      </c>
      <c r="C12" t="str">
        <v>6224000302016</v>
      </c>
      <c r="D12" t="str">
        <v/>
      </c>
      <c r="E12" t="str">
        <v>قطعة</v>
      </c>
      <c r="F12">
        <v>45</v>
      </c>
      <c r="G12">
        <v>38</v>
      </c>
      <c r="H12">
        <v>0</v>
      </c>
      <c r="I12">
        <v>10</v>
      </c>
      <c r="J12">
        <f>F12-G12</f>
        <v>7</v>
      </c>
      <c r="K12" s="1">
        <f>IF(G12&gt;0, (F12-G12)/G12, 0)</f>
        <v>0.1842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SKU-0009</v>
      </c>
      <c r="R12" t="str">
        <v/>
      </c>
      <c r="S12" t="str">
        <v/>
      </c>
      <c r="T12" t="str">
        <v/>
      </c>
    </row>
    <row r="13">
      <c r="A13">
        <v>10</v>
      </c>
      <c r="B13" t="str">
        <v>لبن لمار خالي الدسم 1 لتر</v>
      </c>
      <c r="C13" t="str">
        <v>6224000302023</v>
      </c>
      <c r="D13" t="str">
        <v/>
      </c>
      <c r="E13" t="str">
        <v>قطعة</v>
      </c>
      <c r="F13">
        <v>45</v>
      </c>
      <c r="G13">
        <v>38</v>
      </c>
      <c r="H13">
        <v>0</v>
      </c>
      <c r="I13">
        <v>8</v>
      </c>
      <c r="J13">
        <f>F13-G13</f>
        <v>7</v>
      </c>
      <c r="K13" s="1">
        <f>IF(G13&gt;0, (F13-G13)/G13, 0)</f>
        <v>0.1842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SKU-0010</v>
      </c>
      <c r="R13" t="str">
        <v/>
      </c>
      <c r="S13" t="str">
        <v/>
      </c>
      <c r="T13" t="str">
        <v/>
      </c>
    </row>
    <row r="14">
      <c r="A14">
        <v>11</v>
      </c>
      <c r="B14" t="str">
        <v>لبن لمار نصف دسم 1 لتر</v>
      </c>
      <c r="C14" t="str">
        <v>6224000302030</v>
      </c>
      <c r="D14" t="str">
        <v/>
      </c>
      <c r="E14" t="str">
        <v>قطعة</v>
      </c>
      <c r="F14">
        <v>45</v>
      </c>
      <c r="G14">
        <v>38</v>
      </c>
      <c r="H14">
        <v>0</v>
      </c>
      <c r="I14">
        <v>8</v>
      </c>
      <c r="J14">
        <f>F14-G14</f>
        <v>7</v>
      </c>
      <c r="K14" s="1">
        <f>IF(G14&gt;0, (F14-G14)/G14, 0)</f>
        <v>0.1842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SKU-0011</v>
      </c>
      <c r="R14" t="str">
        <v/>
      </c>
      <c r="S14" t="str">
        <v/>
      </c>
      <c r="T14" t="str">
        <v/>
      </c>
    </row>
    <row r="15">
      <c r="A15">
        <v>12</v>
      </c>
      <c r="B15" t="str">
        <v>لبن جهينة ميكس شيكولاتة 200 مل</v>
      </c>
      <c r="C15" t="str">
        <v>6222014310881</v>
      </c>
      <c r="D15" t="str">
        <v/>
      </c>
      <c r="E15" t="str">
        <v>قطعة</v>
      </c>
      <c r="F15">
        <v>12</v>
      </c>
      <c r="G15">
        <v>9.5</v>
      </c>
      <c r="H15">
        <v>0</v>
      </c>
      <c r="I15">
        <v>10</v>
      </c>
      <c r="J15">
        <f>F15-G15</f>
        <v>2.5</v>
      </c>
      <c r="K15" s="1">
        <f>IF(G15&gt;0, (F15-G15)/G15, 0)</f>
        <v>0.2632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SKU-0012</v>
      </c>
      <c r="R15" t="str">
        <v/>
      </c>
      <c r="S15" t="str">
        <v/>
      </c>
      <c r="T15" t="str">
        <v/>
      </c>
    </row>
    <row r="16">
      <c r="A16">
        <v>13</v>
      </c>
      <c r="B16" t="str">
        <v>حليب جهينة ميكس فراولة 200 مل</v>
      </c>
      <c r="C16" t="str">
        <v>6222014310898</v>
      </c>
      <c r="D16" t="str">
        <v/>
      </c>
      <c r="E16" t="str">
        <v>قطعة</v>
      </c>
      <c r="F16">
        <v>12</v>
      </c>
      <c r="G16">
        <v>9.5</v>
      </c>
      <c r="H16">
        <v>0</v>
      </c>
      <c r="I16">
        <v>10</v>
      </c>
      <c r="J16">
        <f>F16-G16</f>
        <v>2.5</v>
      </c>
      <c r="K16" s="1">
        <f>IF(G16&gt;0, (F16-G16)/G16, 0)</f>
        <v>0.2632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SKU-0013</v>
      </c>
      <c r="R16" t="str">
        <v/>
      </c>
      <c r="S16" t="str">
        <v/>
      </c>
      <c r="T16" t="str">
        <v/>
      </c>
    </row>
    <row r="17">
      <c r="A17">
        <v>14</v>
      </c>
      <c r="B17" t="str">
        <v>حليب جهينة ميكس موز 200 مل</v>
      </c>
      <c r="C17" t="str">
        <v>6222014310904</v>
      </c>
      <c r="D17" t="str">
        <v/>
      </c>
      <c r="E17" t="str">
        <v>قطعة</v>
      </c>
      <c r="F17">
        <v>12</v>
      </c>
      <c r="G17">
        <v>9.5</v>
      </c>
      <c r="H17">
        <v>0</v>
      </c>
      <c r="I17">
        <v>10</v>
      </c>
      <c r="J17">
        <f>F17-G17</f>
        <v>2.5</v>
      </c>
      <c r="K17" s="1">
        <f>IF(G17&gt;0, (F17-G17)/G17, 0)</f>
        <v>0.2632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SKU-0014</v>
      </c>
      <c r="R17" t="str">
        <v/>
      </c>
      <c r="S17" t="str">
        <v/>
      </c>
      <c r="T17" t="str">
        <v/>
      </c>
    </row>
    <row r="18">
      <c r="A18">
        <v>15</v>
      </c>
      <c r="B18" t="str">
        <v>حليب جهينة ميكس فانيليا 200 مل</v>
      </c>
      <c r="C18" t="str">
        <v>6222014310911</v>
      </c>
      <c r="D18" t="str">
        <v/>
      </c>
      <c r="E18" t="str">
        <v>قطعة</v>
      </c>
      <c r="F18">
        <v>12</v>
      </c>
      <c r="G18">
        <v>9.5</v>
      </c>
      <c r="H18">
        <v>0</v>
      </c>
      <c r="I18">
        <v>8</v>
      </c>
      <c r="J18">
        <f>F18-G18</f>
        <v>2.5</v>
      </c>
      <c r="K18" s="1">
        <f>IF(G18&gt;0, (F18-G18)/G18, 0)</f>
        <v>0.2632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SKU-0015</v>
      </c>
      <c r="R18" t="str">
        <v/>
      </c>
      <c r="S18" t="str">
        <v/>
      </c>
      <c r="T18" t="str">
        <v/>
      </c>
    </row>
    <row r="19">
      <c r="A19">
        <v>16</v>
      </c>
      <c r="B19" t="str">
        <v>حليب المراعي تريتس شيكولاتة 200 مل</v>
      </c>
      <c r="C19" t="str">
        <v>6221008001156</v>
      </c>
      <c r="D19" t="str">
        <v/>
      </c>
      <c r="E19" t="str">
        <v>قطعة</v>
      </c>
      <c r="F19">
        <v>12</v>
      </c>
      <c r="G19">
        <v>9.5</v>
      </c>
      <c r="H19">
        <v>0</v>
      </c>
      <c r="I19">
        <v>10</v>
      </c>
      <c r="J19">
        <f>F19-G19</f>
        <v>2.5</v>
      </c>
      <c r="K19" s="1">
        <f>IF(G19&gt;0, (F19-G19)/G19, 0)</f>
        <v>0.2632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SKU-0016</v>
      </c>
      <c r="R19" t="str">
        <v/>
      </c>
      <c r="S19" t="str">
        <v/>
      </c>
      <c r="T19" t="str">
        <v/>
      </c>
    </row>
    <row r="20">
      <c r="A20">
        <v>17</v>
      </c>
      <c r="B20" t="str">
        <v>حليب المراعي تريتس فراولة 200 مل</v>
      </c>
      <c r="C20" t="str">
        <v>6221008001170</v>
      </c>
      <c r="D20" t="str">
        <v/>
      </c>
      <c r="E20" t="str">
        <v>قطعة</v>
      </c>
      <c r="F20">
        <v>12</v>
      </c>
      <c r="G20">
        <v>9.5</v>
      </c>
      <c r="H20">
        <v>0</v>
      </c>
      <c r="I20">
        <v>8</v>
      </c>
      <c r="J20">
        <f>F20-G20</f>
        <v>2.5</v>
      </c>
      <c r="K20" s="1">
        <f>IF(G20&gt;0, (F20-G20)/G20, 0)</f>
        <v>0.2632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SKU-0017</v>
      </c>
      <c r="R20" t="str">
        <v/>
      </c>
      <c r="S20" t="str">
        <v/>
      </c>
      <c r="T20" t="str">
        <v/>
      </c>
    </row>
    <row r="21">
      <c r="A21">
        <v>18</v>
      </c>
      <c r="B21" t="str">
        <v>لبن رايب جهينة طبيعي 440 مل</v>
      </c>
      <c r="C21" t="str">
        <v>6223000351116</v>
      </c>
      <c r="D21" t="str">
        <v/>
      </c>
      <c r="E21" t="str">
        <v>قطعة</v>
      </c>
      <c r="F21">
        <v>20</v>
      </c>
      <c r="G21">
        <v>16</v>
      </c>
      <c r="H21">
        <v>0</v>
      </c>
      <c r="I21">
        <v>8</v>
      </c>
      <c r="J21">
        <f>F21-G21</f>
        <v>4</v>
      </c>
      <c r="K21" s="1">
        <f>IF(G21&gt;0, (F21-G21)/G21, 0)</f>
        <v>0.25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SKU-0018</v>
      </c>
      <c r="R21" t="str">
        <v/>
      </c>
      <c r="S21" t="str">
        <v/>
      </c>
      <c r="T21" t="str">
        <v/>
      </c>
    </row>
    <row r="22">
      <c r="A22">
        <v>19</v>
      </c>
      <c r="B22" t="str">
        <v>لبن رايب جهينة لايت 440 مل</v>
      </c>
      <c r="C22" t="str">
        <v>6223000351123</v>
      </c>
      <c r="D22" t="str">
        <v/>
      </c>
      <c r="E22" t="str">
        <v>قطعة</v>
      </c>
      <c r="F22">
        <v>20</v>
      </c>
      <c r="G22">
        <v>16</v>
      </c>
      <c r="H22">
        <v>0</v>
      </c>
      <c r="I22">
        <v>6</v>
      </c>
      <c r="J22">
        <f>F22-G22</f>
        <v>4</v>
      </c>
      <c r="K22" s="1">
        <f>IF(G22&gt;0, (F22-G22)/G22, 0)</f>
        <v>0.25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SKU-0019</v>
      </c>
      <c r="R22" t="str">
        <v/>
      </c>
      <c r="S22" t="str">
        <v/>
      </c>
      <c r="T22" t="str">
        <v/>
      </c>
    </row>
    <row r="23">
      <c r="A23">
        <v>20</v>
      </c>
      <c r="B23" t="str">
        <v>لبن رايب جهينة طبيعي 1 لتر</v>
      </c>
      <c r="C23" t="str">
        <v>6223000351130</v>
      </c>
      <c r="D23" t="str">
        <v/>
      </c>
      <c r="E23" t="str">
        <v>قطعة</v>
      </c>
      <c r="F23">
        <v>42</v>
      </c>
      <c r="G23">
        <v>35</v>
      </c>
      <c r="H23">
        <v>0</v>
      </c>
      <c r="I23">
        <v>6</v>
      </c>
      <c r="J23">
        <f>F23-G23</f>
        <v>7</v>
      </c>
      <c r="K23" s="1">
        <f>IF(G23&gt;0, (F23-G23)/G23, 0)</f>
        <v>0.2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SKU-0020</v>
      </c>
      <c r="R23" t="str">
        <v/>
      </c>
      <c r="S23" t="str">
        <v/>
      </c>
      <c r="T23" t="str">
        <v/>
      </c>
    </row>
    <row r="24">
      <c r="A24">
        <v>21</v>
      </c>
      <c r="B24" t="str">
        <v>لبن رايب المراعي طبيعي 400 مل</v>
      </c>
      <c r="C24" t="str">
        <v>6221008001163</v>
      </c>
      <c r="D24" t="str">
        <v/>
      </c>
      <c r="E24" t="str">
        <v>قطعة</v>
      </c>
      <c r="F24">
        <v>20</v>
      </c>
      <c r="G24">
        <v>16</v>
      </c>
      <c r="H24">
        <v>0</v>
      </c>
      <c r="I24">
        <v>8</v>
      </c>
      <c r="J24">
        <f>F24-G24</f>
        <v>4</v>
      </c>
      <c r="K24" s="1">
        <f>IF(G24&gt;0, (F24-G24)/G24, 0)</f>
        <v>0.25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SKU-0021</v>
      </c>
      <c r="R24" t="str">
        <v/>
      </c>
      <c r="S24" t="str">
        <v/>
      </c>
      <c r="T24" t="str">
        <v/>
      </c>
    </row>
    <row r="25">
      <c r="A25">
        <v>22</v>
      </c>
      <c r="B25" t="str">
        <v>زبادي جهينة طبيعي 105 جم</v>
      </c>
      <c r="C25" t="str">
        <v>6223000351482</v>
      </c>
      <c r="D25" t="str">
        <v/>
      </c>
      <c r="E25" t="str">
        <v>قطعة</v>
      </c>
      <c r="F25">
        <v>10</v>
      </c>
      <c r="G25">
        <v>7.8</v>
      </c>
      <c r="H25">
        <v>0</v>
      </c>
      <c r="I25">
        <v>20</v>
      </c>
      <c r="J25">
        <f>F25-G25</f>
        <v>2.2</v>
      </c>
      <c r="K25" s="1">
        <f>IF(G25&gt;0, (F25-G25)/G25, 0)</f>
        <v>0.2821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SKU-0022</v>
      </c>
      <c r="R25" t="str">
        <v/>
      </c>
      <c r="S25" t="str">
        <v/>
      </c>
      <c r="T25" t="str">
        <v/>
      </c>
    </row>
    <row r="26">
      <c r="A26">
        <v>23</v>
      </c>
      <c r="B26" t="str">
        <v>زبادي جهينة لايت 105 جم</v>
      </c>
      <c r="C26" t="str">
        <v>6223000351499</v>
      </c>
      <c r="D26" t="str">
        <v/>
      </c>
      <c r="E26" t="str">
        <v>قطعة</v>
      </c>
      <c r="F26">
        <v>10</v>
      </c>
      <c r="G26">
        <v>7.8</v>
      </c>
      <c r="H26">
        <v>0</v>
      </c>
      <c r="I26">
        <v>15</v>
      </c>
      <c r="J26">
        <f>F26-G26</f>
        <v>2.2</v>
      </c>
      <c r="K26" s="1">
        <f>IF(G26&gt;0, (F26-G26)/G26, 0)</f>
        <v>0.2821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SKU-0023</v>
      </c>
      <c r="R26" t="str">
        <v/>
      </c>
      <c r="S26" t="str">
        <v/>
      </c>
      <c r="T26" t="str">
        <v/>
      </c>
    </row>
    <row r="27">
      <c r="A27">
        <v>24</v>
      </c>
      <c r="B27" t="str">
        <v>زبادي المراعي طبيعي 105 جم</v>
      </c>
      <c r="C27" t="str">
        <v>6221008002016</v>
      </c>
      <c r="D27" t="str">
        <v/>
      </c>
      <c r="E27" t="str">
        <v>قطعة</v>
      </c>
      <c r="F27">
        <v>10</v>
      </c>
      <c r="G27">
        <v>8</v>
      </c>
      <c r="H27">
        <v>0</v>
      </c>
      <c r="I27">
        <v>15</v>
      </c>
      <c r="J27">
        <f>F27-G27</f>
        <v>2</v>
      </c>
      <c r="K27" s="1">
        <f>IF(G27&gt;0, (F27-G27)/G27, 0)</f>
        <v>0.25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SKU-0024</v>
      </c>
      <c r="R27" t="str">
        <v/>
      </c>
      <c r="S27" t="str">
        <v/>
      </c>
      <c r="T27" t="str">
        <v/>
      </c>
    </row>
    <row r="28">
      <c r="A28">
        <v>25</v>
      </c>
      <c r="B28" t="str">
        <v>زبادي المراعي لايت 105 جم</v>
      </c>
      <c r="C28" t="str">
        <v>6221008002023</v>
      </c>
      <c r="D28" t="str">
        <v/>
      </c>
      <c r="E28" t="str">
        <v>قطعة</v>
      </c>
      <c r="F28">
        <v>10</v>
      </c>
      <c r="G28">
        <v>8</v>
      </c>
      <c r="H28">
        <v>0</v>
      </c>
      <c r="I28">
        <v>10</v>
      </c>
      <c r="J28">
        <f>F28-G28</f>
        <v>2</v>
      </c>
      <c r="K28" s="1">
        <f>IF(G28&gt;0, (F28-G28)/G28, 0)</f>
        <v>0.25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SKU-0025</v>
      </c>
      <c r="R28" t="str">
        <v/>
      </c>
      <c r="S28" t="str">
        <v/>
      </c>
      <c r="T28" t="str">
        <v/>
      </c>
    </row>
    <row r="29">
      <c r="A29">
        <v>26</v>
      </c>
      <c r="B29" t="str">
        <v>زبادي دانون طبيعي 105 جم</v>
      </c>
      <c r="C29" t="str">
        <v>6221035001017</v>
      </c>
      <c r="D29" t="str">
        <v/>
      </c>
      <c r="E29" t="str">
        <v>قطعة</v>
      </c>
      <c r="F29">
        <v>10</v>
      </c>
      <c r="G29">
        <v>8</v>
      </c>
      <c r="H29">
        <v>0</v>
      </c>
      <c r="I29">
        <v>15</v>
      </c>
      <c r="J29">
        <f>F29-G29</f>
        <v>2</v>
      </c>
      <c r="K29" s="1">
        <f>IF(G29&gt;0, (F29-G29)/G29, 0)</f>
        <v>0.25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SKU-0026</v>
      </c>
      <c r="R29" t="str">
        <v/>
      </c>
      <c r="S29" t="str">
        <v/>
      </c>
      <c r="T29" t="str">
        <v/>
      </c>
    </row>
    <row r="30">
      <c r="A30">
        <v>27</v>
      </c>
      <c r="B30" t="str">
        <v>زبادي أكتيفيا طبيعي 105 جم</v>
      </c>
      <c r="C30" t="str">
        <v>6221035002014</v>
      </c>
      <c r="D30" t="str">
        <v/>
      </c>
      <c r="E30" t="str">
        <v>قطعة</v>
      </c>
      <c r="F30">
        <v>12</v>
      </c>
      <c r="G30">
        <v>9.5</v>
      </c>
      <c r="H30">
        <v>0</v>
      </c>
      <c r="I30">
        <v>10</v>
      </c>
      <c r="J30">
        <f>F30-G30</f>
        <v>2.5</v>
      </c>
      <c r="K30" s="1">
        <f>IF(G30&gt;0, (F30-G30)/G30, 0)</f>
        <v>0.2632</v>
      </c>
      <c r="L30" s="2">
        <f>H30*G30</f>
        <v>0</v>
      </c>
      <c r="M30" s="2">
        <f>H30*F30</f>
        <v>0</v>
      </c>
      <c r="N30" s="2">
        <f>M30-L30</f>
        <v>0</v>
      </c>
      <c r="O30" t="str">
        <f>IF(H30&lt;=0, "نفد من المخزن", IF(H30&lt;=I30, "قارب على النفاد", "متوفر بالمخزن"))</f>
        <v>نفد من المخزن</v>
      </c>
      <c r="P30">
        <v>0</v>
      </c>
      <c r="Q30" t="str">
        <v>SKU-0027</v>
      </c>
      <c r="R30" t="str">
        <v/>
      </c>
      <c r="S30" t="str">
        <v/>
      </c>
      <c r="T30" t="str">
        <v/>
      </c>
    </row>
    <row r="31">
      <c r="A31">
        <v>28</v>
      </c>
      <c r="B31" t="str">
        <v>زبادي أكتيفيا فراولة 105 جم</v>
      </c>
      <c r="C31" t="str">
        <v>6221035002021</v>
      </c>
      <c r="D31" t="str">
        <v/>
      </c>
      <c r="E31" t="str">
        <v>قطعة</v>
      </c>
      <c r="F31">
        <v>14</v>
      </c>
      <c r="G31">
        <v>11</v>
      </c>
      <c r="H31">
        <v>0</v>
      </c>
      <c r="I31">
        <v>8</v>
      </c>
      <c r="J31">
        <f>F31-G31</f>
        <v>3</v>
      </c>
      <c r="K31" s="1">
        <f>IF(G31&gt;0, (F31-G31)/G31, 0)</f>
        <v>0.2727</v>
      </c>
      <c r="L31" s="2">
        <f>H31*G31</f>
        <v>0</v>
      </c>
      <c r="M31" s="2">
        <f>H31*F31</f>
        <v>0</v>
      </c>
      <c r="N31" s="2">
        <f>M31-L31</f>
        <v>0</v>
      </c>
      <c r="O31" t="str">
        <f>IF(H31&lt;=0, "نفد من المخزن", IF(H31&lt;=I31, "قارب على النفاد", "متوفر بالمخزن"))</f>
        <v>نفد من المخزن</v>
      </c>
      <c r="P31">
        <v>0</v>
      </c>
      <c r="Q31" t="str">
        <v>SKU-0028</v>
      </c>
      <c r="R31" t="str">
        <v/>
      </c>
      <c r="S31" t="str">
        <v/>
      </c>
      <c r="T31" t="str">
        <v/>
      </c>
    </row>
    <row r="32">
      <c r="A32">
        <v>29</v>
      </c>
      <c r="B32" t="str">
        <v>زبادي أكتيفيا خوخ 105 جم</v>
      </c>
      <c r="C32" t="str">
        <v>6221035002038</v>
      </c>
      <c r="D32" t="str">
        <v/>
      </c>
      <c r="E32" t="str">
        <v>قطعة</v>
      </c>
      <c r="F32">
        <v>14</v>
      </c>
      <c r="G32">
        <v>11</v>
      </c>
      <c r="H32">
        <v>0</v>
      </c>
      <c r="I32">
        <v>8</v>
      </c>
      <c r="J32">
        <f>F32-G32</f>
        <v>3</v>
      </c>
      <c r="K32" s="1">
        <f>IF(G32&gt;0, (F32-G32)/G32, 0)</f>
        <v>0.2727</v>
      </c>
      <c r="L32" s="2">
        <f>H32*G32</f>
        <v>0</v>
      </c>
      <c r="M32" s="2">
        <f>H32*F32</f>
        <v>0</v>
      </c>
      <c r="N32" s="2">
        <f>M32-L32</f>
        <v>0</v>
      </c>
      <c r="O32" t="str">
        <f>IF(H32&lt;=0, "نفد من المخزن", IF(H32&lt;=I32, "قارب على النفاد", "متوفر بالمخزن"))</f>
        <v>نفد من المخزن</v>
      </c>
      <c r="P32">
        <v>0</v>
      </c>
      <c r="Q32" t="str">
        <v>SKU-0029</v>
      </c>
      <c r="R32" t="str">
        <v/>
      </c>
      <c r="S32" t="str">
        <v/>
      </c>
      <c r="T32" t="str">
        <v/>
      </c>
    </row>
    <row r="33">
      <c r="A33">
        <v>30</v>
      </c>
      <c r="B33" t="str">
        <v>زبادي يوناني جهينة توت 170 جم</v>
      </c>
      <c r="C33" t="str">
        <v>6223000353110</v>
      </c>
      <c r="D33" t="str">
        <v/>
      </c>
      <c r="E33" t="str">
        <v>قطعة</v>
      </c>
      <c r="F33">
        <v>35</v>
      </c>
      <c r="G33">
        <v>28</v>
      </c>
      <c r="H33">
        <v>0</v>
      </c>
      <c r="I33">
        <v>5</v>
      </c>
      <c r="J33">
        <f>F33-G33</f>
        <v>7</v>
      </c>
      <c r="K33" s="1">
        <f>IF(G33&gt;0, (F33-G33)/G33, 0)</f>
        <v>0.25</v>
      </c>
      <c r="L33" s="2">
        <f>H33*G33</f>
        <v>0</v>
      </c>
      <c r="M33" s="2">
        <f>H33*F33</f>
        <v>0</v>
      </c>
      <c r="N33" s="2">
        <f>M33-L33</f>
        <v>0</v>
      </c>
      <c r="O33" t="str">
        <f>IF(H33&lt;=0, "نفد من المخزن", IF(H33&lt;=I33, "قارب على النفاد", "متوفر بالمخزن"))</f>
        <v>نفد من المخزن</v>
      </c>
      <c r="P33">
        <v>0</v>
      </c>
      <c r="Q33" t="str">
        <v>SKU-0030</v>
      </c>
      <c r="R33" t="str">
        <v/>
      </c>
      <c r="S33" t="str">
        <v/>
      </c>
      <c r="T33" t="str">
        <v/>
      </c>
    </row>
    <row r="34">
      <c r="A34">
        <v>31</v>
      </c>
      <c r="B34" t="str">
        <v>زبادي يوناني جهينة سادة 170 جم</v>
      </c>
      <c r="C34" t="str">
        <v>6223000353127</v>
      </c>
      <c r="D34" t="str">
        <v/>
      </c>
      <c r="E34" t="str">
        <v>قطعة</v>
      </c>
      <c r="F34">
        <v>32</v>
      </c>
      <c r="G34">
        <v>25.5</v>
      </c>
      <c r="H34">
        <v>0</v>
      </c>
      <c r="I34">
        <v>5</v>
      </c>
      <c r="J34">
        <f>F34-G34</f>
        <v>6.5</v>
      </c>
      <c r="K34" s="1">
        <f>IF(G34&gt;0, (F34-G34)/G34, 0)</f>
        <v>0.2549</v>
      </c>
      <c r="L34" s="2">
        <f>H34*G34</f>
        <v>0</v>
      </c>
      <c r="M34" s="2">
        <f>H34*F34</f>
        <v>0</v>
      </c>
      <c r="N34" s="2">
        <f>M34-L34</f>
        <v>0</v>
      </c>
      <c r="O34" t="str">
        <f>IF(H34&lt;=0, "نفد من المخزن", IF(H34&lt;=I34, "قارب على النفاد", "متوفر بالمخزن"))</f>
        <v>نفد من المخزن</v>
      </c>
      <c r="P34">
        <v>0</v>
      </c>
      <c r="Q34" t="str">
        <v>SKU-0031</v>
      </c>
      <c r="R34" t="str">
        <v/>
      </c>
      <c r="S34" t="str">
        <v/>
      </c>
      <c r="T34" t="str">
        <v/>
      </c>
    </row>
    <row r="35">
      <c r="A35">
        <v>32</v>
      </c>
      <c r="B35" t="str">
        <v>زبادي يوناني المراعي فراولة 170 جم</v>
      </c>
      <c r="C35" t="str">
        <v>6221008002054</v>
      </c>
      <c r="D35" t="str">
        <v/>
      </c>
      <c r="E35" t="str">
        <v>قطعة</v>
      </c>
      <c r="F35">
        <v>35</v>
      </c>
      <c r="G35">
        <v>28</v>
      </c>
      <c r="H35">
        <v>0</v>
      </c>
      <c r="I35">
        <v>5</v>
      </c>
      <c r="J35">
        <f>F35-G35</f>
        <v>7</v>
      </c>
      <c r="K35" s="1">
        <f>IF(G35&gt;0, (F35-G35)/G35, 0)</f>
        <v>0.25</v>
      </c>
      <c r="L35" s="2">
        <f>H35*G35</f>
        <v>0</v>
      </c>
      <c r="M35" s="2">
        <f>H35*F35</f>
        <v>0</v>
      </c>
      <c r="N35" s="2">
        <f>M35-L35</f>
        <v>0</v>
      </c>
      <c r="O35" t="str">
        <f>IF(H35&lt;=0, "نفد من المخزن", IF(H35&lt;=I35, "قارب على النفاد", "متوفر بالمخزن"))</f>
        <v>نفد من المخزن</v>
      </c>
      <c r="P35">
        <v>0</v>
      </c>
      <c r="Q35" t="str">
        <v>SKU-0032</v>
      </c>
      <c r="R35" t="str">
        <v/>
      </c>
      <c r="S35" t="str">
        <v/>
      </c>
      <c r="T35" t="str">
        <v/>
      </c>
    </row>
    <row r="36">
      <c r="A36">
        <v>33</v>
      </c>
      <c r="B36" t="str">
        <v>مشروب زبادو جهينة خوخ 440 جم</v>
      </c>
      <c r="C36" t="str">
        <v>6223000352656</v>
      </c>
      <c r="D36" t="str">
        <v/>
      </c>
      <c r="E36" t="str">
        <v>قطعة</v>
      </c>
      <c r="F36">
        <v>22</v>
      </c>
      <c r="G36">
        <v>18</v>
      </c>
      <c r="H36">
        <v>0</v>
      </c>
      <c r="I36">
        <v>6</v>
      </c>
      <c r="J36">
        <f>F36-G36</f>
        <v>4</v>
      </c>
      <c r="K36" s="1">
        <f>IF(G36&gt;0, (F36-G36)/G36, 0)</f>
        <v>0.2222</v>
      </c>
      <c r="L36" s="2">
        <f>H36*G36</f>
        <v>0</v>
      </c>
      <c r="M36" s="2">
        <f>H36*F36</f>
        <v>0</v>
      </c>
      <c r="N36" s="2">
        <f>M36-L36</f>
        <v>0</v>
      </c>
      <c r="O36" t="str">
        <f>IF(H36&lt;=0, "نفد من المخزن", IF(H36&lt;=I36, "قارب على النفاد", "متوفر بالمخزن"))</f>
        <v>نفد من المخزن</v>
      </c>
      <c r="P36">
        <v>0</v>
      </c>
      <c r="Q36" t="str">
        <v>SKU-0033</v>
      </c>
      <c r="R36" t="str">
        <v/>
      </c>
      <c r="S36" t="str">
        <v/>
      </c>
      <c r="T36" t="str">
        <v/>
      </c>
    </row>
    <row r="37">
      <c r="A37">
        <v>34</v>
      </c>
      <c r="B37" t="str">
        <v>مشروب زبادو جهينة فراولة 440 جم</v>
      </c>
      <c r="C37" t="str">
        <v>6223000352663</v>
      </c>
      <c r="D37" t="str">
        <v/>
      </c>
      <c r="E37" t="str">
        <v>قطعة</v>
      </c>
      <c r="F37">
        <v>22</v>
      </c>
      <c r="G37">
        <v>18</v>
      </c>
      <c r="H37">
        <v>0</v>
      </c>
      <c r="I37">
        <v>6</v>
      </c>
      <c r="J37">
        <f>F37-G37</f>
        <v>4</v>
      </c>
      <c r="K37" s="1">
        <f>IF(G37&gt;0, (F37-G37)/G37, 0)</f>
        <v>0.2222</v>
      </c>
      <c r="L37" s="2">
        <f>H37*G37</f>
        <v>0</v>
      </c>
      <c r="M37" s="2">
        <f>H37*F37</f>
        <v>0</v>
      </c>
      <c r="N37" s="2">
        <f>M37-L37</f>
        <v>0</v>
      </c>
      <c r="O37" t="str">
        <f>IF(H37&lt;=0, "نفد من المخزن", IF(H37&lt;=I37, "قارب على النفاد", "متوفر بالمخزن"))</f>
        <v>نفد من المخزن</v>
      </c>
      <c r="P37">
        <v>0</v>
      </c>
      <c r="Q37" t="str">
        <v>SKU-0034</v>
      </c>
      <c r="R37" t="str">
        <v/>
      </c>
      <c r="S37" t="str">
        <v/>
      </c>
      <c r="T37" t="str">
        <v/>
      </c>
    </row>
    <row r="38">
      <c r="A38">
        <v>35</v>
      </c>
      <c r="B38" t="str">
        <v>مشروب زبادو جهينة مانجو 440 جم</v>
      </c>
      <c r="C38" t="str">
        <v>6223000352670</v>
      </c>
      <c r="D38" t="str">
        <v/>
      </c>
      <c r="E38" t="str">
        <v>قطعة</v>
      </c>
      <c r="F38">
        <v>22</v>
      </c>
      <c r="G38">
        <v>18</v>
      </c>
      <c r="H38">
        <v>0</v>
      </c>
      <c r="I38">
        <v>6</v>
      </c>
      <c r="J38">
        <f>F38-G38</f>
        <v>4</v>
      </c>
      <c r="K38" s="1">
        <f>IF(G38&gt;0, (F38-G38)/G38, 0)</f>
        <v>0.2222</v>
      </c>
      <c r="L38" s="2">
        <f>H38*G38</f>
        <v>0</v>
      </c>
      <c r="M38" s="2">
        <f>H38*F38</f>
        <v>0</v>
      </c>
      <c r="N38" s="2">
        <f>M38-L38</f>
        <v>0</v>
      </c>
      <c r="O38" t="str">
        <f>IF(H38&lt;=0, "نفد من المخزن", IF(H38&lt;=I38, "قارب على النفاد", "متوفر بالمخزن"))</f>
        <v>نفد من المخزن</v>
      </c>
      <c r="P38">
        <v>0</v>
      </c>
      <c r="Q38" t="str">
        <v>SKU-0035</v>
      </c>
      <c r="R38" t="str">
        <v/>
      </c>
      <c r="S38" t="str">
        <v/>
      </c>
      <c r="T38" t="str">
        <v/>
      </c>
    </row>
    <row r="39">
      <c r="A39">
        <v>36</v>
      </c>
      <c r="B39" t="str">
        <v>مشروب زبادو جهينة توت 440 جم</v>
      </c>
      <c r="C39" t="str">
        <v>6223000352687</v>
      </c>
      <c r="D39" t="str">
        <v/>
      </c>
      <c r="E39" t="str">
        <v>قطعة</v>
      </c>
      <c r="F39">
        <v>22</v>
      </c>
      <c r="G39">
        <v>18</v>
      </c>
      <c r="H39">
        <v>0</v>
      </c>
      <c r="I39">
        <v>5</v>
      </c>
      <c r="J39">
        <f>F39-G39</f>
        <v>4</v>
      </c>
      <c r="K39" s="1">
        <f>IF(G39&gt;0, (F39-G39)/G39, 0)</f>
        <v>0.2222</v>
      </c>
      <c r="L39" s="2">
        <f>H39*G39</f>
        <v>0</v>
      </c>
      <c r="M39" s="2">
        <f>H39*F39</f>
        <v>0</v>
      </c>
      <c r="N39" s="2">
        <f>M39-L39</f>
        <v>0</v>
      </c>
      <c r="O39" t="str">
        <f>IF(H39&lt;=0, "نفد من المخزن", IF(H39&lt;=I39, "قارب على النفاد", "متوفر بالمخزن"))</f>
        <v>نفد من المخزن</v>
      </c>
      <c r="P39">
        <v>0</v>
      </c>
      <c r="Q39" t="str">
        <v>SKU-0036</v>
      </c>
      <c r="R39" t="str">
        <v/>
      </c>
      <c r="S39" t="str">
        <v/>
      </c>
      <c r="T39" t="str">
        <v/>
      </c>
    </row>
    <row r="40">
      <c r="A40">
        <v>37</v>
      </c>
      <c r="B40" t="str">
        <v>دانيت شيكولاتة دانون 100 جم</v>
      </c>
      <c r="C40" t="str">
        <v>6221035003011</v>
      </c>
      <c r="D40" t="str">
        <v/>
      </c>
      <c r="E40" t="str">
        <v>قطعة</v>
      </c>
      <c r="F40">
        <v>12</v>
      </c>
      <c r="G40">
        <v>9.5</v>
      </c>
      <c r="H40">
        <v>0</v>
      </c>
      <c r="I40">
        <v>10</v>
      </c>
      <c r="J40">
        <f>F40-G40</f>
        <v>2.5</v>
      </c>
      <c r="K40" s="1">
        <f>IF(G40&gt;0, (F40-G40)/G40, 0)</f>
        <v>0.2632</v>
      </c>
      <c r="L40" s="2">
        <f>H40*G40</f>
        <v>0</v>
      </c>
      <c r="M40" s="2">
        <f>H40*F40</f>
        <v>0</v>
      </c>
      <c r="N40" s="2">
        <f>M40-L40</f>
        <v>0</v>
      </c>
      <c r="O40" t="str">
        <f>IF(H40&lt;=0, "نفد من المخزن", IF(H40&lt;=I40, "قارب على النفاد", "متوفر بالمخزن"))</f>
        <v>نفد من المخزن</v>
      </c>
      <c r="P40">
        <v>0</v>
      </c>
      <c r="Q40" t="str">
        <v>SKU-0037</v>
      </c>
      <c r="R40" t="str">
        <v/>
      </c>
      <c r="S40" t="str">
        <v/>
      </c>
      <c r="T40" t="str">
        <v/>
      </c>
    </row>
    <row r="41">
      <c r="A41">
        <v>38</v>
      </c>
      <c r="B41" t="str">
        <v>دانيت كراميل دانون 100 جم</v>
      </c>
      <c r="C41" t="str">
        <v>6221035003028</v>
      </c>
      <c r="D41" t="str">
        <v/>
      </c>
      <c r="E41" t="str">
        <v>قطعة</v>
      </c>
      <c r="F41">
        <v>12</v>
      </c>
      <c r="G41">
        <v>9.5</v>
      </c>
      <c r="H41">
        <v>0</v>
      </c>
      <c r="I41">
        <v>10</v>
      </c>
      <c r="J41">
        <f>F41-G41</f>
        <v>2.5</v>
      </c>
      <c r="K41" s="1">
        <f>IF(G41&gt;0, (F41-G41)/G41, 0)</f>
        <v>0.2632</v>
      </c>
      <c r="L41" s="2">
        <f>H41*G41</f>
        <v>0</v>
      </c>
      <c r="M41" s="2">
        <f>H41*F41</f>
        <v>0</v>
      </c>
      <c r="N41" s="2">
        <f>M41-L41</f>
        <v>0</v>
      </c>
      <c r="O41" t="str">
        <f>IF(H41&lt;=0, "نفد من المخزن", IF(H41&lt;=I41, "قارب على النفاد", "متوفر بالمخزن"))</f>
        <v>نفد من المخزن</v>
      </c>
      <c r="P41">
        <v>0</v>
      </c>
      <c r="Q41" t="str">
        <v>SKU-0038</v>
      </c>
      <c r="R41" t="str">
        <v/>
      </c>
      <c r="S41" t="str">
        <v/>
      </c>
      <c r="T41" t="str">
        <v/>
      </c>
    </row>
    <row r="42">
      <c r="A42">
        <v>39</v>
      </c>
      <c r="B42" t="str">
        <v>دانيت فانيليا دانون 100 جم</v>
      </c>
      <c r="C42" t="str">
        <v>6221035003035</v>
      </c>
      <c r="D42" t="str">
        <v/>
      </c>
      <c r="E42" t="str">
        <v>قطعة</v>
      </c>
      <c r="F42">
        <v>12</v>
      </c>
      <c r="G42">
        <v>9.5</v>
      </c>
      <c r="H42">
        <v>0</v>
      </c>
      <c r="I42">
        <v>8</v>
      </c>
      <c r="J42">
        <f>F42-G42</f>
        <v>2.5</v>
      </c>
      <c r="K42" s="1">
        <f>IF(G42&gt;0, (F42-G42)/G42, 0)</f>
        <v>0.2632</v>
      </c>
      <c r="L42" s="2">
        <f>H42*G42</f>
        <v>0</v>
      </c>
      <c r="M42" s="2">
        <f>H42*F42</f>
        <v>0</v>
      </c>
      <c r="N42" s="2">
        <f>M42-L42</f>
        <v>0</v>
      </c>
      <c r="O42" t="str">
        <f>IF(H42&lt;=0, "نفد من المخزن", IF(H42&lt;=I42, "قارب على النفاد", "متوفر بالمخزن"))</f>
        <v>نفد من المخزن</v>
      </c>
      <c r="P42">
        <v>0</v>
      </c>
      <c r="Q42" t="str">
        <v>SKU-0039</v>
      </c>
      <c r="R42" t="str">
        <v/>
      </c>
      <c r="S42" t="str">
        <v/>
      </c>
      <c r="T42" t="str">
        <v/>
      </c>
    </row>
    <row r="43">
      <c r="A43">
        <v>40</v>
      </c>
      <c r="B43" t="str">
        <v>دانيت بسكويت دانون 100 جم</v>
      </c>
      <c r="C43" t="str">
        <v>6221035003042</v>
      </c>
      <c r="D43" t="str">
        <v/>
      </c>
      <c r="E43" t="str">
        <v>قطعة</v>
      </c>
      <c r="F43">
        <v>12</v>
      </c>
      <c r="G43">
        <v>9.5</v>
      </c>
      <c r="H43">
        <v>0</v>
      </c>
      <c r="I43">
        <v>8</v>
      </c>
      <c r="J43">
        <f>F43-G43</f>
        <v>2.5</v>
      </c>
      <c r="K43" s="1">
        <f>IF(G43&gt;0, (F43-G43)/G43, 0)</f>
        <v>0.2632</v>
      </c>
      <c r="L43" s="2">
        <f>H43*G43</f>
        <v>0</v>
      </c>
      <c r="M43" s="2">
        <f>H43*F43</f>
        <v>0</v>
      </c>
      <c r="N43" s="2">
        <f>M43-L43</f>
        <v>0</v>
      </c>
      <c r="O43" t="str">
        <f>IF(H43&lt;=0, "نفد من المخزن", IF(H43&lt;=I43, "قارب على النفاد", "متوفر بالمخزن"))</f>
        <v>نفد من المخزن</v>
      </c>
      <c r="P43">
        <v>0</v>
      </c>
      <c r="Q43" t="str">
        <v>SKU-0040</v>
      </c>
      <c r="R43" t="str">
        <v/>
      </c>
      <c r="S43" t="str">
        <v/>
      </c>
      <c r="T43" t="str">
        <v/>
      </c>
    </row>
    <row r="44">
      <c r="A44">
        <v>41</v>
      </c>
      <c r="B44" t="str">
        <v>قشطة جهينة مائدة 200 جم</v>
      </c>
      <c r="C44" t="str">
        <v>6223000354018</v>
      </c>
      <c r="D44" t="str">
        <v/>
      </c>
      <c r="E44" t="str">
        <v>قطعة</v>
      </c>
      <c r="F44">
        <v>45</v>
      </c>
      <c r="G44">
        <v>36.5</v>
      </c>
      <c r="H44">
        <v>0</v>
      </c>
      <c r="I44">
        <v>5</v>
      </c>
      <c r="J44">
        <f>F44-G44</f>
        <v>8.5</v>
      </c>
      <c r="K44" s="1">
        <f>IF(G44&gt;0, (F44-G44)/G44, 0)</f>
        <v>0.2329</v>
      </c>
      <c r="L44" s="2">
        <f>H44*G44</f>
        <v>0</v>
      </c>
      <c r="M44" s="2">
        <f>H44*F44</f>
        <v>0</v>
      </c>
      <c r="N44" s="2">
        <f>M44-L44</f>
        <v>0</v>
      </c>
      <c r="O44" t="str">
        <f>IF(H44&lt;=0, "نفد من المخزن", IF(H44&lt;=I44, "قارب على النفاد", "متوفر بالمخزن"))</f>
        <v>نفد من المخزن</v>
      </c>
      <c r="P44">
        <v>0</v>
      </c>
      <c r="Q44" t="str">
        <v>SKU-0041</v>
      </c>
      <c r="R44" t="str">
        <v/>
      </c>
      <c r="S44" t="str">
        <v/>
      </c>
      <c r="T44" t="str">
        <v/>
      </c>
    </row>
    <row r="45">
      <c r="A45">
        <v>42</v>
      </c>
      <c r="B45" t="str">
        <v>قشطة المراعي لبانة 170 جم</v>
      </c>
      <c r="C45" t="str">
        <v>6221008003013</v>
      </c>
      <c r="D45" t="str">
        <v/>
      </c>
      <c r="E45" t="str">
        <v>قطعة</v>
      </c>
      <c r="F45">
        <v>45</v>
      </c>
      <c r="G45">
        <v>37</v>
      </c>
      <c r="H45">
        <v>0</v>
      </c>
      <c r="I45">
        <v>5</v>
      </c>
      <c r="J45">
        <f>F45-G45</f>
        <v>8</v>
      </c>
      <c r="K45" s="1">
        <f>IF(G45&gt;0, (F45-G45)/G45, 0)</f>
        <v>0.2162</v>
      </c>
      <c r="L45" s="2">
        <f>H45*G45</f>
        <v>0</v>
      </c>
      <c r="M45" s="2">
        <f>H45*F45</f>
        <v>0</v>
      </c>
      <c r="N45" s="2">
        <f>M45-L45</f>
        <v>0</v>
      </c>
      <c r="O45" t="str">
        <f>IF(H45&lt;=0, "نفد من المخزن", IF(H45&lt;=I45, "قارب على النفاد", "متوفر بالمخزن"))</f>
        <v>نفد من المخزن</v>
      </c>
      <c r="P45">
        <v>0</v>
      </c>
      <c r="Q45" t="str">
        <v>SKU-0042</v>
      </c>
      <c r="R45" t="str">
        <v/>
      </c>
      <c r="S45" t="str">
        <v/>
      </c>
      <c r="T45" t="str">
        <v/>
      </c>
    </row>
    <row r="46">
      <c r="A46">
        <v>43</v>
      </c>
      <c r="B46" t="str">
        <v>كريمة طهي جهينة 500 مل</v>
      </c>
      <c r="C46" t="str">
        <v>6223000354117</v>
      </c>
      <c r="D46" t="str">
        <v/>
      </c>
      <c r="E46" t="str">
        <v>قطعة</v>
      </c>
      <c r="F46">
        <v>95</v>
      </c>
      <c r="G46">
        <v>78</v>
      </c>
      <c r="H46">
        <v>0</v>
      </c>
      <c r="I46">
        <v>4</v>
      </c>
      <c r="J46">
        <f>F46-G46</f>
        <v>17</v>
      </c>
      <c r="K46" s="1">
        <f>IF(G46&gt;0, (F46-G46)/G46, 0)</f>
        <v>0.2179</v>
      </c>
      <c r="L46" s="2">
        <f>H46*G46</f>
        <v>0</v>
      </c>
      <c r="M46" s="2">
        <f>H46*F46</f>
        <v>0</v>
      </c>
      <c r="N46" s="2">
        <f>M46-L46</f>
        <v>0</v>
      </c>
      <c r="O46" t="str">
        <f>IF(H46&lt;=0, "نفد من المخزن", IF(H46&lt;=I46, "قارب على النفاد", "متوفر بالمخزن"))</f>
        <v>نفد من المخزن</v>
      </c>
      <c r="P46">
        <v>0</v>
      </c>
      <c r="Q46" t="str">
        <v>SKU-0043</v>
      </c>
      <c r="R46" t="str">
        <v/>
      </c>
      <c r="S46" t="str">
        <v/>
      </c>
      <c r="T46" t="str">
        <v/>
      </c>
    </row>
    <row r="47">
      <c r="A47">
        <v>44</v>
      </c>
      <c r="B47" t="str">
        <v>كريمة طهي جهينة 200 مل</v>
      </c>
      <c r="C47" t="str">
        <v>6223000354131</v>
      </c>
      <c r="D47" t="str">
        <v/>
      </c>
      <c r="E47" t="str">
        <v>قطعة</v>
      </c>
      <c r="F47">
        <v>45</v>
      </c>
      <c r="G47">
        <v>36</v>
      </c>
      <c r="H47">
        <v>0</v>
      </c>
      <c r="I47">
        <v>5</v>
      </c>
      <c r="J47">
        <f>F47-G47</f>
        <v>9</v>
      </c>
      <c r="K47" s="1">
        <f>IF(G47&gt;0, (F47-G47)/G47, 0)</f>
        <v>0.25</v>
      </c>
      <c r="L47" s="2">
        <f>H47*G47</f>
        <v>0</v>
      </c>
      <c r="M47" s="2">
        <f>H47*F47</f>
        <v>0</v>
      </c>
      <c r="N47" s="2">
        <f>M47-L47</f>
        <v>0</v>
      </c>
      <c r="O47" t="str">
        <f>IF(H47&lt;=0, "نفد من المخزن", IF(H47&lt;=I47, "قارب على النفاد", "متوفر بالمخزن"))</f>
        <v>نفد من المخزن</v>
      </c>
      <c r="P47">
        <v>0</v>
      </c>
      <c r="Q47" t="str">
        <v>SKU-0044</v>
      </c>
      <c r="R47" t="str">
        <v/>
      </c>
      <c r="S47" t="str">
        <v/>
      </c>
      <c r="T47" t="str">
        <v/>
      </c>
    </row>
    <row r="48">
      <c r="A48">
        <v>45</v>
      </c>
      <c r="B48" t="str">
        <v>كريمة خفق جهينة للحلويات 500 مل</v>
      </c>
      <c r="C48" t="str">
        <v>6223000354124</v>
      </c>
      <c r="D48" t="str">
        <v/>
      </c>
      <c r="E48" t="str">
        <v>قطعة</v>
      </c>
      <c r="F48">
        <v>105</v>
      </c>
      <c r="G48">
        <v>85</v>
      </c>
      <c r="H48">
        <v>0</v>
      </c>
      <c r="I48">
        <v>4</v>
      </c>
      <c r="J48">
        <f>F48-G48</f>
        <v>20</v>
      </c>
      <c r="K48" s="1">
        <f>IF(G48&gt;0, (F48-G48)/G48, 0)</f>
        <v>0.2353</v>
      </c>
      <c r="L48" s="2">
        <f>H48*G48</f>
        <v>0</v>
      </c>
      <c r="M48" s="2">
        <f>H48*F48</f>
        <v>0</v>
      </c>
      <c r="N48" s="2">
        <f>M48-L48</f>
        <v>0</v>
      </c>
      <c r="O48" t="str">
        <f>IF(H48&lt;=0, "نفد من المخزن", IF(H48&lt;=I48, "قارب على النفاد", "متوفر بالمخزن"))</f>
        <v>نفد من المخزن</v>
      </c>
      <c r="P48">
        <v>0</v>
      </c>
      <c r="Q48" t="str">
        <v>SKU-0045</v>
      </c>
      <c r="R48" t="str">
        <v/>
      </c>
      <c r="S48" t="str">
        <v/>
      </c>
      <c r="T48" t="str">
        <v/>
      </c>
    </row>
    <row r="49">
      <c r="A49">
        <v>46</v>
      </c>
      <c r="B49" t="str">
        <v>جبنة دومتي بلس فيتا 500 جم</v>
      </c>
      <c r="C49" t="str">
        <v>6223000756652</v>
      </c>
      <c r="D49" t="str">
        <v/>
      </c>
      <c r="E49" t="str">
        <v>قطعة</v>
      </c>
      <c r="F49">
        <v>42</v>
      </c>
      <c r="G49">
        <v>35</v>
      </c>
      <c r="H49">
        <v>0</v>
      </c>
      <c r="I49">
        <v>10</v>
      </c>
      <c r="J49">
        <f>F49-G49</f>
        <v>7</v>
      </c>
      <c r="K49" s="1">
        <f>IF(G49&gt;0, (F49-G49)/G49, 0)</f>
        <v>0.2</v>
      </c>
      <c r="L49" s="2">
        <f>H49*G49</f>
        <v>0</v>
      </c>
      <c r="M49" s="2">
        <f>H49*F49</f>
        <v>0</v>
      </c>
      <c r="N49" s="2">
        <f>M49-L49</f>
        <v>0</v>
      </c>
      <c r="O49" t="str">
        <f>IF(H49&lt;=0, "نفد من المخزن", IF(H49&lt;=I49, "قارب على النفاد", "متوفر بالمخزن"))</f>
        <v>نفد من المخزن</v>
      </c>
      <c r="P49">
        <v>0</v>
      </c>
      <c r="Q49" t="str">
        <v>SKU-0046</v>
      </c>
      <c r="R49" t="str">
        <v/>
      </c>
      <c r="S49" t="str">
        <v/>
      </c>
      <c r="T49" t="str">
        <v/>
      </c>
    </row>
    <row r="50">
      <c r="A50">
        <v>47</v>
      </c>
      <c r="B50" t="str">
        <v>جبنة دومتي بلس إسطنبولي 500 جم</v>
      </c>
      <c r="C50" t="str">
        <v>6223000757215</v>
      </c>
      <c r="D50" t="str">
        <v/>
      </c>
      <c r="E50" t="str">
        <v>قطعة</v>
      </c>
      <c r="F50">
        <v>42</v>
      </c>
      <c r="G50">
        <v>35</v>
      </c>
      <c r="H50">
        <v>0</v>
      </c>
      <c r="I50">
        <v>8</v>
      </c>
      <c r="J50">
        <f>F50-G50</f>
        <v>7</v>
      </c>
      <c r="K50" s="1">
        <f>IF(G50&gt;0, (F50-G50)/G50, 0)</f>
        <v>0.2</v>
      </c>
      <c r="L50" s="2">
        <f>H50*G50</f>
        <v>0</v>
      </c>
      <c r="M50" s="2">
        <f>H50*F50</f>
        <v>0</v>
      </c>
      <c r="N50" s="2">
        <f>M50-L50</f>
        <v>0</v>
      </c>
      <c r="O50" t="str">
        <f>IF(H50&lt;=0, "نفد من المخزن", IF(H50&lt;=I50, "قارب على النفاد", "متوفر بالمخزن"))</f>
        <v>نفد من المخزن</v>
      </c>
      <c r="P50">
        <v>0</v>
      </c>
      <c r="Q50" t="str">
        <v>SKU-0047</v>
      </c>
      <c r="R50" t="str">
        <v/>
      </c>
      <c r="S50" t="str">
        <v/>
      </c>
      <c r="T50" t="str">
        <v/>
      </c>
    </row>
    <row r="51">
      <c r="A51">
        <v>48</v>
      </c>
      <c r="B51" t="str">
        <v>جبنة دومتي بلس فيتا 250 جم</v>
      </c>
      <c r="C51" t="str">
        <v>6223000756669</v>
      </c>
      <c r="D51" t="str">
        <v/>
      </c>
      <c r="E51" t="str">
        <v>قطعة</v>
      </c>
      <c r="F51">
        <v>22</v>
      </c>
      <c r="G51">
        <v>18.5</v>
      </c>
      <c r="H51">
        <v>0</v>
      </c>
      <c r="I51">
        <v>12</v>
      </c>
      <c r="J51">
        <f>F51-G51</f>
        <v>3.5</v>
      </c>
      <c r="K51" s="1">
        <f>IF(G51&gt;0, (F51-G51)/G51, 0)</f>
        <v>0.1892</v>
      </c>
      <c r="L51" s="2">
        <f>H51*G51</f>
        <v>0</v>
      </c>
      <c r="M51" s="2">
        <f>H51*F51</f>
        <v>0</v>
      </c>
      <c r="N51" s="2">
        <f>M51-L51</f>
        <v>0</v>
      </c>
      <c r="O51" t="str">
        <f>IF(H51&lt;=0, "نفد من المخزن", IF(H51&lt;=I51, "قارب على النفاد", "متوفر بالمخزن"))</f>
        <v>نفد من المخزن</v>
      </c>
      <c r="P51">
        <v>0</v>
      </c>
      <c r="Q51" t="str">
        <v>SKU-0048</v>
      </c>
      <c r="R51" t="str">
        <v/>
      </c>
      <c r="S51" t="str">
        <v/>
      </c>
      <c r="T51" t="str">
        <v/>
      </c>
    </row>
    <row r="52">
      <c r="A52">
        <v>49</v>
      </c>
      <c r="B52" t="str">
        <v>جبنة دومتي بلس زيتون 250 جم</v>
      </c>
      <c r="C52" t="str">
        <v>6223000756676</v>
      </c>
      <c r="D52" t="str">
        <v/>
      </c>
      <c r="E52" t="str">
        <v>قطعة</v>
      </c>
      <c r="F52">
        <v>22</v>
      </c>
      <c r="G52">
        <v>18.5</v>
      </c>
      <c r="H52">
        <v>0</v>
      </c>
      <c r="I52">
        <v>8</v>
      </c>
      <c r="J52">
        <f>F52-G52</f>
        <v>3.5</v>
      </c>
      <c r="K52" s="1">
        <f>IF(G52&gt;0, (F52-G52)/G52, 0)</f>
        <v>0.1892</v>
      </c>
      <c r="L52" s="2">
        <f>H52*G52</f>
        <v>0</v>
      </c>
      <c r="M52" s="2">
        <f>H52*F52</f>
        <v>0</v>
      </c>
      <c r="N52" s="2">
        <f>M52-L52</f>
        <v>0</v>
      </c>
      <c r="O52" t="str">
        <f>IF(H52&lt;=0, "نفد من المخزن", IF(H52&lt;=I52, "قارب على النفاد", "متوفر بالمخزن"))</f>
        <v>نفد من المخزن</v>
      </c>
      <c r="P52">
        <v>0</v>
      </c>
      <c r="Q52" t="str">
        <v>SKU-0049</v>
      </c>
      <c r="R52" t="str">
        <v/>
      </c>
      <c r="S52" t="str">
        <v/>
      </c>
      <c r="T52" t="str">
        <v/>
      </c>
    </row>
    <row r="53">
      <c r="A53">
        <v>50</v>
      </c>
      <c r="B53" t="str">
        <v>جبنة دومتي صفراء شيدر 250 جم</v>
      </c>
      <c r="C53" t="str">
        <v>6223000756683</v>
      </c>
      <c r="D53" t="str">
        <v/>
      </c>
      <c r="E53" t="str">
        <v>قطعة</v>
      </c>
      <c r="F53">
        <v>24</v>
      </c>
      <c r="G53">
        <v>19.5</v>
      </c>
      <c r="H53">
        <v>0</v>
      </c>
      <c r="I53">
        <v>8</v>
      </c>
      <c r="J53">
        <f>F53-G53</f>
        <v>4.5</v>
      </c>
      <c r="K53" s="1">
        <f>IF(G53&gt;0, (F53-G53)/G53, 0)</f>
        <v>0.2308</v>
      </c>
      <c r="L53" s="2">
        <f>H53*G53</f>
        <v>0</v>
      </c>
      <c r="M53" s="2">
        <f>H53*F53</f>
        <v>0</v>
      </c>
      <c r="N53" s="2">
        <f>M53-L53</f>
        <v>0</v>
      </c>
      <c r="O53" t="str">
        <f>IF(H53&lt;=0, "نفد من المخزن", IF(H53&lt;=I53, "قارب على النفاد", "متوفر بالمخزن"))</f>
        <v>نفد من المخزن</v>
      </c>
      <c r="P53">
        <v>0</v>
      </c>
      <c r="Q53" t="str">
        <v>SKU-0050</v>
      </c>
      <c r="R53" t="str">
        <v/>
      </c>
      <c r="S53" t="str">
        <v/>
      </c>
      <c r="T53" t="str">
        <v/>
      </c>
    </row>
    <row r="54">
      <c r="A54">
        <v>51</v>
      </c>
      <c r="B54" t="str">
        <v>جبنة دومتي بلس زعتر 250 جم</v>
      </c>
      <c r="C54" t="str">
        <v>6223000756690</v>
      </c>
      <c r="D54" t="str">
        <v/>
      </c>
      <c r="E54" t="str">
        <v>قطعة</v>
      </c>
      <c r="F54">
        <v>22</v>
      </c>
      <c r="G54">
        <v>18.5</v>
      </c>
      <c r="H54">
        <v>0</v>
      </c>
      <c r="I54">
        <v>6</v>
      </c>
      <c r="J54">
        <f>F54-G54</f>
        <v>3.5</v>
      </c>
      <c r="K54" s="1">
        <f>IF(G54&gt;0, (F54-G54)/G54, 0)</f>
        <v>0.1892</v>
      </c>
      <c r="L54" s="2">
        <f>H54*G54</f>
        <v>0</v>
      </c>
      <c r="M54" s="2">
        <f>H54*F54</f>
        <v>0</v>
      </c>
      <c r="N54" s="2">
        <f>M54-L54</f>
        <v>0</v>
      </c>
      <c r="O54" t="str">
        <f>IF(H54&lt;=0, "نفد من المخزن", IF(H54&lt;=I54, "قارب على النفاد", "متوفر بالمخزن"))</f>
        <v>نفد من المخزن</v>
      </c>
      <c r="P54">
        <v>0</v>
      </c>
      <c r="Q54" t="str">
        <v>SKU-0051</v>
      </c>
      <c r="R54" t="str">
        <v/>
      </c>
      <c r="S54" t="str">
        <v/>
      </c>
      <c r="T54" t="str">
        <v/>
      </c>
    </row>
    <row r="55">
      <c r="A55">
        <v>52</v>
      </c>
      <c r="B55" t="str">
        <v>جبنة عبور لاند تتراباك فيتا 250 جم</v>
      </c>
      <c r="C55" t="str">
        <v>6224001021015</v>
      </c>
      <c r="D55" t="str">
        <v/>
      </c>
      <c r="E55" t="str">
        <v>قطعة</v>
      </c>
      <c r="F55">
        <v>22</v>
      </c>
      <c r="G55">
        <v>18.5</v>
      </c>
      <c r="H55">
        <v>0</v>
      </c>
      <c r="I55">
        <v>15</v>
      </c>
      <c r="J55">
        <f>F55-G55</f>
        <v>3.5</v>
      </c>
      <c r="K55" s="1">
        <f>IF(G55&gt;0, (F55-G55)/G55, 0)</f>
        <v>0.1892</v>
      </c>
      <c r="L55" s="2">
        <f>H55*G55</f>
        <v>0</v>
      </c>
      <c r="M55" s="2">
        <f>H55*F55</f>
        <v>0</v>
      </c>
      <c r="N55" s="2">
        <f>M55-L55</f>
        <v>0</v>
      </c>
      <c r="O55" t="str">
        <f>IF(H55&lt;=0, "نفد من المخزن", IF(H55&lt;=I55, "قارب على النفاد", "متوفر بالمخزن"))</f>
        <v>نفد من المخزن</v>
      </c>
      <c r="P55">
        <v>0</v>
      </c>
      <c r="Q55" t="str">
        <v>SKU-0052</v>
      </c>
      <c r="R55" t="str">
        <v/>
      </c>
      <c r="S55" t="str">
        <v/>
      </c>
      <c r="T55" t="str">
        <v/>
      </c>
    </row>
    <row r="56">
      <c r="A56">
        <v>53</v>
      </c>
      <c r="B56" t="str">
        <v>جبنة عبور لاند تتراباك إسطنبولي 250 جم</v>
      </c>
      <c r="C56" t="str">
        <v>6224001021022</v>
      </c>
      <c r="D56" t="str">
        <v/>
      </c>
      <c r="E56" t="str">
        <v>قطعة</v>
      </c>
      <c r="F56">
        <v>22</v>
      </c>
      <c r="G56">
        <v>18.5</v>
      </c>
      <c r="H56">
        <v>0</v>
      </c>
      <c r="I56">
        <v>12</v>
      </c>
      <c r="J56">
        <f>F56-G56</f>
        <v>3.5</v>
      </c>
      <c r="K56" s="1">
        <f>IF(G56&gt;0, (F56-G56)/G56, 0)</f>
        <v>0.1892</v>
      </c>
      <c r="L56" s="2">
        <f>H56*G56</f>
        <v>0</v>
      </c>
      <c r="M56" s="2">
        <f>H56*F56</f>
        <v>0</v>
      </c>
      <c r="N56" s="2">
        <f>M56-L56</f>
        <v>0</v>
      </c>
      <c r="O56" t="str">
        <f>IF(H56&lt;=0, "نفد من المخزن", IF(H56&lt;=I56, "قارب على النفاد", "متوفر بالمخزن"))</f>
        <v>نفد من المخزن</v>
      </c>
      <c r="P56">
        <v>0</v>
      </c>
      <c r="Q56" t="str">
        <v>SKU-0053</v>
      </c>
      <c r="R56" t="str">
        <v/>
      </c>
      <c r="S56" t="str">
        <v/>
      </c>
      <c r="T56" t="str">
        <v/>
      </c>
    </row>
    <row r="57">
      <c r="A57">
        <v>54</v>
      </c>
      <c r="B57" t="str">
        <v>جبنة عبور لاند تتراباك براميلي 250 جم</v>
      </c>
      <c r="C57" t="str">
        <v>6224001021039</v>
      </c>
      <c r="D57" t="str">
        <v/>
      </c>
      <c r="E57" t="str">
        <v>قطعة</v>
      </c>
      <c r="F57">
        <v>22</v>
      </c>
      <c r="G57">
        <v>18.5</v>
      </c>
      <c r="H57">
        <v>0</v>
      </c>
      <c r="I57">
        <v>10</v>
      </c>
      <c r="J57">
        <f>F57-G57</f>
        <v>3.5</v>
      </c>
      <c r="K57" s="1">
        <f>IF(G57&gt;0, (F57-G57)/G57, 0)</f>
        <v>0.1892</v>
      </c>
      <c r="L57" s="2">
        <f>H57*G57</f>
        <v>0</v>
      </c>
      <c r="M57" s="2">
        <f>H57*F57</f>
        <v>0</v>
      </c>
      <c r="N57" s="2">
        <f>M57-L57</f>
        <v>0</v>
      </c>
      <c r="O57" t="str">
        <f>IF(H57&lt;=0, "نفد من المخزن", IF(H57&lt;=I57, "قارب على النفاد", "متوفر بالمخزن"))</f>
        <v>نفد من المخزن</v>
      </c>
      <c r="P57">
        <v>0</v>
      </c>
      <c r="Q57" t="str">
        <v>SKU-0054</v>
      </c>
      <c r="R57" t="str">
        <v/>
      </c>
      <c r="S57" t="str">
        <v/>
      </c>
      <c r="T57" t="str">
        <v/>
      </c>
    </row>
    <row r="58">
      <c r="A58">
        <v>55</v>
      </c>
      <c r="B58" t="str">
        <v>جبنة عبور لاند تتراباك شيدر 250 جم</v>
      </c>
      <c r="C58" t="str">
        <v>6224001021046</v>
      </c>
      <c r="D58" t="str">
        <v/>
      </c>
      <c r="E58" t="str">
        <v>قطعة</v>
      </c>
      <c r="F58">
        <v>24</v>
      </c>
      <c r="G58">
        <v>19.5</v>
      </c>
      <c r="H58">
        <v>0</v>
      </c>
      <c r="I58">
        <v>8</v>
      </c>
      <c r="J58">
        <f>F58-G58</f>
        <v>4.5</v>
      </c>
      <c r="K58" s="1">
        <f>IF(G58&gt;0, (F58-G58)/G58, 0)</f>
        <v>0.2308</v>
      </c>
      <c r="L58" s="2">
        <f>H58*G58</f>
        <v>0</v>
      </c>
      <c r="M58" s="2">
        <f>H58*F58</f>
        <v>0</v>
      </c>
      <c r="N58" s="2">
        <f>M58-L58</f>
        <v>0</v>
      </c>
      <c r="O58" t="str">
        <f>IF(H58&lt;=0, "نفد من المخزن", IF(H58&lt;=I58, "قارب على النفاد", "متوفر بالمخزن"))</f>
        <v>نفد من المخزن</v>
      </c>
      <c r="P58">
        <v>0</v>
      </c>
      <c r="Q58" t="str">
        <v>SKU-0055</v>
      </c>
      <c r="R58" t="str">
        <v/>
      </c>
      <c r="S58" t="str">
        <v/>
      </c>
      <c r="T58" t="str">
        <v/>
      </c>
    </row>
    <row r="59">
      <c r="A59">
        <v>56</v>
      </c>
      <c r="B59" t="str">
        <v>جبنة عبور لاند تتراباك رومي 250 جم</v>
      </c>
      <c r="C59" t="str">
        <v>6224001021077</v>
      </c>
      <c r="D59" t="str">
        <v/>
      </c>
      <c r="E59" t="str">
        <v>قطعة</v>
      </c>
      <c r="F59">
        <v>24</v>
      </c>
      <c r="G59">
        <v>19.5</v>
      </c>
      <c r="H59">
        <v>0</v>
      </c>
      <c r="I59">
        <v>8</v>
      </c>
      <c r="J59">
        <f>F59-G59</f>
        <v>4.5</v>
      </c>
      <c r="K59" s="1">
        <f>IF(G59&gt;0, (F59-G59)/G59, 0)</f>
        <v>0.2308</v>
      </c>
      <c r="L59" s="2">
        <f>H59*G59</f>
        <v>0</v>
      </c>
      <c r="M59" s="2">
        <f>H59*F59</f>
        <v>0</v>
      </c>
      <c r="N59" s="2">
        <f>M59-L59</f>
        <v>0</v>
      </c>
      <c r="O59" t="str">
        <f>IF(H59&lt;=0, "نفد من المخزن", IF(H59&lt;=I59, "قارب على النفاد", "متوفر بالمخزن"))</f>
        <v>نفد من المخزن</v>
      </c>
      <c r="P59">
        <v>0</v>
      </c>
      <c r="Q59" t="str">
        <v>SKU-0056</v>
      </c>
      <c r="R59" t="str">
        <v/>
      </c>
      <c r="S59" t="str">
        <v/>
      </c>
      <c r="T59" t="str">
        <v/>
      </c>
    </row>
    <row r="60">
      <c r="A60">
        <v>57</v>
      </c>
      <c r="B60" t="str">
        <v>جبنة عبور لاند تتراباك فيتا 500 جم</v>
      </c>
      <c r="C60" t="str">
        <v>6224001021053</v>
      </c>
      <c r="D60" t="str">
        <v/>
      </c>
      <c r="E60" t="str">
        <v>قطعة</v>
      </c>
      <c r="F60">
        <v>42</v>
      </c>
      <c r="G60">
        <v>35</v>
      </c>
      <c r="H60">
        <v>0</v>
      </c>
      <c r="I60">
        <v>10</v>
      </c>
      <c r="J60">
        <f>F60-G60</f>
        <v>7</v>
      </c>
      <c r="K60" s="1">
        <f>IF(G60&gt;0, (F60-G60)/G60, 0)</f>
        <v>0.2</v>
      </c>
      <c r="L60" s="2">
        <f>H60*G60</f>
        <v>0</v>
      </c>
      <c r="M60" s="2">
        <f>H60*F60</f>
        <v>0</v>
      </c>
      <c r="N60" s="2">
        <f>M60-L60</f>
        <v>0</v>
      </c>
      <c r="O60" t="str">
        <f>IF(H60&lt;=0, "نفد من المخزن", IF(H60&lt;=I60, "قارب على النفاد", "متوفر بالمخزن"))</f>
        <v>نفد من المخزن</v>
      </c>
      <c r="P60">
        <v>0</v>
      </c>
      <c r="Q60" t="str">
        <v>SKU-0057</v>
      </c>
      <c r="R60" t="str">
        <v/>
      </c>
      <c r="S60" t="str">
        <v/>
      </c>
      <c r="T60" t="str">
        <v/>
      </c>
    </row>
    <row r="61">
      <c r="A61">
        <v>58</v>
      </c>
      <c r="B61" t="str">
        <v>جبنة عبور لاند تتراباك إسطنبولي 500 جم</v>
      </c>
      <c r="C61" t="str">
        <v>6224001021060</v>
      </c>
      <c r="D61" t="str">
        <v/>
      </c>
      <c r="E61" t="str">
        <v>قطعة</v>
      </c>
      <c r="F61">
        <v>42</v>
      </c>
      <c r="G61">
        <v>35</v>
      </c>
      <c r="H61">
        <v>0</v>
      </c>
      <c r="I61">
        <v>8</v>
      </c>
      <c r="J61">
        <f>F61-G61</f>
        <v>7</v>
      </c>
      <c r="K61" s="1">
        <f>IF(G61&gt;0, (F61-G61)/G61, 0)</f>
        <v>0.2</v>
      </c>
      <c r="L61" s="2">
        <f>H61*G61</f>
        <v>0</v>
      </c>
      <c r="M61" s="2">
        <f>H61*F61</f>
        <v>0</v>
      </c>
      <c r="N61" s="2">
        <f>M61-L61</f>
        <v>0</v>
      </c>
      <c r="O61" t="str">
        <f>IF(H61&lt;=0, "نفد من المخزن", IF(H61&lt;=I61, "قارب على النفاد", "متوفر بالمخزن"))</f>
        <v>نفد من المخزن</v>
      </c>
      <c r="P61">
        <v>0</v>
      </c>
      <c r="Q61" t="str">
        <v>SKU-0058</v>
      </c>
      <c r="R61" t="str">
        <v/>
      </c>
      <c r="S61" t="str">
        <v/>
      </c>
      <c r="T61" t="str">
        <v/>
      </c>
    </row>
    <row r="62">
      <c r="A62">
        <v>59</v>
      </c>
      <c r="B62" t="str">
        <v>جبنة عبور لاند تتراباك براميلي 500 جم</v>
      </c>
      <c r="C62" t="str">
        <v>6224001021084</v>
      </c>
      <c r="D62" t="str">
        <v/>
      </c>
      <c r="E62" t="str">
        <v>قطعة</v>
      </c>
      <c r="F62">
        <v>42</v>
      </c>
      <c r="G62">
        <v>35</v>
      </c>
      <c r="H62">
        <v>0</v>
      </c>
      <c r="I62">
        <v>8</v>
      </c>
      <c r="J62">
        <f>F62-G62</f>
        <v>7</v>
      </c>
      <c r="K62" s="1">
        <f>IF(G62&gt;0, (F62-G62)/G62, 0)</f>
        <v>0.2</v>
      </c>
      <c r="L62" s="2">
        <f>H62*G62</f>
        <v>0</v>
      </c>
      <c r="M62" s="2">
        <f>H62*F62</f>
        <v>0</v>
      </c>
      <c r="N62" s="2">
        <f>M62-L62</f>
        <v>0</v>
      </c>
      <c r="O62" t="str">
        <f>IF(H62&lt;=0, "نفد من المخزن", IF(H62&lt;=I62, "قارب على النفاد", "متوفر بالمخزن"))</f>
        <v>نفد من المخزن</v>
      </c>
      <c r="P62">
        <v>0</v>
      </c>
      <c r="Q62" t="str">
        <v>SKU-0059</v>
      </c>
      <c r="R62" t="str">
        <v/>
      </c>
      <c r="S62" t="str">
        <v/>
      </c>
      <c r="T62" t="str">
        <v/>
      </c>
    </row>
    <row r="63">
      <c r="A63">
        <v>60</v>
      </c>
      <c r="B63" t="str">
        <v>جبنة رودس فيتا 250 جم</v>
      </c>
      <c r="C63" t="str">
        <v>6224001031014</v>
      </c>
      <c r="D63" t="str">
        <v/>
      </c>
      <c r="E63" t="str">
        <v>قطعة</v>
      </c>
      <c r="F63">
        <v>20</v>
      </c>
      <c r="G63">
        <v>16.5</v>
      </c>
      <c r="H63">
        <v>0</v>
      </c>
      <c r="I63">
        <v>10</v>
      </c>
      <c r="J63">
        <f>F63-G63</f>
        <v>3.5</v>
      </c>
      <c r="K63" s="1">
        <f>IF(G63&gt;0, (F63-G63)/G63, 0)</f>
        <v>0.2121</v>
      </c>
      <c r="L63" s="2">
        <f>H63*G63</f>
        <v>0</v>
      </c>
      <c r="M63" s="2">
        <f>H63*F63</f>
        <v>0</v>
      </c>
      <c r="N63" s="2">
        <f>M63-L63</f>
        <v>0</v>
      </c>
      <c r="O63" t="str">
        <f>IF(H63&lt;=0, "نفد من المخزن", IF(H63&lt;=I63, "قارب على النفاد", "متوفر بالمخزن"))</f>
        <v>نفد من المخزن</v>
      </c>
      <c r="P63">
        <v>0</v>
      </c>
      <c r="Q63" t="str">
        <v>SKU-0060</v>
      </c>
      <c r="R63" t="str">
        <v/>
      </c>
      <c r="S63" t="str">
        <v/>
      </c>
      <c r="T63" t="str">
        <v/>
      </c>
    </row>
    <row r="64">
      <c r="A64">
        <v>61</v>
      </c>
      <c r="B64" t="str">
        <v>جبنة رودس إسطنبولي 250 جم</v>
      </c>
      <c r="C64" t="str">
        <v>6224001031021</v>
      </c>
      <c r="D64" t="str">
        <v/>
      </c>
      <c r="E64" t="str">
        <v>قطعة</v>
      </c>
      <c r="F64">
        <v>20</v>
      </c>
      <c r="G64">
        <v>16.5</v>
      </c>
      <c r="H64">
        <v>0</v>
      </c>
      <c r="I64">
        <v>8</v>
      </c>
      <c r="J64">
        <f>F64-G64</f>
        <v>3.5</v>
      </c>
      <c r="K64" s="1">
        <f>IF(G64&gt;0, (F64-G64)/G64, 0)</f>
        <v>0.2121</v>
      </c>
      <c r="L64" s="2">
        <f>H64*G64</f>
        <v>0</v>
      </c>
      <c r="M64" s="2">
        <f>H64*F64</f>
        <v>0</v>
      </c>
      <c r="N64" s="2">
        <f>M64-L64</f>
        <v>0</v>
      </c>
      <c r="O64" t="str">
        <f>IF(H64&lt;=0, "نفد من المخزن", IF(H64&lt;=I64, "قارب على النفاد", "متوفر بالمخزن"))</f>
        <v>نفد من المخزن</v>
      </c>
      <c r="P64">
        <v>0</v>
      </c>
      <c r="Q64" t="str">
        <v>SKU-0061</v>
      </c>
      <c r="R64" t="str">
        <v/>
      </c>
      <c r="S64" t="str">
        <v/>
      </c>
      <c r="T64" t="str">
        <v/>
      </c>
    </row>
    <row r="65">
      <c r="A65">
        <v>62</v>
      </c>
      <c r="B65" t="str">
        <v>جبنة رودس قشطة 250 جم</v>
      </c>
      <c r="C65" t="str">
        <v>6224001031038</v>
      </c>
      <c r="D65" t="str">
        <v/>
      </c>
      <c r="E65" t="str">
        <v>قطعة</v>
      </c>
      <c r="F65">
        <v>20</v>
      </c>
      <c r="G65">
        <v>16.5</v>
      </c>
      <c r="H65">
        <v>0</v>
      </c>
      <c r="I65">
        <v>8</v>
      </c>
      <c r="J65">
        <f>F65-G65</f>
        <v>3.5</v>
      </c>
      <c r="K65" s="1">
        <f>IF(G65&gt;0, (F65-G65)/G65, 0)</f>
        <v>0.2121</v>
      </c>
      <c r="L65" s="2">
        <f>H65*G65</f>
        <v>0</v>
      </c>
      <c r="M65" s="2">
        <f>H65*F65</f>
        <v>0</v>
      </c>
      <c r="N65" s="2">
        <f>M65-L65</f>
        <v>0</v>
      </c>
      <c r="O65" t="str">
        <f>IF(H65&lt;=0, "نفد من المخزن", IF(H65&lt;=I65, "قارب على النفاد", "متوفر بالمخزن"))</f>
        <v>نفد من المخزن</v>
      </c>
      <c r="P65">
        <v>0</v>
      </c>
      <c r="Q65" t="str">
        <v>SKU-0062</v>
      </c>
      <c r="R65" t="str">
        <v/>
      </c>
      <c r="S65" t="str">
        <v/>
      </c>
      <c r="T65" t="str">
        <v/>
      </c>
    </row>
    <row r="66">
      <c r="A66">
        <v>63</v>
      </c>
      <c r="B66" t="str">
        <v>جبنة رودس قديمة 250 جم</v>
      </c>
      <c r="C66" t="str">
        <v>6224001031045</v>
      </c>
      <c r="D66" t="str">
        <v/>
      </c>
      <c r="E66" t="str">
        <v>قطعة</v>
      </c>
      <c r="F66">
        <v>20</v>
      </c>
      <c r="G66">
        <v>16.5</v>
      </c>
      <c r="H66">
        <v>0</v>
      </c>
      <c r="I66">
        <v>8</v>
      </c>
      <c r="J66">
        <f>F66-G66</f>
        <v>3.5</v>
      </c>
      <c r="K66" s="1">
        <f>IF(G66&gt;0, (F66-G66)/G66, 0)</f>
        <v>0.2121</v>
      </c>
      <c r="L66" s="2">
        <f>H66*G66</f>
        <v>0</v>
      </c>
      <c r="M66" s="2">
        <f>H66*F66</f>
        <v>0</v>
      </c>
      <c r="N66" s="2">
        <f>M66-L66</f>
        <v>0</v>
      </c>
      <c r="O66" t="str">
        <f>IF(H66&lt;=0, "نفد من المخزن", IF(H66&lt;=I66, "قارب على النفاد", "متوفر بالمخزن"))</f>
        <v>نفد من المخزن</v>
      </c>
      <c r="P66">
        <v>0</v>
      </c>
      <c r="Q66" t="str">
        <v>SKU-0063</v>
      </c>
      <c r="R66" t="str">
        <v/>
      </c>
      <c r="S66" t="str">
        <v/>
      </c>
      <c r="T66" t="str">
        <v/>
      </c>
    </row>
    <row r="67">
      <c r="A67">
        <v>64</v>
      </c>
      <c r="B67" t="str">
        <v>جبنة رودس فيتا 500 جم</v>
      </c>
      <c r="C67" t="str">
        <v>6224001031052</v>
      </c>
      <c r="D67" t="str">
        <v/>
      </c>
      <c r="E67" t="str">
        <v>قطعة</v>
      </c>
      <c r="F67">
        <v>38</v>
      </c>
      <c r="G67">
        <v>31</v>
      </c>
      <c r="H67">
        <v>0</v>
      </c>
      <c r="I67">
        <v>8</v>
      </c>
      <c r="J67">
        <f>F67-G67</f>
        <v>7</v>
      </c>
      <c r="K67" s="1">
        <f>IF(G67&gt;0, (F67-G67)/G67, 0)</f>
        <v>0.2258</v>
      </c>
      <c r="L67" s="2">
        <f>H67*G67</f>
        <v>0</v>
      </c>
      <c r="M67" s="2">
        <f>H67*F67</f>
        <v>0</v>
      </c>
      <c r="N67" s="2">
        <f>M67-L67</f>
        <v>0</v>
      </c>
      <c r="O67" t="str">
        <f>IF(H67&lt;=0, "نفد من المخزن", IF(H67&lt;=I67, "قارب على النفاد", "متوفر بالمخزن"))</f>
        <v>نفد من المخزن</v>
      </c>
      <c r="P67">
        <v>0</v>
      </c>
      <c r="Q67" t="str">
        <v>SKU-0064</v>
      </c>
      <c r="R67" t="str">
        <v/>
      </c>
      <c r="S67" t="str">
        <v/>
      </c>
      <c r="T67" t="str">
        <v/>
      </c>
    </row>
    <row r="68">
      <c r="A68">
        <v>65</v>
      </c>
      <c r="B68" t="str">
        <v>جبنة طعمة تتراباك فيتا 250 جم</v>
      </c>
      <c r="C68" t="str">
        <v>6223000811016</v>
      </c>
      <c r="D68" t="str">
        <v/>
      </c>
      <c r="E68" t="str">
        <v>قطعة</v>
      </c>
      <c r="F68">
        <v>19</v>
      </c>
      <c r="G68">
        <v>15.5</v>
      </c>
      <c r="H68">
        <v>0</v>
      </c>
      <c r="I68">
        <v>10</v>
      </c>
      <c r="J68">
        <f>F68-G68</f>
        <v>3.5</v>
      </c>
      <c r="K68" s="1">
        <f>IF(G68&gt;0, (F68-G68)/G68, 0)</f>
        <v>0.2258</v>
      </c>
      <c r="L68" s="2">
        <f>H68*G68</f>
        <v>0</v>
      </c>
      <c r="M68" s="2">
        <f>H68*F68</f>
        <v>0</v>
      </c>
      <c r="N68" s="2">
        <f>M68-L68</f>
        <v>0</v>
      </c>
      <c r="O68" t="str">
        <f>IF(H68&lt;=0, "نفد من المخزن", IF(H68&lt;=I68, "قارب على النفاد", "متوفر بالمخزن"))</f>
        <v>نفد من المخزن</v>
      </c>
      <c r="P68">
        <v>0</v>
      </c>
      <c r="Q68" t="str">
        <v>SKU-0065</v>
      </c>
      <c r="R68" t="str">
        <v/>
      </c>
      <c r="S68" t="str">
        <v/>
      </c>
      <c r="T68" t="str">
        <v/>
      </c>
    </row>
    <row r="69">
      <c r="A69">
        <v>66</v>
      </c>
      <c r="B69" t="str">
        <v>جبنة طعمة تتراباك فيتا 500 جم</v>
      </c>
      <c r="C69" t="str">
        <v>6223000811023</v>
      </c>
      <c r="D69" t="str">
        <v/>
      </c>
      <c r="E69" t="str">
        <v>قطعة</v>
      </c>
      <c r="F69">
        <v>37</v>
      </c>
      <c r="G69">
        <v>30.5</v>
      </c>
      <c r="H69">
        <v>0</v>
      </c>
      <c r="I69">
        <v>8</v>
      </c>
      <c r="J69">
        <f>F69-G69</f>
        <v>6.5</v>
      </c>
      <c r="K69" s="1">
        <f>IF(G69&gt;0, (F69-G69)/G69, 0)</f>
        <v>0.2131</v>
      </c>
      <c r="L69" s="2">
        <f>H69*G69</f>
        <v>0</v>
      </c>
      <c r="M69" s="2">
        <f>H69*F69</f>
        <v>0</v>
      </c>
      <c r="N69" s="2">
        <f>M69-L69</f>
        <v>0</v>
      </c>
      <c r="O69" t="str">
        <f>IF(H69&lt;=0, "نفد من المخزن", IF(H69&lt;=I69, "قارب على النفاد", "متوفر بالمخزن"))</f>
        <v>نفد من المخزن</v>
      </c>
      <c r="P69">
        <v>0</v>
      </c>
      <c r="Q69" t="str">
        <v>SKU-0066</v>
      </c>
      <c r="R69" t="str">
        <v/>
      </c>
      <c r="S69" t="str">
        <v/>
      </c>
      <c r="T69" t="str">
        <v/>
      </c>
    </row>
    <row r="70">
      <c r="A70">
        <v>67</v>
      </c>
      <c r="B70" t="str">
        <v>جبنة كيري مربعات 8 قطع</v>
      </c>
      <c r="C70" t="str">
        <v>3073780965217</v>
      </c>
      <c r="D70" t="str">
        <v/>
      </c>
      <c r="E70" t="str">
        <v>قطعة</v>
      </c>
      <c r="F70">
        <v>55</v>
      </c>
      <c r="G70">
        <v>46</v>
      </c>
      <c r="H70">
        <v>0</v>
      </c>
      <c r="I70">
        <v>6</v>
      </c>
      <c r="J70">
        <f>F70-G70</f>
        <v>9</v>
      </c>
      <c r="K70" s="1">
        <f>IF(G70&gt;0, (F70-G70)/G70, 0)</f>
        <v>0.1957</v>
      </c>
      <c r="L70" s="2">
        <f>H70*G70</f>
        <v>0</v>
      </c>
      <c r="M70" s="2">
        <f>H70*F70</f>
        <v>0</v>
      </c>
      <c r="N70" s="2">
        <f>M70-L70</f>
        <v>0</v>
      </c>
      <c r="O70" t="str">
        <f>IF(H70&lt;=0, "نفد من المخزن", IF(H70&lt;=I70, "قارب على النفاد", "متوفر بالمخزن"))</f>
        <v>نفد من المخزن</v>
      </c>
      <c r="P70">
        <v>0</v>
      </c>
      <c r="Q70" t="str">
        <v>SKU-0067</v>
      </c>
      <c r="R70" t="str">
        <v/>
      </c>
      <c r="S70" t="str">
        <v/>
      </c>
      <c r="T70" t="str">
        <v/>
      </c>
    </row>
    <row r="71">
      <c r="A71">
        <v>68</v>
      </c>
      <c r="B71" t="str">
        <v>جبنة كيري مربعات 12 قطعة</v>
      </c>
      <c r="C71" t="str">
        <v>3073780965224</v>
      </c>
      <c r="D71" t="str">
        <v/>
      </c>
      <c r="E71" t="str">
        <v>قطعة</v>
      </c>
      <c r="F71">
        <v>80</v>
      </c>
      <c r="G71">
        <v>67</v>
      </c>
      <c r="H71">
        <v>0</v>
      </c>
      <c r="I71">
        <v>5</v>
      </c>
      <c r="J71">
        <f>F71-G71</f>
        <v>13</v>
      </c>
      <c r="K71" s="1">
        <f>IF(G71&gt;0, (F71-G71)/G71, 0)</f>
        <v>0.194</v>
      </c>
      <c r="L71" s="2">
        <f>H71*G71</f>
        <v>0</v>
      </c>
      <c r="M71" s="2">
        <f>H71*F71</f>
        <v>0</v>
      </c>
      <c r="N71" s="2">
        <f>M71-L71</f>
        <v>0</v>
      </c>
      <c r="O71" t="str">
        <f>IF(H71&lt;=0, "نفد من المخزن", IF(H71&lt;=I71, "قارب على النفاد", "متوفر بالمخزن"))</f>
        <v>نفد من المخزن</v>
      </c>
      <c r="P71">
        <v>0</v>
      </c>
      <c r="Q71" t="str">
        <v>SKU-0068</v>
      </c>
      <c r="R71" t="str">
        <v/>
      </c>
      <c r="S71" t="str">
        <v/>
      </c>
      <c r="T71" t="str">
        <v/>
      </c>
    </row>
    <row r="72">
      <c r="A72">
        <v>69</v>
      </c>
      <c r="B72" t="str">
        <v>جبنة كيري مربعات 24 قطعة عائلي</v>
      </c>
      <c r="C72" t="str">
        <v>3073780965231</v>
      </c>
      <c r="D72" t="str">
        <v/>
      </c>
      <c r="E72" t="str">
        <v>قطعة</v>
      </c>
      <c r="F72">
        <v>155</v>
      </c>
      <c r="G72">
        <v>130</v>
      </c>
      <c r="H72">
        <v>0</v>
      </c>
      <c r="I72">
        <v>3</v>
      </c>
      <c r="J72">
        <f>F72-G72</f>
        <v>25</v>
      </c>
      <c r="K72" s="1">
        <f>IF(G72&gt;0, (F72-G72)/G72, 0)</f>
        <v>0.1923</v>
      </c>
      <c r="L72" s="2">
        <f>H72*G72</f>
        <v>0</v>
      </c>
      <c r="M72" s="2">
        <f>H72*F72</f>
        <v>0</v>
      </c>
      <c r="N72" s="2">
        <f>M72-L72</f>
        <v>0</v>
      </c>
      <c r="O72" t="str">
        <f>IF(H72&lt;=0, "نفد من المخزن", IF(H72&lt;=I72, "قارب على النفاد", "متوفر بالمخزن"))</f>
        <v>نفد من المخزن</v>
      </c>
      <c r="P72">
        <v>0</v>
      </c>
      <c r="Q72" t="str">
        <v>SKU-0069</v>
      </c>
      <c r="R72" t="str">
        <v/>
      </c>
      <c r="S72" t="str">
        <v/>
      </c>
      <c r="T72" t="str">
        <v/>
      </c>
    </row>
    <row r="73">
      <c r="A73">
        <v>70</v>
      </c>
      <c r="B73" t="str">
        <v>جبنة لافاش كيري مثلثات 8 قطع</v>
      </c>
      <c r="C73" t="str">
        <v>3073780645010</v>
      </c>
      <c r="D73" t="str">
        <v/>
      </c>
      <c r="E73" t="str">
        <v>قطعة</v>
      </c>
      <c r="F73">
        <v>35</v>
      </c>
      <c r="G73">
        <v>29</v>
      </c>
      <c r="H73">
        <v>0</v>
      </c>
      <c r="I73">
        <v>8</v>
      </c>
      <c r="J73">
        <f>F73-G73</f>
        <v>6</v>
      </c>
      <c r="K73" s="1">
        <f>IF(G73&gt;0, (F73-G73)/G73, 0)</f>
        <v>0.2069</v>
      </c>
      <c r="L73" s="2">
        <f>H73*G73</f>
        <v>0</v>
      </c>
      <c r="M73" s="2">
        <f>H73*F73</f>
        <v>0</v>
      </c>
      <c r="N73" s="2">
        <f>M73-L73</f>
        <v>0</v>
      </c>
      <c r="O73" t="str">
        <f>IF(H73&lt;=0, "نفد من المخزن", IF(H73&lt;=I73, "قارب على النفاد", "متوفر بالمخزن"))</f>
        <v>نفد من المخزن</v>
      </c>
      <c r="P73">
        <v>0</v>
      </c>
      <c r="Q73" t="str">
        <v>SKU-0070</v>
      </c>
      <c r="R73" t="str">
        <v/>
      </c>
      <c r="S73" t="str">
        <v/>
      </c>
      <c r="T73" t="str">
        <v/>
      </c>
    </row>
    <row r="74">
      <c r="A74">
        <v>71</v>
      </c>
      <c r="B74" t="str">
        <v>جبنة لافاش كيري مثلثات 16 قطعة</v>
      </c>
      <c r="C74" t="str">
        <v>3073780645027</v>
      </c>
      <c r="D74" t="str">
        <v/>
      </c>
      <c r="E74" t="str">
        <v>قطعة</v>
      </c>
      <c r="F74">
        <v>68</v>
      </c>
      <c r="G74">
        <v>56</v>
      </c>
      <c r="H74">
        <v>0</v>
      </c>
      <c r="I74">
        <v>6</v>
      </c>
      <c r="J74">
        <f>F74-G74</f>
        <v>12</v>
      </c>
      <c r="K74" s="1">
        <f>IF(G74&gt;0, (F74-G74)/G74, 0)</f>
        <v>0.2143</v>
      </c>
      <c r="L74" s="2">
        <f>H74*G74</f>
        <v>0</v>
      </c>
      <c r="M74" s="2">
        <f>H74*F74</f>
        <v>0</v>
      </c>
      <c r="N74" s="2">
        <f>M74-L74</f>
        <v>0</v>
      </c>
      <c r="O74" t="str">
        <f>IF(H74&lt;=0, "نفد من المخزن", IF(H74&lt;=I74, "قارب على النفاد", "متوفر بالمخزن"))</f>
        <v>نفد من المخزن</v>
      </c>
      <c r="P74">
        <v>0</v>
      </c>
      <c r="Q74" t="str">
        <v>SKU-0071</v>
      </c>
      <c r="R74" t="str">
        <v/>
      </c>
      <c r="S74" t="str">
        <v/>
      </c>
      <c r="T74" t="str">
        <v/>
      </c>
    </row>
    <row r="75">
      <c r="A75">
        <v>72</v>
      </c>
      <c r="B75" t="str">
        <v>جبنة لافاش كيري مثلثات 24 قطعة</v>
      </c>
      <c r="C75" t="str">
        <v>3073780645034</v>
      </c>
      <c r="D75" t="str">
        <v/>
      </c>
      <c r="E75" t="str">
        <v>قطعة</v>
      </c>
      <c r="F75">
        <v>98</v>
      </c>
      <c r="G75">
        <v>82</v>
      </c>
      <c r="H75">
        <v>0</v>
      </c>
      <c r="I75">
        <v>4</v>
      </c>
      <c r="J75">
        <f>F75-G75</f>
        <v>16</v>
      </c>
      <c r="K75" s="1">
        <f>IF(G75&gt;0, (F75-G75)/G75, 0)</f>
        <v>0.1951</v>
      </c>
      <c r="L75" s="2">
        <f>H75*G75</f>
        <v>0</v>
      </c>
      <c r="M75" s="2">
        <f>H75*F75</f>
        <v>0</v>
      </c>
      <c r="N75" s="2">
        <f>M75-L75</f>
        <v>0</v>
      </c>
      <c r="O75" t="str">
        <f>IF(H75&lt;=0, "نفد من المخزن", IF(H75&lt;=I75, "قارب على النفاد", "متوفر بالمخزن"))</f>
        <v>نفد من المخزن</v>
      </c>
      <c r="P75">
        <v>0</v>
      </c>
      <c r="Q75" t="str">
        <v>SKU-0072</v>
      </c>
      <c r="R75" t="str">
        <v/>
      </c>
      <c r="S75" t="str">
        <v/>
      </c>
      <c r="T75" t="str">
        <v/>
      </c>
    </row>
    <row r="76">
      <c r="A76">
        <v>73</v>
      </c>
      <c r="B76" t="str">
        <v>جبنة طعمة مثلثات 8 قطع</v>
      </c>
      <c r="C76" t="str">
        <v>6223000812013</v>
      </c>
      <c r="D76" t="str">
        <v/>
      </c>
      <c r="E76" t="str">
        <v>قطعة</v>
      </c>
      <c r="F76">
        <v>20</v>
      </c>
      <c r="G76">
        <v>15.5</v>
      </c>
      <c r="H76">
        <v>0</v>
      </c>
      <c r="I76">
        <v>10</v>
      </c>
      <c r="J76">
        <f>F76-G76</f>
        <v>4.5</v>
      </c>
      <c r="K76" s="1">
        <f>IF(G76&gt;0, (F76-G76)/G76, 0)</f>
        <v>0.2903</v>
      </c>
      <c r="L76" s="2">
        <f>H76*G76</f>
        <v>0</v>
      </c>
      <c r="M76" s="2">
        <f>H76*F76</f>
        <v>0</v>
      </c>
      <c r="N76" s="2">
        <f>M76-L76</f>
        <v>0</v>
      </c>
      <c r="O76" t="str">
        <f>IF(H76&lt;=0, "نفد من المخزن", IF(H76&lt;=I76, "قارب على النفاد", "متوفر بالمخزن"))</f>
        <v>نفد من المخزن</v>
      </c>
      <c r="P76">
        <v>0</v>
      </c>
      <c r="Q76" t="str">
        <v>SKU-0073</v>
      </c>
      <c r="R76" t="str">
        <v/>
      </c>
      <c r="S76" t="str">
        <v/>
      </c>
      <c r="T76" t="str">
        <v/>
      </c>
    </row>
    <row r="77">
      <c r="A77">
        <v>74</v>
      </c>
      <c r="B77" t="str">
        <v>جبنة طعمة مثلثات 16 قطعة</v>
      </c>
      <c r="C77" t="str">
        <v>6223000812020</v>
      </c>
      <c r="D77" t="str">
        <v/>
      </c>
      <c r="E77" t="str">
        <v>قطعة</v>
      </c>
      <c r="F77">
        <v>38</v>
      </c>
      <c r="G77">
        <v>30</v>
      </c>
      <c r="H77">
        <v>0</v>
      </c>
      <c r="I77">
        <v>8</v>
      </c>
      <c r="J77">
        <f>F77-G77</f>
        <v>8</v>
      </c>
      <c r="K77" s="1">
        <f>IF(G77&gt;0, (F77-G77)/G77, 0)</f>
        <v>0.2667</v>
      </c>
      <c r="L77" s="2">
        <f>H77*G77</f>
        <v>0</v>
      </c>
      <c r="M77" s="2">
        <f>H77*F77</f>
        <v>0</v>
      </c>
      <c r="N77" s="2">
        <f>M77-L77</f>
        <v>0</v>
      </c>
      <c r="O77" t="str">
        <f>IF(H77&lt;=0, "نفد من المخزن", IF(H77&lt;=I77, "قارب على النفاد", "متوفر بالمخزن"))</f>
        <v>نفد من المخزن</v>
      </c>
      <c r="P77">
        <v>0</v>
      </c>
      <c r="Q77" t="str">
        <v>SKU-0074</v>
      </c>
      <c r="R77" t="str">
        <v/>
      </c>
      <c r="S77" t="str">
        <v/>
      </c>
      <c r="T77" t="str">
        <v/>
      </c>
    </row>
    <row r="78">
      <c r="A78">
        <v>75</v>
      </c>
      <c r="B78" t="str">
        <v>جبنة بريزيدون مثلثات 8 قطع</v>
      </c>
      <c r="C78" t="str">
        <v>3228021170014</v>
      </c>
      <c r="D78" t="str">
        <v/>
      </c>
      <c r="E78" t="str">
        <v>قطعة</v>
      </c>
      <c r="F78">
        <v>45</v>
      </c>
      <c r="G78">
        <v>37</v>
      </c>
      <c r="H78">
        <v>0</v>
      </c>
      <c r="I78">
        <v>6</v>
      </c>
      <c r="J78">
        <f>F78-G78</f>
        <v>8</v>
      </c>
      <c r="K78" s="1">
        <f>IF(G78&gt;0, (F78-G78)/G78, 0)</f>
        <v>0.2162</v>
      </c>
      <c r="L78" s="2">
        <f>H78*G78</f>
        <v>0</v>
      </c>
      <c r="M78" s="2">
        <f>H78*F78</f>
        <v>0</v>
      </c>
      <c r="N78" s="2">
        <f>M78-L78</f>
        <v>0</v>
      </c>
      <c r="O78" t="str">
        <f>IF(H78&lt;=0, "نفد من المخزن", IF(H78&lt;=I78, "قارب على النفاد", "متوفر بالمخزن"))</f>
        <v>نفد من المخزن</v>
      </c>
      <c r="P78">
        <v>0</v>
      </c>
      <c r="Q78" t="str">
        <v>SKU-0075</v>
      </c>
      <c r="R78" t="str">
        <v/>
      </c>
      <c r="S78" t="str">
        <v/>
      </c>
      <c r="T78" t="str">
        <v/>
      </c>
    </row>
    <row r="79">
      <c r="A79">
        <v>76</v>
      </c>
      <c r="B79" t="str">
        <v>جبنة بريزيدون مثلثات 16 قطعة</v>
      </c>
      <c r="C79" t="str">
        <v>3228021170021</v>
      </c>
      <c r="D79" t="str">
        <v/>
      </c>
      <c r="E79" t="str">
        <v>قطعة</v>
      </c>
      <c r="F79">
        <v>85</v>
      </c>
      <c r="G79">
        <v>70</v>
      </c>
      <c r="H79">
        <v>0</v>
      </c>
      <c r="I79">
        <v>5</v>
      </c>
      <c r="J79">
        <f>F79-G79</f>
        <v>15</v>
      </c>
      <c r="K79" s="1">
        <f>IF(G79&gt;0, (F79-G79)/G79, 0)</f>
        <v>0.2143</v>
      </c>
      <c r="L79" s="2">
        <f>H79*G79</f>
        <v>0</v>
      </c>
      <c r="M79" s="2">
        <f>H79*F79</f>
        <v>0</v>
      </c>
      <c r="N79" s="2">
        <f>M79-L79</f>
        <v>0</v>
      </c>
      <c r="O79" t="str">
        <f>IF(H79&lt;=0, "نفد من المخزن", IF(H79&lt;=I79, "قارب على النفاد", "متوفر بالمخزن"))</f>
        <v>نفد من المخزن</v>
      </c>
      <c r="P79">
        <v>0</v>
      </c>
      <c r="Q79" t="str">
        <v>SKU-0076</v>
      </c>
      <c r="R79" t="str">
        <v/>
      </c>
      <c r="S79" t="str">
        <v/>
      </c>
      <c r="T79" t="str">
        <v/>
      </c>
    </row>
    <row r="80">
      <c r="A80">
        <v>77</v>
      </c>
      <c r="B80" t="str">
        <v>جبنة بريزيدون سبريد كوباية شيدر 240 جم</v>
      </c>
      <c r="C80" t="str">
        <v>3228021170113</v>
      </c>
      <c r="D80" t="str">
        <v/>
      </c>
      <c r="E80" t="str">
        <v>قطعة</v>
      </c>
      <c r="F80">
        <v>75</v>
      </c>
      <c r="G80">
        <v>61</v>
      </c>
      <c r="H80">
        <v>0</v>
      </c>
      <c r="I80">
        <v>4</v>
      </c>
      <c r="J80">
        <f>F80-G80</f>
        <v>14</v>
      </c>
      <c r="K80" s="1">
        <f>IF(G80&gt;0, (F80-G80)/G80, 0)</f>
        <v>0.2295</v>
      </c>
      <c r="L80" s="2">
        <f>H80*G80</f>
        <v>0</v>
      </c>
      <c r="M80" s="2">
        <f>H80*F80</f>
        <v>0</v>
      </c>
      <c r="N80" s="2">
        <f>M80-L80</f>
        <v>0</v>
      </c>
      <c r="O80" t="str">
        <f>IF(H80&lt;=0, "نفد من المخزن", IF(H80&lt;=I80, "قارب على النفاد", "متوفر بالمخزن"))</f>
        <v>نفد من المخزن</v>
      </c>
      <c r="P80">
        <v>0</v>
      </c>
      <c r="Q80" t="str">
        <v>SKU-0077</v>
      </c>
      <c r="R80" t="str">
        <v/>
      </c>
      <c r="S80" t="str">
        <v/>
      </c>
      <c r="T80" t="str">
        <v/>
      </c>
    </row>
    <row r="81">
      <c r="A81">
        <v>78</v>
      </c>
      <c r="B81" t="str">
        <v>جبنة بريزيدون سبريد كوباية فيتا 240 جم</v>
      </c>
      <c r="C81" t="str">
        <v>3228021170120</v>
      </c>
      <c r="D81" t="str">
        <v/>
      </c>
      <c r="E81" t="str">
        <v>قطعة</v>
      </c>
      <c r="F81">
        <v>75</v>
      </c>
      <c r="G81">
        <v>61</v>
      </c>
      <c r="H81">
        <v>0</v>
      </c>
      <c r="I81">
        <v>4</v>
      </c>
      <c r="J81">
        <f>F81-G81</f>
        <v>14</v>
      </c>
      <c r="K81" s="1">
        <f>IF(G81&gt;0, (F81-G81)/G81, 0)</f>
        <v>0.2295</v>
      </c>
      <c r="L81" s="2">
        <f>H81*G81</f>
        <v>0</v>
      </c>
      <c r="M81" s="2">
        <f>H81*F81</f>
        <v>0</v>
      </c>
      <c r="N81" s="2">
        <f>M81-L81</f>
        <v>0</v>
      </c>
      <c r="O81" t="str">
        <f>IF(H81&lt;=0, "نفد من المخزن", IF(H81&lt;=I81, "قارب على النفاد", "متوفر بالمخزن"))</f>
        <v>نفد من المخزن</v>
      </c>
      <c r="P81">
        <v>0</v>
      </c>
      <c r="Q81" t="str">
        <v>SKU-0078</v>
      </c>
      <c r="R81" t="str">
        <v/>
      </c>
      <c r="S81" t="str">
        <v/>
      </c>
      <c r="T81" t="str">
        <v/>
      </c>
    </row>
    <row r="82">
      <c r="A82">
        <v>79</v>
      </c>
      <c r="B82" t="str">
        <v>جبنة كيري سبريد جرة 200 جم</v>
      </c>
      <c r="C82" t="str">
        <v>3073780965316</v>
      </c>
      <c r="D82" t="str">
        <v/>
      </c>
      <c r="E82" t="str">
        <v>قطعة</v>
      </c>
      <c r="F82">
        <v>85</v>
      </c>
      <c r="G82">
        <v>70</v>
      </c>
      <c r="H82">
        <v>0</v>
      </c>
      <c r="I82">
        <v>4</v>
      </c>
      <c r="J82">
        <f>F82-G82</f>
        <v>15</v>
      </c>
      <c r="K82" s="1">
        <f>IF(G82&gt;0, (F82-G82)/G82, 0)</f>
        <v>0.2143</v>
      </c>
      <c r="L82" s="2">
        <f>H82*G82</f>
        <v>0</v>
      </c>
      <c r="M82" s="2">
        <f>H82*F82</f>
        <v>0</v>
      </c>
      <c r="N82" s="2">
        <f>M82-L82</f>
        <v>0</v>
      </c>
      <c r="O82" t="str">
        <f>IF(H82&lt;=0, "نفد من المخزن", IF(H82&lt;=I82, "قارب على النفاد", "متوفر بالمخزن"))</f>
        <v>نفد من المخزن</v>
      </c>
      <c r="P82">
        <v>0</v>
      </c>
      <c r="Q82" t="str">
        <v>SKU-0079</v>
      </c>
      <c r="R82" t="str">
        <v/>
      </c>
      <c r="S82" t="str">
        <v/>
      </c>
      <c r="T82" t="str">
        <v/>
      </c>
    </row>
    <row r="83">
      <c r="A83">
        <v>80</v>
      </c>
      <c r="B83" t="str">
        <v>جبنة رومي قديمة فاخرة كجم</v>
      </c>
      <c r="C83" t="str">
        <v>6223001234043</v>
      </c>
      <c r="D83" t="str">
        <v/>
      </c>
      <c r="E83" t="str">
        <v>كجم</v>
      </c>
      <c r="F83">
        <v>340</v>
      </c>
      <c r="G83">
        <v>280</v>
      </c>
      <c r="H83">
        <v>0</v>
      </c>
      <c r="I83">
        <v>5</v>
      </c>
      <c r="J83">
        <f>F83-G83</f>
        <v>60</v>
      </c>
      <c r="K83" s="1">
        <f>IF(G83&gt;0, (F83-G83)/G83, 0)</f>
        <v>0.2143</v>
      </c>
      <c r="L83" s="2">
        <f>H83*G83</f>
        <v>0</v>
      </c>
      <c r="M83" s="2">
        <f>H83*F83</f>
        <v>0</v>
      </c>
      <c r="N83" s="2">
        <f>M83-L83</f>
        <v>0</v>
      </c>
      <c r="O83" t="str">
        <f>IF(H83&lt;=0, "نفد من المخزن", IF(H83&lt;=I83, "قارب على النفاد", "متوفر بالمخزن"))</f>
        <v>نفد من المخزن</v>
      </c>
      <c r="P83">
        <v>0</v>
      </c>
      <c r="Q83" t="str">
        <v>SKU-0080</v>
      </c>
      <c r="R83" t="str">
        <v/>
      </c>
      <c r="S83" t="str">
        <v/>
      </c>
      <c r="T83" t="str">
        <v/>
      </c>
    </row>
    <row r="84">
      <c r="A84">
        <v>81</v>
      </c>
      <c r="B84" t="str">
        <v>جبنة رومي وسط كجم</v>
      </c>
      <c r="C84" t="str">
        <v>6223001234050</v>
      </c>
      <c r="D84" t="str">
        <v/>
      </c>
      <c r="E84" t="str">
        <v>كجم</v>
      </c>
      <c r="F84">
        <v>300</v>
      </c>
      <c r="G84">
        <v>250</v>
      </c>
      <c r="H84">
        <v>0</v>
      </c>
      <c r="I84">
        <v>5</v>
      </c>
      <c r="J84">
        <f>F84-G84</f>
        <v>50</v>
      </c>
      <c r="K84" s="1">
        <f>IF(G84&gt;0, (F84-G84)/G84, 0)</f>
        <v>0.2</v>
      </c>
      <c r="L84" s="2">
        <f>H84*G84</f>
        <v>0</v>
      </c>
      <c r="M84" s="2">
        <f>H84*F84</f>
        <v>0</v>
      </c>
      <c r="N84" s="2">
        <f>M84-L84</f>
        <v>0</v>
      </c>
      <c r="O84" t="str">
        <f>IF(H84&lt;=0, "نفد من المخزن", IF(H84&lt;=I84, "قارب على النفاد", "متوفر بالمخزن"))</f>
        <v>نفد من المخزن</v>
      </c>
      <c r="P84">
        <v>0</v>
      </c>
      <c r="Q84" t="str">
        <v>SKU-0081</v>
      </c>
      <c r="R84" t="str">
        <v/>
      </c>
      <c r="S84" t="str">
        <v/>
      </c>
      <c r="T84" t="str">
        <v/>
      </c>
    </row>
    <row r="85">
      <c r="A85">
        <v>82</v>
      </c>
      <c r="B85" t="str">
        <v>جبنة شيدر مستوردة كجم</v>
      </c>
      <c r="C85" t="str">
        <v>6223001234074</v>
      </c>
      <c r="D85" t="str">
        <v/>
      </c>
      <c r="E85" t="str">
        <v>كجم</v>
      </c>
      <c r="F85">
        <v>320</v>
      </c>
      <c r="G85">
        <v>260</v>
      </c>
      <c r="H85">
        <v>0</v>
      </c>
      <c r="I85">
        <v>3</v>
      </c>
      <c r="J85">
        <f>F85-G85</f>
        <v>60</v>
      </c>
      <c r="K85" s="1">
        <f>IF(G85&gt;0, (F85-G85)/G85, 0)</f>
        <v>0.2308</v>
      </c>
      <c r="L85" s="2">
        <f>H85*G85</f>
        <v>0</v>
      </c>
      <c r="M85" s="2">
        <f>H85*F85</f>
        <v>0</v>
      </c>
      <c r="N85" s="2">
        <f>M85-L85</f>
        <v>0</v>
      </c>
      <c r="O85" t="str">
        <f>IF(H85&lt;=0, "نفد من المخزن", IF(H85&lt;=I85, "قارب على النفاد", "متوفر بالمخزن"))</f>
        <v>نفد من المخزن</v>
      </c>
      <c r="P85">
        <v>0</v>
      </c>
      <c r="Q85" t="str">
        <v>SKU-0082</v>
      </c>
      <c r="R85" t="str">
        <v/>
      </c>
      <c r="S85" t="str">
        <v/>
      </c>
      <c r="T85" t="str">
        <v/>
      </c>
    </row>
    <row r="86">
      <c r="A86">
        <v>83</v>
      </c>
      <c r="B86" t="str">
        <v>جبنة فلمنك هولندي كرات كجم</v>
      </c>
      <c r="C86" t="str">
        <v>8710200110018</v>
      </c>
      <c r="D86" t="str">
        <v/>
      </c>
      <c r="E86" t="str">
        <v>كجم</v>
      </c>
      <c r="F86">
        <v>380</v>
      </c>
      <c r="G86">
        <v>310</v>
      </c>
      <c r="H86">
        <v>0</v>
      </c>
      <c r="I86">
        <v>2</v>
      </c>
      <c r="J86">
        <f>F86-G86</f>
        <v>70</v>
      </c>
      <c r="K86" s="1">
        <f>IF(G86&gt;0, (F86-G86)/G86, 0)</f>
        <v>0.2258</v>
      </c>
      <c r="L86" s="2">
        <f>H86*G86</f>
        <v>0</v>
      </c>
      <c r="M86" s="2">
        <f>H86*F86</f>
        <v>0</v>
      </c>
      <c r="N86" s="2">
        <f>M86-L86</f>
        <v>0</v>
      </c>
      <c r="O86" t="str">
        <f>IF(H86&lt;=0, "نفد من المخزن", IF(H86&lt;=I86, "قارب على النفاد", "متوفر بالمخزن"))</f>
        <v>نفد من المخزن</v>
      </c>
      <c r="P86">
        <v>0</v>
      </c>
      <c r="Q86" t="str">
        <v>SKU-0083</v>
      </c>
      <c r="R86" t="str">
        <v/>
      </c>
      <c r="S86" t="str">
        <v/>
      </c>
      <c r="T86" t="str">
        <v/>
      </c>
    </row>
    <row r="87">
      <c r="A87">
        <v>84</v>
      </c>
      <c r="B87" t="str">
        <v>جبنة جودة هولندي كجم</v>
      </c>
      <c r="C87" t="str">
        <v>8710200110025</v>
      </c>
      <c r="D87" t="str">
        <v/>
      </c>
      <c r="E87" t="str">
        <v>كجم</v>
      </c>
      <c r="F87">
        <v>360</v>
      </c>
      <c r="G87">
        <v>295</v>
      </c>
      <c r="H87">
        <v>0</v>
      </c>
      <c r="I87">
        <v>2</v>
      </c>
      <c r="J87">
        <f>F87-G87</f>
        <v>65</v>
      </c>
      <c r="K87" s="1">
        <f>IF(G87&gt;0, (F87-G87)/G87, 0)</f>
        <v>0.2203</v>
      </c>
      <c r="L87" s="2">
        <f>H87*G87</f>
        <v>0</v>
      </c>
      <c r="M87" s="2">
        <f>H87*F87</f>
        <v>0</v>
      </c>
      <c r="N87" s="2">
        <f>M87-L87</f>
        <v>0</v>
      </c>
      <c r="O87" t="str">
        <f>IF(H87&lt;=0, "نفد من المخزن", IF(H87&lt;=I87, "قارب على النفاد", "متوفر بالمخزن"))</f>
        <v>نفد من المخزن</v>
      </c>
      <c r="P87">
        <v>0</v>
      </c>
      <c r="Q87" t="str">
        <v>SKU-0084</v>
      </c>
      <c r="R87" t="str">
        <v/>
      </c>
      <c r="S87" t="str">
        <v/>
      </c>
      <c r="T87" t="str">
        <v/>
      </c>
    </row>
    <row r="88">
      <c r="A88">
        <v>85</v>
      </c>
      <c r="B88" t="str">
        <v>جبنة قريش فلاحي كجم</v>
      </c>
      <c r="C88" t="str">
        <v>6223001234081</v>
      </c>
      <c r="D88" t="str">
        <v/>
      </c>
      <c r="E88" t="str">
        <v>كجم</v>
      </c>
      <c r="F88">
        <v>85</v>
      </c>
      <c r="G88">
        <v>70</v>
      </c>
      <c r="H88">
        <v>0</v>
      </c>
      <c r="I88">
        <v>5</v>
      </c>
      <c r="J88">
        <f>F88-G88</f>
        <v>15</v>
      </c>
      <c r="K88" s="1">
        <f>IF(G88&gt;0, (F88-G88)/G88, 0)</f>
        <v>0.2143</v>
      </c>
      <c r="L88" s="2">
        <f>H88*G88</f>
        <v>0</v>
      </c>
      <c r="M88" s="2">
        <f>H88*F88</f>
        <v>0</v>
      </c>
      <c r="N88" s="2">
        <f>M88-L88</f>
        <v>0</v>
      </c>
      <c r="O88" t="str">
        <f>IF(H88&lt;=0, "نفد من المخزن", IF(H88&lt;=I88, "قارب على النفاد", "متوفر بالمخزن"))</f>
        <v>نفد من المخزن</v>
      </c>
      <c r="P88">
        <v>0</v>
      </c>
      <c r="Q88" t="str">
        <v>SKU-0085</v>
      </c>
      <c r="R88" t="str">
        <v/>
      </c>
      <c r="S88" t="str">
        <v/>
      </c>
      <c r="T88" t="str">
        <v/>
      </c>
    </row>
    <row r="89">
      <c r="A89">
        <v>86</v>
      </c>
      <c r="B89" t="str">
        <v>جبنة براميلي فلفل كجم</v>
      </c>
      <c r="C89" t="str">
        <v>6223001234098</v>
      </c>
      <c r="D89" t="str">
        <v/>
      </c>
      <c r="E89" t="str">
        <v>كجم</v>
      </c>
      <c r="F89">
        <v>180</v>
      </c>
      <c r="G89">
        <v>150</v>
      </c>
      <c r="H89">
        <v>0</v>
      </c>
      <c r="I89">
        <v>5</v>
      </c>
      <c r="J89">
        <f>F89-G89</f>
        <v>30</v>
      </c>
      <c r="K89" s="1">
        <f>IF(G89&gt;0, (F89-G89)/G89, 0)</f>
        <v>0.2</v>
      </c>
      <c r="L89" s="2">
        <f>H89*G89</f>
        <v>0</v>
      </c>
      <c r="M89" s="2">
        <f>H89*F89</f>
        <v>0</v>
      </c>
      <c r="N89" s="2">
        <f>M89-L89</f>
        <v>0</v>
      </c>
      <c r="O89" t="str">
        <f>IF(H89&lt;=0, "نفد من المخزن", IF(H89&lt;=I89, "قارب على النفاد", "متوفر بالمخزن"))</f>
        <v>نفد من المخزن</v>
      </c>
      <c r="P89">
        <v>0</v>
      </c>
      <c r="Q89" t="str">
        <v>SKU-0086</v>
      </c>
      <c r="R89" t="str">
        <v/>
      </c>
      <c r="S89" t="str">
        <v/>
      </c>
      <c r="T89" t="str">
        <v/>
      </c>
    </row>
    <row r="90">
      <c r="A90">
        <v>87</v>
      </c>
      <c r="B90" t="str">
        <v>جبنة إسطنبولي بالقرون كجم</v>
      </c>
      <c r="C90" t="str">
        <v>6223001234104</v>
      </c>
      <c r="D90" t="str">
        <v/>
      </c>
      <c r="E90" t="str">
        <v>كجم</v>
      </c>
      <c r="F90">
        <v>175</v>
      </c>
      <c r="G90">
        <v>145</v>
      </c>
      <c r="H90">
        <v>0</v>
      </c>
      <c r="I90">
        <v>5</v>
      </c>
      <c r="J90">
        <f>F90-G90</f>
        <v>30</v>
      </c>
      <c r="K90" s="1">
        <f>IF(G90&gt;0, (F90-G90)/G90, 0)</f>
        <v>0.2069</v>
      </c>
      <c r="L90" s="2">
        <f>H90*G90</f>
        <v>0</v>
      </c>
      <c r="M90" s="2">
        <f>H90*F90</f>
        <v>0</v>
      </c>
      <c r="N90" s="2">
        <f>M90-L90</f>
        <v>0</v>
      </c>
      <c r="O90" t="str">
        <f>IF(H90&lt;=0, "نفد من المخزن", IF(H90&lt;=I90, "قارب على النفاد", "متوفر بالمخزن"))</f>
        <v>نفد من المخزن</v>
      </c>
      <c r="P90">
        <v>0</v>
      </c>
      <c r="Q90" t="str">
        <v>SKU-0087</v>
      </c>
      <c r="R90" t="str">
        <v/>
      </c>
      <c r="S90" t="str">
        <v/>
      </c>
      <c r="T90" t="str">
        <v/>
      </c>
    </row>
    <row r="91">
      <c r="A91">
        <v>88</v>
      </c>
      <c r="B91" t="str">
        <v>جبنة موتزاريلا مبشورة دومتي 300 جم</v>
      </c>
      <c r="C91" t="str">
        <v>6223000758014</v>
      </c>
      <c r="D91" t="str">
        <v/>
      </c>
      <c r="E91" t="str">
        <v>قطعة</v>
      </c>
      <c r="F91">
        <v>65</v>
      </c>
      <c r="G91">
        <v>52</v>
      </c>
      <c r="H91">
        <v>0</v>
      </c>
      <c r="I91">
        <v>5</v>
      </c>
      <c r="J91">
        <f>F91-G91</f>
        <v>13</v>
      </c>
      <c r="K91" s="1">
        <f>IF(G91&gt;0, (F91-G91)/G91, 0)</f>
        <v>0.25</v>
      </c>
      <c r="L91" s="2">
        <f>H91*G91</f>
        <v>0</v>
      </c>
      <c r="M91" s="2">
        <f>H91*F91</f>
        <v>0</v>
      </c>
      <c r="N91" s="2">
        <f>M91-L91</f>
        <v>0</v>
      </c>
      <c r="O91" t="str">
        <f>IF(H91&lt;=0, "نفد من المخزن", IF(H91&lt;=I91, "قارب على النفاد", "متوفر بالمخزن"))</f>
        <v>نفد من المخزن</v>
      </c>
      <c r="P91">
        <v>0</v>
      </c>
      <c r="Q91" t="str">
        <v>SKU-0088</v>
      </c>
      <c r="R91" t="str">
        <v/>
      </c>
      <c r="S91" t="str">
        <v/>
      </c>
      <c r="T91" t="str">
        <v/>
      </c>
    </row>
    <row r="92">
      <c r="A92">
        <v>89</v>
      </c>
      <c r="B92" t="str">
        <v>جبنة موتزاريلا مبشورة الحمد 350 جم</v>
      </c>
      <c r="C92" t="str">
        <v>6224002201010</v>
      </c>
      <c r="D92" t="str">
        <v/>
      </c>
      <c r="E92" t="str">
        <v>قطعة</v>
      </c>
      <c r="F92">
        <v>70</v>
      </c>
      <c r="G92">
        <v>56</v>
      </c>
      <c r="H92">
        <v>0</v>
      </c>
      <c r="I92">
        <v>5</v>
      </c>
      <c r="J92">
        <f>F92-G92</f>
        <v>14</v>
      </c>
      <c r="K92" s="1">
        <f>IF(G92&gt;0, (F92-G92)/G92, 0)</f>
        <v>0.25</v>
      </c>
      <c r="L92" s="2">
        <f>H92*G92</f>
        <v>0</v>
      </c>
      <c r="M92" s="2">
        <f>H92*F92</f>
        <v>0</v>
      </c>
      <c r="N92" s="2">
        <f>M92-L92</f>
        <v>0</v>
      </c>
      <c r="O92" t="str">
        <f>IF(H92&lt;=0, "نفد من المخزن", IF(H92&lt;=I92, "قارب على النفاد", "متوفر بالمخزن"))</f>
        <v>نفد من المخزن</v>
      </c>
      <c r="P92">
        <v>0</v>
      </c>
      <c r="Q92" t="str">
        <v>SKU-0089</v>
      </c>
      <c r="R92" t="str">
        <v/>
      </c>
      <c r="S92" t="str">
        <v/>
      </c>
      <c r="T92" t="str">
        <v/>
      </c>
    </row>
    <row r="93">
      <c r="A93">
        <v>90</v>
      </c>
      <c r="B93" t="str">
        <v>جبنة موتزاريلا مبشورة الأصدقاء 1 كجم</v>
      </c>
      <c r="C93" t="str">
        <v>6224002201027</v>
      </c>
      <c r="D93" t="str">
        <v/>
      </c>
      <c r="E93" t="str">
        <v>قطعة</v>
      </c>
      <c r="F93">
        <v>180</v>
      </c>
      <c r="G93">
        <v>148</v>
      </c>
      <c r="H93">
        <v>0</v>
      </c>
      <c r="I93">
        <v>3</v>
      </c>
      <c r="J93">
        <f>F93-G93</f>
        <v>32</v>
      </c>
      <c r="K93" s="1">
        <f>IF(G93&gt;0, (F93-G93)/G93, 0)</f>
        <v>0.2162</v>
      </c>
      <c r="L93" s="2">
        <f>H93*G93</f>
        <v>0</v>
      </c>
      <c r="M93" s="2">
        <f>H93*F93</f>
        <v>0</v>
      </c>
      <c r="N93" s="2">
        <f>M93-L93</f>
        <v>0</v>
      </c>
      <c r="O93" t="str">
        <f>IF(H93&lt;=0, "نفد من المخزن", IF(H93&lt;=I93, "قارب على النفاد", "متوفر بالمخزن"))</f>
        <v>نفد من المخزن</v>
      </c>
      <c r="P93">
        <v>0</v>
      </c>
      <c r="Q93" t="str">
        <v>SKU-0090</v>
      </c>
      <c r="R93" t="str">
        <v/>
      </c>
      <c r="S93" t="str">
        <v/>
      </c>
      <c r="T93" t="str">
        <v/>
      </c>
    </row>
    <row r="94">
      <c r="A94">
        <v>91</v>
      </c>
      <c r="B94" t="str">
        <v>أصابع جبنة شيدر طعمة شرائح ساندوتش 200 جم</v>
      </c>
      <c r="C94" t="str">
        <v>6223000813010</v>
      </c>
      <c r="D94" t="str">
        <v/>
      </c>
      <c r="E94" t="str">
        <v>قطعة</v>
      </c>
      <c r="F94">
        <v>50</v>
      </c>
      <c r="G94">
        <v>40</v>
      </c>
      <c r="H94">
        <v>0</v>
      </c>
      <c r="I94">
        <v>4</v>
      </c>
      <c r="J94">
        <f>F94-G94</f>
        <v>10</v>
      </c>
      <c r="K94" s="1">
        <f>IF(G94&gt;0, (F94-G94)/G94, 0)</f>
        <v>0.25</v>
      </c>
      <c r="L94" s="2">
        <f>H94*G94</f>
        <v>0</v>
      </c>
      <c r="M94" s="2">
        <f>H94*F94</f>
        <v>0</v>
      </c>
      <c r="N94" s="2">
        <f>M94-L94</f>
        <v>0</v>
      </c>
      <c r="O94" t="str">
        <f>IF(H94&lt;=0, "نفد من المخزن", IF(H94&lt;=I94, "قارب على النفاد", "متوفر بالمخزن"))</f>
        <v>نفد من المخزن</v>
      </c>
      <c r="P94">
        <v>0</v>
      </c>
      <c r="Q94" t="str">
        <v>SKU-0091</v>
      </c>
      <c r="R94" t="str">
        <v/>
      </c>
      <c r="S94" t="str">
        <v/>
      </c>
      <c r="T94" t="str">
        <v/>
      </c>
    </row>
    <row r="95">
      <c r="A95">
        <v>92</v>
      </c>
      <c r="B95" t="str">
        <v>زبدة فيرن خليط 1 كجم</v>
      </c>
      <c r="C95" t="str">
        <v>6221102200998</v>
      </c>
      <c r="D95" t="str">
        <v/>
      </c>
      <c r="E95" t="str">
        <v>قطعة</v>
      </c>
      <c r="F95">
        <v>135</v>
      </c>
      <c r="G95">
        <v>115</v>
      </c>
      <c r="H95">
        <v>0</v>
      </c>
      <c r="I95">
        <v>4</v>
      </c>
      <c r="J95">
        <f>F95-G95</f>
        <v>20</v>
      </c>
      <c r="K95" s="1">
        <f>IF(G95&gt;0, (F95-G95)/G95, 0)</f>
        <v>0.1739</v>
      </c>
      <c r="L95" s="2">
        <f>H95*G95</f>
        <v>0</v>
      </c>
      <c r="M95" s="2">
        <f>H95*F95</f>
        <v>0</v>
      </c>
      <c r="N95" s="2">
        <f>M95-L95</f>
        <v>0</v>
      </c>
      <c r="O95" t="str">
        <f>IF(H95&lt;=0, "نفد من المخزن", IF(H95&lt;=I95, "قارب على النفاد", "متوفر بالمخزن"))</f>
        <v>نفد من المخزن</v>
      </c>
      <c r="P95">
        <v>0</v>
      </c>
      <c r="Q95" t="str">
        <v>SKU-0092</v>
      </c>
      <c r="R95" t="str">
        <v/>
      </c>
      <c r="S95" t="str">
        <v/>
      </c>
      <c r="T95" t="str">
        <v/>
      </c>
    </row>
    <row r="96">
      <c r="A96">
        <v>93</v>
      </c>
      <c r="B96" t="str">
        <v>زبدة لورباك غير مملحة 100 جم</v>
      </c>
      <c r="C96" t="str">
        <v>5701479010015</v>
      </c>
      <c r="D96" t="str">
        <v/>
      </c>
      <c r="E96" t="str">
        <v>قطعة</v>
      </c>
      <c r="F96">
        <v>75</v>
      </c>
      <c r="G96">
        <v>62</v>
      </c>
      <c r="H96">
        <v>0</v>
      </c>
      <c r="I96">
        <v>4</v>
      </c>
      <c r="J96">
        <f>F96-G96</f>
        <v>13</v>
      </c>
      <c r="K96" s="1">
        <f>IF(G96&gt;0, (F96-G96)/G96, 0)</f>
        <v>0.2097</v>
      </c>
      <c r="L96" s="2">
        <f>H96*G96</f>
        <v>0</v>
      </c>
      <c r="M96" s="2">
        <f>H96*F96</f>
        <v>0</v>
      </c>
      <c r="N96" s="2">
        <f>M96-L96</f>
        <v>0</v>
      </c>
      <c r="O96" t="str">
        <f>IF(H96&lt;=0, "نفد من المخزن", IF(H96&lt;=I96, "قارب على النفاد", "متوفر بالمخزن"))</f>
        <v>نفد من المخزن</v>
      </c>
      <c r="P96">
        <v>0</v>
      </c>
      <c r="Q96" t="str">
        <v>SKU-0093</v>
      </c>
      <c r="R96" t="str">
        <v/>
      </c>
      <c r="S96" t="str">
        <v/>
      </c>
      <c r="T96" t="str">
        <v/>
      </c>
    </row>
    <row r="97">
      <c r="A97">
        <v>94</v>
      </c>
      <c r="B97" t="str">
        <v>زبدة لورباك غير مملحة 200 جم</v>
      </c>
      <c r="C97" t="str">
        <v>5701479010022</v>
      </c>
      <c r="D97" t="str">
        <v/>
      </c>
      <c r="E97" t="str">
        <v>قطعة</v>
      </c>
      <c r="F97">
        <v>145</v>
      </c>
      <c r="G97">
        <v>120</v>
      </c>
      <c r="H97">
        <v>0</v>
      </c>
      <c r="I97">
        <v>3</v>
      </c>
      <c r="J97">
        <f>F97-G97</f>
        <v>25</v>
      </c>
      <c r="K97" s="1">
        <f>IF(G97&gt;0, (F97-G97)/G97, 0)</f>
        <v>0.2083</v>
      </c>
      <c r="L97" s="2">
        <f>H97*G97</f>
        <v>0</v>
      </c>
      <c r="M97" s="2">
        <f>H97*F97</f>
        <v>0</v>
      </c>
      <c r="N97" s="2">
        <f>M97-L97</f>
        <v>0</v>
      </c>
      <c r="O97" t="str">
        <f>IF(H97&lt;=0, "نفد من المخزن", IF(H97&lt;=I97, "قارب على النفاد", "متوفر بالمخزن"))</f>
        <v>نفد من المخزن</v>
      </c>
      <c r="P97">
        <v>0</v>
      </c>
      <c r="Q97" t="str">
        <v>SKU-0094</v>
      </c>
      <c r="R97" t="str">
        <v/>
      </c>
      <c r="S97" t="str">
        <v/>
      </c>
      <c r="T97" t="str">
        <v/>
      </c>
    </row>
    <row r="98">
      <c r="A98">
        <v>95</v>
      </c>
      <c r="B98" t="str">
        <v>سمن بلدي طبيعي شيراتون 800 جم</v>
      </c>
      <c r="C98" t="str">
        <v>6221045001010</v>
      </c>
      <c r="D98" t="str">
        <v/>
      </c>
      <c r="E98" t="str">
        <v>قطعة</v>
      </c>
      <c r="F98">
        <v>320</v>
      </c>
      <c r="G98">
        <v>275</v>
      </c>
      <c r="H98">
        <v>0</v>
      </c>
      <c r="I98">
        <v>3</v>
      </c>
      <c r="J98">
        <f>F98-G98</f>
        <v>45</v>
      </c>
      <c r="K98" s="1">
        <f>IF(G98&gt;0, (F98-G98)/G98, 0)</f>
        <v>0.1636</v>
      </c>
      <c r="L98" s="2">
        <f>H98*G98</f>
        <v>0</v>
      </c>
      <c r="M98" s="2">
        <f>H98*F98</f>
        <v>0</v>
      </c>
      <c r="N98" s="2">
        <f>M98-L98</f>
        <v>0</v>
      </c>
      <c r="O98" t="str">
        <f>IF(H98&lt;=0, "نفد من المخزن", IF(H98&lt;=I98, "قارب على النفاد", "متوفر بالمخزن"))</f>
        <v>نفد من المخزن</v>
      </c>
      <c r="P98">
        <v>0</v>
      </c>
      <c r="Q98" t="str">
        <v>SKU-0095</v>
      </c>
      <c r="R98" t="str">
        <v/>
      </c>
      <c r="S98" t="str">
        <v/>
      </c>
      <c r="T98" t="str">
        <v/>
      </c>
    </row>
    <row r="99">
      <c r="A99">
        <v>96</v>
      </c>
      <c r="B99" t="str">
        <v>طبق بيض أحمر مزارع 30 بيضة</v>
      </c>
      <c r="C99" t="str">
        <v>6221103300116</v>
      </c>
      <c r="D99" t="str">
        <v/>
      </c>
      <c r="E99" t="str">
        <v>قطعة</v>
      </c>
      <c r="F99">
        <v>175</v>
      </c>
      <c r="G99">
        <v>155</v>
      </c>
      <c r="H99">
        <v>0</v>
      </c>
      <c r="I99">
        <v>5</v>
      </c>
      <c r="J99">
        <f>F99-G99</f>
        <v>20</v>
      </c>
      <c r="K99" s="1">
        <f>IF(G99&gt;0, (F99-G99)/G99, 0)</f>
        <v>0.129</v>
      </c>
      <c r="L99" s="2">
        <f>H99*G99</f>
        <v>0</v>
      </c>
      <c r="M99" s="2">
        <f>H99*F99</f>
        <v>0</v>
      </c>
      <c r="N99" s="2">
        <f>M99-L99</f>
        <v>0</v>
      </c>
      <c r="O99" t="str">
        <f>IF(H99&lt;=0, "نفد من المخزن", IF(H99&lt;=I99, "قارب على النفاد", "متوفر بالمخزن"))</f>
        <v>نفد من المخزن</v>
      </c>
      <c r="P99">
        <v>0</v>
      </c>
      <c r="Q99" t="str">
        <v>SKU-0096</v>
      </c>
      <c r="R99" t="str">
        <v/>
      </c>
      <c r="S99" t="str">
        <v/>
      </c>
      <c r="T99" t="str">
        <v/>
      </c>
    </row>
    <row r="100">
      <c r="A100">
        <v>97</v>
      </c>
      <c r="B100" t="str">
        <v>طبق بيض أبيض مزارع 30 بيضة</v>
      </c>
      <c r="C100" t="str">
        <v>6221103300123</v>
      </c>
      <c r="D100" t="str">
        <v/>
      </c>
      <c r="E100" t="str">
        <v>قطعة</v>
      </c>
      <c r="F100">
        <v>170</v>
      </c>
      <c r="G100">
        <v>150</v>
      </c>
      <c r="H100">
        <v>0</v>
      </c>
      <c r="I100">
        <v>5</v>
      </c>
      <c r="J100">
        <f>F100-G100</f>
        <v>20</v>
      </c>
      <c r="K100" s="1">
        <f>IF(G100&gt;0, (F100-G100)/G100, 0)</f>
        <v>0.1333</v>
      </c>
      <c r="L100" s="2">
        <f>H100*G100</f>
        <v>0</v>
      </c>
      <c r="M100" s="2">
        <f>H100*F100</f>
        <v>0</v>
      </c>
      <c r="N100" s="2">
        <f>M100-L100</f>
        <v>0</v>
      </c>
      <c r="O100" t="str">
        <f>IF(H100&lt;=0, "نفد من المخزن", IF(H100&lt;=I100, "قارب على النفاد", "متوفر بالمخزن"))</f>
        <v>نفد من المخزن</v>
      </c>
      <c r="P100">
        <v>0</v>
      </c>
      <c r="Q100" t="str">
        <v>SKU-0097</v>
      </c>
      <c r="R100" t="str">
        <v/>
      </c>
      <c r="S100" t="str">
        <v/>
      </c>
      <c r="T100" t="str">
        <v/>
      </c>
    </row>
    <row r="101">
      <c r="A101">
        <v>98</v>
      </c>
      <c r="B101" t="str">
        <v>طبق بيض بلدي 30 بيضة</v>
      </c>
      <c r="C101" t="str">
        <v>6221103300130</v>
      </c>
      <c r="D101" t="str">
        <v/>
      </c>
      <c r="E101" t="str">
        <v>قطعة</v>
      </c>
      <c r="F101">
        <v>190</v>
      </c>
      <c r="G101">
        <v>165</v>
      </c>
      <c r="H101">
        <v>0</v>
      </c>
      <c r="I101">
        <v>3</v>
      </c>
      <c r="J101">
        <f>F101-G101</f>
        <v>25</v>
      </c>
      <c r="K101" s="1">
        <f>IF(G101&gt;0, (F101-G101)/G101, 0)</f>
        <v>0.1515</v>
      </c>
      <c r="L101" s="2">
        <f>H101*G101</f>
        <v>0</v>
      </c>
      <c r="M101" s="2">
        <f>H101*F101</f>
        <v>0</v>
      </c>
      <c r="N101" s="2">
        <f>M101-L101</f>
        <v>0</v>
      </c>
      <c r="O101" t="str">
        <f>IF(H101&lt;=0, "نفد من المخزن", IF(H101&lt;=I101, "قارب على النفاد", "متوفر بالمخزن"))</f>
        <v>نفد من المخزن</v>
      </c>
      <c r="P101">
        <v>0</v>
      </c>
      <c r="Q101" t="str">
        <v>SKU-0098</v>
      </c>
      <c r="R101" t="str">
        <v/>
      </c>
      <c r="S101" t="str">
        <v/>
      </c>
      <c r="T101" t="str">
        <v/>
      </c>
    </row>
    <row r="102">
      <c r="A102">
        <v>99</v>
      </c>
      <c r="B102" t="str">
        <v>طبق بيض أحمر 10 بيضات</v>
      </c>
      <c r="C102" t="str">
        <v>6221103300147</v>
      </c>
      <c r="D102" t="str">
        <v/>
      </c>
      <c r="E102" t="str">
        <v>قطعة</v>
      </c>
      <c r="F102">
        <v>65</v>
      </c>
      <c r="G102">
        <v>56</v>
      </c>
      <c r="H102">
        <v>0</v>
      </c>
      <c r="I102">
        <v>5</v>
      </c>
      <c r="J102">
        <f>F102-G102</f>
        <v>9</v>
      </c>
      <c r="K102" s="1">
        <f>IF(G102&gt;0, (F102-G102)/G102, 0)</f>
        <v>0.1607</v>
      </c>
      <c r="L102" s="2">
        <f>H102*G102</f>
        <v>0</v>
      </c>
      <c r="M102" s="2">
        <f>H102*F102</f>
        <v>0</v>
      </c>
      <c r="N102" s="2">
        <f>M102-L102</f>
        <v>0</v>
      </c>
      <c r="O102" t="str">
        <f>IF(H102&lt;=0, "نفد من المخزن", IF(H102&lt;=I102, "قارب على النفاد", "متوفر بالمخزن"))</f>
        <v>نفد من المخزن</v>
      </c>
      <c r="P102">
        <v>0</v>
      </c>
      <c r="Q102" t="str">
        <v>SKU-0099</v>
      </c>
      <c r="R102" t="str">
        <v/>
      </c>
      <c r="S102" t="str">
        <v/>
      </c>
      <c r="T102" t="str">
        <v/>
      </c>
    </row>
    <row r="103">
      <c r="A103">
        <v>100</v>
      </c>
      <c r="B103" t="str">
        <v>طبق بيض أبيض 10 بيضات</v>
      </c>
      <c r="C103" t="str">
        <v>6221103300154</v>
      </c>
      <c r="D103" t="str">
        <v/>
      </c>
      <c r="E103" t="str">
        <v>قطعة</v>
      </c>
      <c r="F103">
        <v>62</v>
      </c>
      <c r="G103">
        <v>54</v>
      </c>
      <c r="H103">
        <v>0</v>
      </c>
      <c r="I103">
        <v>5</v>
      </c>
      <c r="J103">
        <f>F103-G103</f>
        <v>8</v>
      </c>
      <c r="K103" s="1">
        <f>IF(G103&gt;0, (F103-G103)/G103, 0)</f>
        <v>0.1481</v>
      </c>
      <c r="L103" s="2">
        <f>H103*G103</f>
        <v>0</v>
      </c>
      <c r="M103" s="2">
        <f>H103*F103</f>
        <v>0</v>
      </c>
      <c r="N103" s="2">
        <f>M103-L103</f>
        <v>0</v>
      </c>
      <c r="O103" t="str">
        <f>IF(H103&lt;=0, "نفد من المخزن", IF(H103&lt;=I103, "قارب على النفاد", "متوفر بالمخزن"))</f>
        <v>نفد من المخزن</v>
      </c>
      <c r="P103">
        <v>0</v>
      </c>
      <c r="Q103" t="str">
        <v>SKU-0100</v>
      </c>
      <c r="R103" t="str">
        <v/>
      </c>
      <c r="S103" t="str">
        <v/>
      </c>
      <c r="T103" t="str">
        <v/>
      </c>
    </row>
    <row r="104">
      <c r="A104" t="str">
        <v>الإجمالي</v>
      </c>
      <c r="B104" t="str">
        <v>إجمالي 100 صنف مسجل</v>
      </c>
      <c r="C104" t="str">
        <v/>
      </c>
      <c r="D104" t="str">
        <v/>
      </c>
      <c r="E104" t="str">
        <v/>
      </c>
      <c r="F104" s="2">
        <f>AVERAGE(F4:F103)</f>
      </c>
      <c r="G104" s="2">
        <f>AVERAGE(G4:G103)</f>
      </c>
      <c r="H104" s="3">
        <f>SUM(H4:H103)</f>
      </c>
      <c r="I104" t="str">
        <v/>
      </c>
      <c r="J104" s="2">
        <f>AVERAGE(J4:J103)</f>
      </c>
      <c r="K104" s="1">
        <f>IF(L104&gt;0, N104/L104, 0)</f>
      </c>
      <c r="L104" s="2">
        <f>SUM(L4:L103)</f>
      </c>
      <c r="M104" s="2">
        <f>SUM(M4:M103)</f>
      </c>
      <c r="N104" s="2">
        <f>SUM(N4:N103)</f>
      </c>
      <c r="O104" t="str">
        <v>محسوب بمعادلات إكسل</v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</sheetData>
  <mergeCells count="2">
    <mergeCell ref="A1:T1"/>
    <mergeCell ref="A2:T2"/>
  </mergeCells>
  <ignoredErrors>
    <ignoredError numberStoredAsText="1" sqref="A1:T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77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[معلبات وبقوليات]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شاي العروسة ناعم 250 جم</v>
      </c>
      <c r="C4" t="str">
        <v>6223002561018</v>
      </c>
      <c r="D4" t="str">
        <v/>
      </c>
      <c r="E4" t="str">
        <v>قطعة</v>
      </c>
      <c r="F4">
        <v>60</v>
      </c>
      <c r="G4">
        <v>52</v>
      </c>
      <c r="H4">
        <v>0</v>
      </c>
      <c r="I4">
        <v>8</v>
      </c>
      <c r="J4">
        <f>F4-G4</f>
        <v>8</v>
      </c>
      <c r="K4" s="1">
        <f>IF(G4&gt;0, (F4-G4)/G4, 0)</f>
        <v>0.1538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SKU-0101</v>
      </c>
      <c r="R4" t="str">
        <v/>
      </c>
      <c r="S4" t="str">
        <v/>
      </c>
      <c r="T4" t="str">
        <v/>
      </c>
    </row>
    <row r="5">
      <c r="A5">
        <v>2</v>
      </c>
      <c r="B5" t="str">
        <v>شاي العروسة ناعم 100 جم</v>
      </c>
      <c r="C5" t="str">
        <v>6223002561025</v>
      </c>
      <c r="D5" t="str">
        <v/>
      </c>
      <c r="E5" t="str">
        <v>قطعة</v>
      </c>
      <c r="F5">
        <v>26</v>
      </c>
      <c r="G5">
        <v>22</v>
      </c>
      <c r="H5">
        <v>0</v>
      </c>
      <c r="I5">
        <v>10</v>
      </c>
      <c r="J5">
        <f>F5-G5</f>
        <v>4</v>
      </c>
      <c r="K5" s="1">
        <f>IF(G5&gt;0, (F5-G5)/G5, 0)</f>
        <v>0.1818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SKU-0102</v>
      </c>
      <c r="R5" t="str">
        <v/>
      </c>
      <c r="S5" t="str">
        <v/>
      </c>
      <c r="T5" t="str">
        <v/>
      </c>
    </row>
    <row r="6">
      <c r="A6">
        <v>3</v>
      </c>
      <c r="B6" t="str">
        <v>شاي العروسة 40 جم</v>
      </c>
      <c r="C6" t="str">
        <v>6223002561032</v>
      </c>
      <c r="D6" t="str">
        <v/>
      </c>
      <c r="E6" t="str">
        <v>قطعة</v>
      </c>
      <c r="F6">
        <v>12</v>
      </c>
      <c r="G6">
        <v>9.5</v>
      </c>
      <c r="H6">
        <v>0</v>
      </c>
      <c r="I6">
        <v>15</v>
      </c>
      <c r="J6">
        <f>F6-G6</f>
        <v>2.5</v>
      </c>
      <c r="K6" s="1">
        <f>IF(G6&gt;0, (F6-G6)/G6, 0)</f>
        <v>0.2632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SKU-0103</v>
      </c>
      <c r="R6" t="str">
        <v/>
      </c>
      <c r="S6" t="str">
        <v/>
      </c>
      <c r="T6" t="str">
        <v/>
      </c>
    </row>
    <row r="7">
      <c r="A7">
        <v>4</v>
      </c>
      <c r="B7" t="str">
        <v>شاي العروسة 100 فتلة باكت</v>
      </c>
      <c r="C7" t="str">
        <v>6223002561049</v>
      </c>
      <c r="D7" t="str">
        <v/>
      </c>
      <c r="E7" t="str">
        <v>قطعة</v>
      </c>
      <c r="F7">
        <v>80</v>
      </c>
      <c r="G7">
        <v>68</v>
      </c>
      <c r="H7">
        <v>0</v>
      </c>
      <c r="I7">
        <v>8</v>
      </c>
      <c r="J7">
        <f>F7-G7</f>
        <v>12</v>
      </c>
      <c r="K7" s="1">
        <f>IF(G7&gt;0, (F7-G7)/G7, 0)</f>
        <v>0.1765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SKU-0104</v>
      </c>
      <c r="R7" t="str">
        <v/>
      </c>
      <c r="S7" t="str">
        <v/>
      </c>
      <c r="T7" t="str">
        <v/>
      </c>
    </row>
    <row r="8">
      <c r="A8">
        <v>5</v>
      </c>
      <c r="B8" t="str">
        <v>شاي ليبتون أحمر ناعم 250 جم</v>
      </c>
      <c r="C8" t="str">
        <v>6221155010018</v>
      </c>
      <c r="D8" t="str">
        <v/>
      </c>
      <c r="E8" t="str">
        <v>قطعة</v>
      </c>
      <c r="F8">
        <v>75</v>
      </c>
      <c r="G8">
        <v>64</v>
      </c>
      <c r="H8">
        <v>0</v>
      </c>
      <c r="I8">
        <v>6</v>
      </c>
      <c r="J8">
        <f>F8-G8</f>
        <v>11</v>
      </c>
      <c r="K8" s="1">
        <f>IF(G8&gt;0, (F8-G8)/G8, 0)</f>
        <v>0.1719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SKU-0105</v>
      </c>
      <c r="R8" t="str">
        <v/>
      </c>
      <c r="S8" t="str">
        <v/>
      </c>
      <c r="T8" t="str">
        <v/>
      </c>
    </row>
    <row r="9">
      <c r="A9">
        <v>6</v>
      </c>
      <c r="B9" t="str">
        <v>شاي ليبتون أحمر ناعم 100 جم</v>
      </c>
      <c r="C9" t="str">
        <v>6221155010032</v>
      </c>
      <c r="D9" t="str">
        <v/>
      </c>
      <c r="E9" t="str">
        <v>قطعة</v>
      </c>
      <c r="F9">
        <v>32</v>
      </c>
      <c r="G9">
        <v>27</v>
      </c>
      <c r="H9">
        <v>0</v>
      </c>
      <c r="I9">
        <v>8</v>
      </c>
      <c r="J9">
        <f>F9-G9</f>
        <v>5</v>
      </c>
      <c r="K9" s="1">
        <f>IF(G9&gt;0, (F9-G9)/G9, 0)</f>
        <v>0.1852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SKU-0106</v>
      </c>
      <c r="R9" t="str">
        <v/>
      </c>
      <c r="S9" t="str">
        <v/>
      </c>
      <c r="T9" t="str">
        <v/>
      </c>
    </row>
    <row r="10">
      <c r="A10">
        <v>7</v>
      </c>
      <c r="B10" t="str">
        <v>شاي ليبتون أحمر ناعم 40 جم</v>
      </c>
      <c r="C10" t="str">
        <v>6221155010049</v>
      </c>
      <c r="D10" t="str">
        <v/>
      </c>
      <c r="E10" t="str">
        <v>قطعة</v>
      </c>
      <c r="F10">
        <v>15</v>
      </c>
      <c r="G10">
        <v>12</v>
      </c>
      <c r="H10">
        <v>0</v>
      </c>
      <c r="I10">
        <v>10</v>
      </c>
      <c r="J10">
        <f>F10-G10</f>
        <v>3</v>
      </c>
      <c r="K10" s="1">
        <f>IF(G10&gt;0, (F10-G10)/G10, 0)</f>
        <v>0.25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SKU-0107</v>
      </c>
      <c r="R10" t="str">
        <v/>
      </c>
      <c r="S10" t="str">
        <v/>
      </c>
      <c r="T10" t="str">
        <v/>
      </c>
    </row>
    <row r="11">
      <c r="A11">
        <v>8</v>
      </c>
      <c r="B11" t="str">
        <v>شاي ليبتون أحمر 100 فتلة</v>
      </c>
      <c r="C11" t="str">
        <v>6221155010025</v>
      </c>
      <c r="D11" t="str">
        <v/>
      </c>
      <c r="E11" t="str">
        <v>قطعة</v>
      </c>
      <c r="F11">
        <v>90</v>
      </c>
      <c r="G11">
        <v>77</v>
      </c>
      <c r="H11">
        <v>0</v>
      </c>
      <c r="I11">
        <v>5</v>
      </c>
      <c r="J11">
        <f>F11-G11</f>
        <v>13</v>
      </c>
      <c r="K11" s="1">
        <f>IF(G11&gt;0, (F11-G11)/G11, 0)</f>
        <v>0.1688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SKU-0108</v>
      </c>
      <c r="R11" t="str">
        <v/>
      </c>
      <c r="S11" t="str">
        <v/>
      </c>
      <c r="T11" t="str">
        <v/>
      </c>
    </row>
    <row r="12">
      <c r="A12">
        <v>9</v>
      </c>
      <c r="B12" t="str">
        <v>شاي ليبتون أحمر 25 فتلة</v>
      </c>
      <c r="C12" t="str">
        <v>6221155010056</v>
      </c>
      <c r="D12" t="str">
        <v/>
      </c>
      <c r="E12" t="str">
        <v>قطعة</v>
      </c>
      <c r="F12">
        <v>28</v>
      </c>
      <c r="G12">
        <v>23.5</v>
      </c>
      <c r="H12">
        <v>0</v>
      </c>
      <c r="I12">
        <v>8</v>
      </c>
      <c r="J12">
        <f>F12-G12</f>
        <v>4.5</v>
      </c>
      <c r="K12" s="1">
        <f>IF(G12&gt;0, (F12-G12)/G12, 0)</f>
        <v>0.1915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SKU-0109</v>
      </c>
      <c r="R12" t="str">
        <v/>
      </c>
      <c r="S12" t="str">
        <v/>
      </c>
      <c r="T12" t="str">
        <v/>
      </c>
    </row>
    <row r="13">
      <c r="A13">
        <v>10</v>
      </c>
      <c r="B13" t="str">
        <v>شاي ليبتون أخضر 25 فتلة</v>
      </c>
      <c r="C13" t="str">
        <v>6221155010063</v>
      </c>
      <c r="D13" t="str">
        <v/>
      </c>
      <c r="E13" t="str">
        <v>قطعة</v>
      </c>
      <c r="F13">
        <v>32</v>
      </c>
      <c r="G13">
        <v>26.5</v>
      </c>
      <c r="H13">
        <v>0</v>
      </c>
      <c r="I13">
        <v>6</v>
      </c>
      <c r="J13">
        <f>F13-G13</f>
        <v>5.5</v>
      </c>
      <c r="K13" s="1">
        <f>IF(G13&gt;0, (F13-G13)/G13, 0)</f>
        <v>0.2075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SKU-0110</v>
      </c>
      <c r="R13" t="str">
        <v/>
      </c>
      <c r="S13" t="str">
        <v/>
      </c>
      <c r="T13" t="str">
        <v/>
      </c>
    </row>
    <row r="14">
      <c r="A14">
        <v>11</v>
      </c>
      <c r="B14" t="str">
        <v>شاي أحمد تي إنجليزي فطور 100 فتلة</v>
      </c>
      <c r="C14" t="str">
        <v>054881001016</v>
      </c>
      <c r="D14" t="str">
        <v/>
      </c>
      <c r="E14" t="str">
        <v>قطعة</v>
      </c>
      <c r="F14">
        <v>140</v>
      </c>
      <c r="G14">
        <v>118</v>
      </c>
      <c r="H14">
        <v>0</v>
      </c>
      <c r="I14">
        <v>4</v>
      </c>
      <c r="J14">
        <f>F14-G14</f>
        <v>22</v>
      </c>
      <c r="K14" s="1">
        <f>IF(G14&gt;0, (F14-G14)/G14, 0)</f>
        <v>0.1864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SKU-0111</v>
      </c>
      <c r="R14" t="str">
        <v/>
      </c>
      <c r="S14" t="str">
        <v/>
      </c>
      <c r="T14" t="str">
        <v/>
      </c>
    </row>
    <row r="15">
      <c r="A15">
        <v>12</v>
      </c>
      <c r="B15" t="str">
        <v>شاي أحمد تي إيرل جراي 25 فتلة</v>
      </c>
      <c r="C15" t="str">
        <v>054881001023</v>
      </c>
      <c r="D15" t="str">
        <v/>
      </c>
      <c r="E15" t="str">
        <v>قطعة</v>
      </c>
      <c r="F15">
        <v>45</v>
      </c>
      <c r="G15">
        <v>37</v>
      </c>
      <c r="H15">
        <v>0</v>
      </c>
      <c r="I15">
        <v>5</v>
      </c>
      <c r="J15">
        <f>F15-G15</f>
        <v>8</v>
      </c>
      <c r="K15" s="1">
        <f>IF(G15&gt;0, (F15-G15)/G15, 0)</f>
        <v>0.2162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SKU-0112</v>
      </c>
      <c r="R15" t="str">
        <v/>
      </c>
      <c r="S15" t="str">
        <v/>
      </c>
      <c r="T15" t="str">
        <v/>
      </c>
    </row>
    <row r="16">
      <c r="A16">
        <v>13</v>
      </c>
      <c r="B16" t="str">
        <v>نسكافيه كلاسيك برطمان 100 جم</v>
      </c>
      <c r="C16" t="str">
        <v>7613035849105</v>
      </c>
      <c r="D16" t="str">
        <v/>
      </c>
      <c r="E16" t="str">
        <v>قطعة</v>
      </c>
      <c r="F16">
        <v>140</v>
      </c>
      <c r="G16">
        <v>118</v>
      </c>
      <c r="H16">
        <v>0</v>
      </c>
      <c r="I16">
        <v>4</v>
      </c>
      <c r="J16">
        <f>F16-G16</f>
        <v>22</v>
      </c>
      <c r="K16" s="1">
        <f>IF(G16&gt;0, (F16-G16)/G16, 0)</f>
        <v>0.1864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SKU-0113</v>
      </c>
      <c r="R16" t="str">
        <v/>
      </c>
      <c r="S16" t="str">
        <v/>
      </c>
      <c r="T16" t="str">
        <v/>
      </c>
    </row>
    <row r="17">
      <c r="A17">
        <v>14</v>
      </c>
      <c r="B17" t="str">
        <v>نسكافيه كلاسيك برطمان 50 جم</v>
      </c>
      <c r="C17" t="str">
        <v>7613035849112</v>
      </c>
      <c r="D17" t="str">
        <v/>
      </c>
      <c r="E17" t="str">
        <v>قطعة</v>
      </c>
      <c r="F17">
        <v>75</v>
      </c>
      <c r="G17">
        <v>63</v>
      </c>
      <c r="H17">
        <v>0</v>
      </c>
      <c r="I17">
        <v>6</v>
      </c>
      <c r="J17">
        <f>F17-G17</f>
        <v>12</v>
      </c>
      <c r="K17" s="1">
        <f>IF(G17&gt;0, (F17-G17)/G17, 0)</f>
        <v>0.1905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SKU-0114</v>
      </c>
      <c r="R17" t="str">
        <v/>
      </c>
      <c r="S17" t="str">
        <v/>
      </c>
      <c r="T17" t="str">
        <v/>
      </c>
    </row>
    <row r="18">
      <c r="A18">
        <v>15</v>
      </c>
      <c r="B18" t="str">
        <v>نسكافيه كلاسيك برطمان 200 جم</v>
      </c>
      <c r="C18" t="str">
        <v>7613035849129</v>
      </c>
      <c r="D18" t="str">
        <v/>
      </c>
      <c r="E18" t="str">
        <v>قطعة</v>
      </c>
      <c r="F18">
        <v>260</v>
      </c>
      <c r="G18">
        <v>220</v>
      </c>
      <c r="H18">
        <v>0</v>
      </c>
      <c r="I18">
        <v>3</v>
      </c>
      <c r="J18">
        <f>F18-G18</f>
        <v>40</v>
      </c>
      <c r="K18" s="1">
        <f>IF(G18&gt;0, (F18-G18)/G18, 0)</f>
        <v>0.1818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SKU-0115</v>
      </c>
      <c r="R18" t="str">
        <v/>
      </c>
      <c r="S18" t="str">
        <v/>
      </c>
      <c r="T18" t="str">
        <v/>
      </c>
    </row>
    <row r="19">
      <c r="A19">
        <v>16</v>
      </c>
      <c r="B19" t="str">
        <v>نسكافيه جولد برطمان 95 جم</v>
      </c>
      <c r="C19" t="str">
        <v>7613035849303</v>
      </c>
      <c r="D19" t="str">
        <v/>
      </c>
      <c r="E19" t="str">
        <v>قطعة</v>
      </c>
      <c r="F19">
        <v>190</v>
      </c>
      <c r="G19">
        <v>160</v>
      </c>
      <c r="H19">
        <v>0</v>
      </c>
      <c r="I19">
        <v>3</v>
      </c>
      <c r="J19">
        <f>F19-G19</f>
        <v>30</v>
      </c>
      <c r="K19" s="1">
        <f>IF(G19&gt;0, (F19-G19)/G19, 0)</f>
        <v>0.1875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SKU-0116</v>
      </c>
      <c r="R19" t="str">
        <v/>
      </c>
      <c r="S19" t="str">
        <v/>
      </c>
      <c r="T19" t="str">
        <v/>
      </c>
    </row>
    <row r="20">
      <c r="A20">
        <v>17</v>
      </c>
      <c r="B20" t="str">
        <v>نسكافيه 3 في 1 كيس 18 جم</v>
      </c>
      <c r="C20" t="str">
        <v>7613035849204</v>
      </c>
      <c r="D20" t="str">
        <v/>
      </c>
      <c r="E20" t="str">
        <v>قطعة</v>
      </c>
      <c r="F20">
        <v>8</v>
      </c>
      <c r="G20">
        <v>6.2</v>
      </c>
      <c r="H20">
        <v>0</v>
      </c>
      <c r="I20">
        <v>20</v>
      </c>
      <c r="J20">
        <f>F20-G20</f>
        <v>1.8</v>
      </c>
      <c r="K20" s="1">
        <f>IF(G20&gt;0, (F20-G20)/G20, 0)</f>
        <v>0.2903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SKU-0117</v>
      </c>
      <c r="R20" t="str">
        <v/>
      </c>
      <c r="S20" t="str">
        <v/>
      </c>
      <c r="T20" t="str">
        <v/>
      </c>
    </row>
    <row r="21">
      <c r="A21">
        <v>18</v>
      </c>
      <c r="B21" t="str">
        <v>كوفي ميكس علي كافيه كيس</v>
      </c>
      <c r="C21" t="str">
        <v>6224005544206</v>
      </c>
      <c r="D21" t="str">
        <v/>
      </c>
      <c r="E21" t="str">
        <v>قطعة</v>
      </c>
      <c r="F21">
        <v>7</v>
      </c>
      <c r="G21">
        <v>5.4</v>
      </c>
      <c r="H21">
        <v>0</v>
      </c>
      <c r="I21">
        <v>20</v>
      </c>
      <c r="J21">
        <f>F21-G21</f>
        <v>1.6</v>
      </c>
      <c r="K21" s="1">
        <f>IF(G21&gt;0, (F21-G21)/G21, 0)</f>
        <v>0.2963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SKU-0118</v>
      </c>
      <c r="R21" t="str">
        <v/>
      </c>
      <c r="S21" t="str">
        <v/>
      </c>
      <c r="T21" t="str">
        <v/>
      </c>
    </row>
    <row r="22">
      <c r="A22">
        <v>19</v>
      </c>
      <c r="B22" t="str">
        <v>بن العميد محوج وسط 200 جم</v>
      </c>
      <c r="C22" t="str">
        <v>6251001001019</v>
      </c>
      <c r="D22" t="str">
        <v/>
      </c>
      <c r="E22" t="str">
        <v>قطعة</v>
      </c>
      <c r="F22">
        <v>150</v>
      </c>
      <c r="G22">
        <v>128</v>
      </c>
      <c r="H22">
        <v>0</v>
      </c>
      <c r="I22">
        <v>3</v>
      </c>
      <c r="J22">
        <f>F22-G22</f>
        <v>22</v>
      </c>
      <c r="K22" s="1">
        <f>IF(G22&gt;0, (F22-G22)/G22, 0)</f>
        <v>0.1719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SKU-0119</v>
      </c>
      <c r="R22" t="str">
        <v/>
      </c>
      <c r="S22" t="str">
        <v/>
      </c>
      <c r="T22" t="str">
        <v/>
      </c>
    </row>
    <row r="23">
      <c r="A23">
        <v>20</v>
      </c>
      <c r="B23" t="str">
        <v>بن عبد المعبود محوج فاتح 100 جم</v>
      </c>
      <c r="C23" t="str">
        <v>6223001101017</v>
      </c>
      <c r="D23" t="str">
        <v/>
      </c>
      <c r="E23" t="str">
        <v>قطعة</v>
      </c>
      <c r="F23">
        <v>50</v>
      </c>
      <c r="G23">
        <v>41</v>
      </c>
      <c r="H23">
        <v>0</v>
      </c>
      <c r="I23">
        <v>5</v>
      </c>
      <c r="J23">
        <f>F23-G23</f>
        <v>9</v>
      </c>
      <c r="K23" s="1">
        <f>IF(G23&gt;0, (F23-G23)/G23, 0)</f>
        <v>0.2195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SKU-0120</v>
      </c>
      <c r="R23" t="str">
        <v/>
      </c>
      <c r="S23" t="str">
        <v/>
      </c>
      <c r="T23" t="str">
        <v/>
      </c>
    </row>
    <row r="24">
      <c r="A24">
        <v>21</v>
      </c>
      <c r="B24" t="str">
        <v>بن عبد المعبود سادة فاتح 100 جم</v>
      </c>
      <c r="C24" t="str">
        <v>6223001101024</v>
      </c>
      <c r="D24" t="str">
        <v/>
      </c>
      <c r="E24" t="str">
        <v>قطعة</v>
      </c>
      <c r="F24">
        <v>42</v>
      </c>
      <c r="G24">
        <v>34.5</v>
      </c>
      <c r="H24">
        <v>0</v>
      </c>
      <c r="I24">
        <v>5</v>
      </c>
      <c r="J24">
        <f>F24-G24</f>
        <v>7.5</v>
      </c>
      <c r="K24" s="1">
        <f>IF(G24&gt;0, (F24-G24)/G24, 0)</f>
        <v>0.2174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SKU-0121</v>
      </c>
      <c r="R24" t="str">
        <v/>
      </c>
      <c r="S24" t="str">
        <v/>
      </c>
      <c r="T24" t="str">
        <v/>
      </c>
    </row>
    <row r="25">
      <c r="A25">
        <v>22</v>
      </c>
      <c r="B25" t="str">
        <v>بن عبد المعبود محوج وسط 200 جم</v>
      </c>
      <c r="C25" t="str">
        <v>6223001101031</v>
      </c>
      <c r="D25" t="str">
        <v/>
      </c>
      <c r="E25" t="str">
        <v>قطعة</v>
      </c>
      <c r="F25">
        <v>98</v>
      </c>
      <c r="G25">
        <v>81</v>
      </c>
      <c r="H25">
        <v>0</v>
      </c>
      <c r="I25">
        <v>4</v>
      </c>
      <c r="J25">
        <f>F25-G25</f>
        <v>17</v>
      </c>
      <c r="K25" s="1">
        <f>IF(G25&gt;0, (F25-G25)/G25, 0)</f>
        <v>0.2099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SKU-0122</v>
      </c>
      <c r="R25" t="str">
        <v/>
      </c>
      <c r="S25" t="str">
        <v/>
      </c>
      <c r="T25" t="str">
        <v/>
      </c>
    </row>
    <row r="26">
      <c r="A26">
        <v>23</v>
      </c>
      <c r="B26" t="str">
        <v>كاكاو دريم محلى سريع التحضير 150 جم</v>
      </c>
      <c r="C26" t="str">
        <v>6221040002012</v>
      </c>
      <c r="D26" t="str">
        <v/>
      </c>
      <c r="E26" t="str">
        <v>قطعة</v>
      </c>
      <c r="F26">
        <v>35</v>
      </c>
      <c r="G26">
        <v>28</v>
      </c>
      <c r="H26">
        <v>0</v>
      </c>
      <c r="I26">
        <v>5</v>
      </c>
      <c r="J26">
        <f>F26-G26</f>
        <v>7</v>
      </c>
      <c r="K26" s="1">
        <f>IF(G26&gt;0, (F26-G26)/G26, 0)</f>
        <v>0.25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SKU-0123</v>
      </c>
      <c r="R26" t="str">
        <v/>
      </c>
      <c r="S26" t="str">
        <v/>
      </c>
      <c r="T26" t="str">
        <v/>
      </c>
    </row>
    <row r="27">
      <c r="A27">
        <v>24</v>
      </c>
      <c r="B27" t="str">
        <v>كاكاو دريم خام غير محلى 100 جم</v>
      </c>
      <c r="C27" t="str">
        <v>6221040002029</v>
      </c>
      <c r="D27" t="str">
        <v/>
      </c>
      <c r="E27" t="str">
        <v>قطعة</v>
      </c>
      <c r="F27">
        <v>45</v>
      </c>
      <c r="G27">
        <v>36</v>
      </c>
      <c r="H27">
        <v>0</v>
      </c>
      <c r="I27">
        <v>4</v>
      </c>
      <c r="J27">
        <f>F27-G27</f>
        <v>9</v>
      </c>
      <c r="K27" s="1">
        <f>IF(G27&gt;0, (F27-G27)/G27, 0)</f>
        <v>0.25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SKU-0124</v>
      </c>
      <c r="R27" t="str">
        <v/>
      </c>
      <c r="S27" t="str">
        <v/>
      </c>
      <c r="T27" t="str">
        <v/>
      </c>
    </row>
    <row r="28">
      <c r="A28">
        <v>25</v>
      </c>
      <c r="B28" t="str">
        <v>سحلب الضحى بالمكسرات 250 جم</v>
      </c>
      <c r="C28" t="str">
        <v>6223000660201</v>
      </c>
      <c r="D28" t="str">
        <v/>
      </c>
      <c r="E28" t="str">
        <v>قطعة</v>
      </c>
      <c r="F28">
        <v>45</v>
      </c>
      <c r="G28">
        <v>36</v>
      </c>
      <c r="H28">
        <v>0</v>
      </c>
      <c r="I28">
        <v>4</v>
      </c>
      <c r="J28">
        <f>F28-G28</f>
        <v>9</v>
      </c>
      <c r="K28" s="1">
        <f>IF(G28&gt;0, (F28-G28)/G28, 0)</f>
        <v>0.25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SKU-0125</v>
      </c>
      <c r="R28" t="str">
        <v/>
      </c>
      <c r="S28" t="str">
        <v/>
      </c>
      <c r="T28" t="str">
        <v/>
      </c>
    </row>
    <row r="29">
      <c r="A29">
        <v>26</v>
      </c>
      <c r="B29" t="str">
        <v>يانسون إيزيس أعشاب 20 فتلة</v>
      </c>
      <c r="C29" t="str">
        <v>6223001111016</v>
      </c>
      <c r="D29" t="str">
        <v/>
      </c>
      <c r="E29" t="str">
        <v>قطعة</v>
      </c>
      <c r="F29">
        <v>30</v>
      </c>
      <c r="G29">
        <v>24</v>
      </c>
      <c r="H29">
        <v>0</v>
      </c>
      <c r="I29">
        <v>5</v>
      </c>
      <c r="J29">
        <f>F29-G29</f>
        <v>6</v>
      </c>
      <c r="K29" s="1">
        <f>IF(G29&gt;0, (F29-G29)/G29, 0)</f>
        <v>0.25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SKU-0126</v>
      </c>
      <c r="R29" t="str">
        <v/>
      </c>
      <c r="S29" t="str">
        <v/>
      </c>
      <c r="T29" t="str">
        <v/>
      </c>
    </row>
    <row r="30">
      <c r="A30">
        <v>27</v>
      </c>
      <c r="B30" t="str">
        <v>كركديه إيزيس أعشاب 20 فتلة</v>
      </c>
      <c r="C30" t="str">
        <v>6223001111023</v>
      </c>
      <c r="D30" t="str">
        <v/>
      </c>
      <c r="E30" t="str">
        <v>قطعة</v>
      </c>
      <c r="F30">
        <v>30</v>
      </c>
      <c r="G30">
        <v>24</v>
      </c>
      <c r="H30">
        <v>0</v>
      </c>
      <c r="I30">
        <v>5</v>
      </c>
      <c r="J30">
        <f>F30-G30</f>
        <v>6</v>
      </c>
      <c r="K30" s="1">
        <f>IF(G30&gt;0, (F30-G30)/G30, 0)</f>
        <v>0.25</v>
      </c>
      <c r="L30" s="2">
        <f>H30*G30</f>
        <v>0</v>
      </c>
      <c r="M30" s="2">
        <f>H30*F30</f>
        <v>0</v>
      </c>
      <c r="N30" s="2">
        <f>M30-L30</f>
        <v>0</v>
      </c>
      <c r="O30" t="str">
        <f>IF(H30&lt;=0, "نفد من المخزن", IF(H30&lt;=I30, "قارب على النفاد", "متوفر بالمخزن"))</f>
        <v>نفد من المخزن</v>
      </c>
      <c r="P30">
        <v>0</v>
      </c>
      <c r="Q30" t="str">
        <v>SKU-0127</v>
      </c>
      <c r="R30" t="str">
        <v/>
      </c>
      <c r="S30" t="str">
        <v/>
      </c>
      <c r="T30" t="str">
        <v/>
      </c>
    </row>
    <row r="31">
      <c r="A31">
        <v>28</v>
      </c>
      <c r="B31" t="str">
        <v>نعناع إيزيس أعشاب 20 فتلة</v>
      </c>
      <c r="C31" t="str">
        <v>6223001111030</v>
      </c>
      <c r="D31" t="str">
        <v/>
      </c>
      <c r="E31" t="str">
        <v>قطعة</v>
      </c>
      <c r="F31">
        <v>30</v>
      </c>
      <c r="G31">
        <v>24</v>
      </c>
      <c r="H31">
        <v>0</v>
      </c>
      <c r="I31">
        <v>5</v>
      </c>
      <c r="J31">
        <f>F31-G31</f>
        <v>6</v>
      </c>
      <c r="K31" s="1">
        <f>IF(G31&gt;0, (F31-G31)/G31, 0)</f>
        <v>0.25</v>
      </c>
      <c r="L31" s="2">
        <f>H31*G31</f>
        <v>0</v>
      </c>
      <c r="M31" s="2">
        <f>H31*F31</f>
        <v>0</v>
      </c>
      <c r="N31" s="2">
        <f>M31-L31</f>
        <v>0</v>
      </c>
      <c r="O31" t="str">
        <f>IF(H31&lt;=0, "نفد من المخزن", IF(H31&lt;=I31, "قارب على النفاد", "متوفر بالمخزن"))</f>
        <v>نفد من المخزن</v>
      </c>
      <c r="P31">
        <v>0</v>
      </c>
      <c r="Q31" t="str">
        <v>SKU-0128</v>
      </c>
      <c r="R31" t="str">
        <v/>
      </c>
      <c r="S31" t="str">
        <v/>
      </c>
      <c r="T31" t="str">
        <v/>
      </c>
    </row>
    <row r="32">
      <c r="A32">
        <v>29</v>
      </c>
      <c r="B32" t="str">
        <v>زنجبيل بالليمون إيزيس 20 فتلة</v>
      </c>
      <c r="C32" t="str">
        <v>6223001111047</v>
      </c>
      <c r="D32" t="str">
        <v/>
      </c>
      <c r="E32" t="str">
        <v>قطعة</v>
      </c>
      <c r="F32">
        <v>32</v>
      </c>
      <c r="G32">
        <v>25.5</v>
      </c>
      <c r="H32">
        <v>0</v>
      </c>
      <c r="I32">
        <v>5</v>
      </c>
      <c r="J32">
        <f>F32-G32</f>
        <v>6.5</v>
      </c>
      <c r="K32" s="1">
        <f>IF(G32&gt;0, (F32-G32)/G32, 0)</f>
        <v>0.2549</v>
      </c>
      <c r="L32" s="2">
        <f>H32*G32</f>
        <v>0</v>
      </c>
      <c r="M32" s="2">
        <f>H32*F32</f>
        <v>0</v>
      </c>
      <c r="N32" s="2">
        <f>M32-L32</f>
        <v>0</v>
      </c>
      <c r="O32" t="str">
        <f>IF(H32&lt;=0, "نفد من المخزن", IF(H32&lt;=I32, "قارب على النفاد", "متوفر بالمخزن"))</f>
        <v>نفد من المخزن</v>
      </c>
      <c r="P32">
        <v>0</v>
      </c>
      <c r="Q32" t="str">
        <v>SKU-0129</v>
      </c>
      <c r="R32" t="str">
        <v/>
      </c>
      <c r="S32" t="str">
        <v/>
      </c>
      <c r="T32" t="str">
        <v/>
      </c>
    </row>
    <row r="33">
      <c r="A33">
        <v>30</v>
      </c>
      <c r="B33" t="str">
        <v>شاي رويال ريجيم 25 فتلة</v>
      </c>
      <c r="C33" t="str">
        <v>6221050001012</v>
      </c>
      <c r="D33" t="str">
        <v/>
      </c>
      <c r="E33" t="str">
        <v>قطعة</v>
      </c>
      <c r="F33">
        <v>40</v>
      </c>
      <c r="G33">
        <v>32</v>
      </c>
      <c r="H33">
        <v>0</v>
      </c>
      <c r="I33">
        <v>4</v>
      </c>
      <c r="J33">
        <f>F33-G33</f>
        <v>8</v>
      </c>
      <c r="K33" s="1">
        <f>IF(G33&gt;0, (F33-G33)/G33, 0)</f>
        <v>0.25</v>
      </c>
      <c r="L33" s="2">
        <f>H33*G33</f>
        <v>0</v>
      </c>
      <c r="M33" s="2">
        <f>H33*F33</f>
        <v>0</v>
      </c>
      <c r="N33" s="2">
        <f>M33-L33</f>
        <v>0</v>
      </c>
      <c r="O33" t="str">
        <f>IF(H33&lt;=0, "نفد من المخزن", IF(H33&lt;=I33, "قارب على النفاد", "متوفر بالمخزن"))</f>
        <v>نفد من المخزن</v>
      </c>
      <c r="P33">
        <v>0</v>
      </c>
      <c r="Q33" t="str">
        <v>SKU-0130</v>
      </c>
      <c r="R33" t="str">
        <v/>
      </c>
      <c r="S33" t="str">
        <v/>
      </c>
      <c r="T33" t="str">
        <v/>
      </c>
    </row>
    <row r="34">
      <c r="A34">
        <v>31</v>
      </c>
      <c r="B34" t="str">
        <v>سكر حر معبأ الضحى 1 كجم</v>
      </c>
      <c r="C34" t="str">
        <v>6223000660027</v>
      </c>
      <c r="D34" t="str">
        <v/>
      </c>
      <c r="E34" t="str">
        <v>قطعة</v>
      </c>
      <c r="F34">
        <v>38</v>
      </c>
      <c r="G34">
        <v>33</v>
      </c>
      <c r="H34">
        <v>0</v>
      </c>
      <c r="I34">
        <v>15</v>
      </c>
      <c r="J34">
        <f>F34-G34</f>
        <v>5</v>
      </c>
      <c r="K34" s="1">
        <f>IF(G34&gt;0, (F34-G34)/G34, 0)</f>
        <v>0.1515</v>
      </c>
      <c r="L34" s="2">
        <f>H34*G34</f>
        <v>0</v>
      </c>
      <c r="M34" s="2">
        <f>H34*F34</f>
        <v>0</v>
      </c>
      <c r="N34" s="2">
        <f>M34-L34</f>
        <v>0</v>
      </c>
      <c r="O34" t="str">
        <f>IF(H34&lt;=0, "نفد من المخزن", IF(H34&lt;=I34, "قارب على النفاد", "متوفر بالمخزن"))</f>
        <v>نفد من المخزن</v>
      </c>
      <c r="P34">
        <v>0</v>
      </c>
      <c r="Q34" t="str">
        <v>SKU-0131</v>
      </c>
      <c r="R34" t="str">
        <v/>
      </c>
      <c r="S34" t="str">
        <v/>
      </c>
      <c r="T34" t="str">
        <v/>
      </c>
    </row>
    <row r="35">
      <c r="A35">
        <v>32</v>
      </c>
      <c r="B35" t="str">
        <v>سكر حر بلدي معبأ 1 كجم</v>
      </c>
      <c r="C35" t="str">
        <v>6224005544039</v>
      </c>
      <c r="D35" t="str">
        <v/>
      </c>
      <c r="E35" t="str">
        <v>قطعة</v>
      </c>
      <c r="F35">
        <v>35</v>
      </c>
      <c r="G35">
        <v>31</v>
      </c>
      <c r="H35">
        <v>0</v>
      </c>
      <c r="I35">
        <v>20</v>
      </c>
      <c r="J35">
        <f>F35-G35</f>
        <v>4</v>
      </c>
      <c r="K35" s="1">
        <f>IF(G35&gt;0, (F35-G35)/G35, 0)</f>
        <v>0.129</v>
      </c>
      <c r="L35" s="2">
        <f>H35*G35</f>
        <v>0</v>
      </c>
      <c r="M35" s="2">
        <f>H35*F35</f>
        <v>0</v>
      </c>
      <c r="N35" s="2">
        <f>M35-L35</f>
        <v>0</v>
      </c>
      <c r="O35" t="str">
        <f>IF(H35&lt;=0, "نفد من المخزن", IF(H35&lt;=I35, "قارب على النفاد", "متوفر بالمخزن"))</f>
        <v>نفد من المخزن</v>
      </c>
      <c r="P35">
        <v>0</v>
      </c>
      <c r="Q35" t="str">
        <v>SKU-0132</v>
      </c>
      <c r="R35" t="str">
        <v/>
      </c>
      <c r="S35" t="str">
        <v/>
      </c>
      <c r="T35" t="str">
        <v/>
      </c>
    </row>
    <row r="36">
      <c r="A36">
        <v>33</v>
      </c>
      <c r="B36" t="str">
        <v>سكر بودرة الضحى 500 جم</v>
      </c>
      <c r="C36" t="str">
        <v>6223000660218</v>
      </c>
      <c r="D36" t="str">
        <v/>
      </c>
      <c r="E36" t="str">
        <v>قطعة</v>
      </c>
      <c r="F36">
        <v>28</v>
      </c>
      <c r="G36">
        <v>22.5</v>
      </c>
      <c r="H36">
        <v>0</v>
      </c>
      <c r="I36">
        <v>8</v>
      </c>
      <c r="J36">
        <f>F36-G36</f>
        <v>5.5</v>
      </c>
      <c r="K36" s="1">
        <f>IF(G36&gt;0, (F36-G36)/G36, 0)</f>
        <v>0.2444</v>
      </c>
      <c r="L36" s="2">
        <f>H36*G36</f>
        <v>0</v>
      </c>
      <c r="M36" s="2">
        <f>H36*F36</f>
        <v>0</v>
      </c>
      <c r="N36" s="2">
        <f>M36-L36</f>
        <v>0</v>
      </c>
      <c r="O36" t="str">
        <f>IF(H36&lt;=0, "نفد من المخزن", IF(H36&lt;=I36, "قارب على النفاد", "متوفر بالمخزن"))</f>
        <v>نفد من المخزن</v>
      </c>
      <c r="P36">
        <v>0</v>
      </c>
      <c r="Q36" t="str">
        <v>SKU-0133</v>
      </c>
      <c r="R36" t="str">
        <v/>
      </c>
      <c r="S36" t="str">
        <v/>
      </c>
      <c r="T36" t="str">
        <v/>
      </c>
    </row>
    <row r="37">
      <c r="A37">
        <v>34</v>
      </c>
      <c r="B37" t="str">
        <v>سكر دايت سويتال 50 كيس</v>
      </c>
      <c r="C37" t="str">
        <v>6224003301016</v>
      </c>
      <c r="D37" t="str">
        <v/>
      </c>
      <c r="E37" t="str">
        <v>قطعة</v>
      </c>
      <c r="F37">
        <v>65</v>
      </c>
      <c r="G37">
        <v>52</v>
      </c>
      <c r="H37">
        <v>0</v>
      </c>
      <c r="I37">
        <v>4</v>
      </c>
      <c r="J37">
        <f>F37-G37</f>
        <v>13</v>
      </c>
      <c r="K37" s="1">
        <f>IF(G37&gt;0, (F37-G37)/G37, 0)</f>
        <v>0.25</v>
      </c>
      <c r="L37" s="2">
        <f>H37*G37</f>
        <v>0</v>
      </c>
      <c r="M37" s="2">
        <f>H37*F37</f>
        <v>0</v>
      </c>
      <c r="N37" s="2">
        <f>M37-L37</f>
        <v>0</v>
      </c>
      <c r="O37" t="str">
        <f>IF(H37&lt;=0, "نفد من المخزن", IF(H37&lt;=I37, "قارب على النفاد", "متوفر بالمخزن"))</f>
        <v>نفد من المخزن</v>
      </c>
      <c r="P37">
        <v>0</v>
      </c>
      <c r="Q37" t="str">
        <v>SKU-0134</v>
      </c>
      <c r="R37" t="str">
        <v/>
      </c>
      <c r="S37" t="str">
        <v/>
      </c>
      <c r="T37" t="str">
        <v/>
      </c>
    </row>
    <row r="38">
      <c r="A38">
        <v>35</v>
      </c>
      <c r="B38" t="str">
        <v>أرز مصري فاخر الضحى 1 كجم</v>
      </c>
      <c r="C38" t="str">
        <v>6223000660010</v>
      </c>
      <c r="D38" t="str">
        <v/>
      </c>
      <c r="E38" t="str">
        <v>قطعة</v>
      </c>
      <c r="F38">
        <v>38</v>
      </c>
      <c r="G38">
        <v>32</v>
      </c>
      <c r="H38">
        <v>0</v>
      </c>
      <c r="I38">
        <v>15</v>
      </c>
      <c r="J38">
        <f>F38-G38</f>
        <v>6</v>
      </c>
      <c r="K38" s="1">
        <f>IF(G38&gt;0, (F38-G38)/G38, 0)</f>
        <v>0.1875</v>
      </c>
      <c r="L38" s="2">
        <f>H38*G38</f>
        <v>0</v>
      </c>
      <c r="M38" s="2">
        <f>H38*F38</f>
        <v>0</v>
      </c>
      <c r="N38" s="2">
        <f>M38-L38</f>
        <v>0</v>
      </c>
      <c r="O38" t="str">
        <f>IF(H38&lt;=0, "نفد من المخزن", IF(H38&lt;=I38, "قارب على النفاد", "متوفر بالمخزن"))</f>
        <v>نفد من المخزن</v>
      </c>
      <c r="P38">
        <v>0</v>
      </c>
      <c r="Q38" t="str">
        <v>SKU-0135</v>
      </c>
      <c r="R38" t="str">
        <v/>
      </c>
      <c r="S38" t="str">
        <v/>
      </c>
      <c r="T38" t="str">
        <v/>
      </c>
    </row>
    <row r="39">
      <c r="A39">
        <v>36</v>
      </c>
      <c r="B39" t="str">
        <v>أرز مصري فاخر الضحى 5 كجم</v>
      </c>
      <c r="C39" t="str">
        <v>6223000660225</v>
      </c>
      <c r="D39" t="str">
        <v/>
      </c>
      <c r="E39" t="str">
        <v>قطعة</v>
      </c>
      <c r="F39">
        <v>185</v>
      </c>
      <c r="G39">
        <v>155</v>
      </c>
      <c r="H39">
        <v>0</v>
      </c>
      <c r="I39">
        <v>5</v>
      </c>
      <c r="J39">
        <f>F39-G39</f>
        <v>30</v>
      </c>
      <c r="K39" s="1">
        <f>IF(G39&gt;0, (F39-G39)/G39, 0)</f>
        <v>0.1935</v>
      </c>
      <c r="L39" s="2">
        <f>H39*G39</f>
        <v>0</v>
      </c>
      <c r="M39" s="2">
        <f>H39*F39</f>
        <v>0</v>
      </c>
      <c r="N39" s="2">
        <f>M39-L39</f>
        <v>0</v>
      </c>
      <c r="O39" t="str">
        <f>IF(H39&lt;=0, "نفد من المخزن", IF(H39&lt;=I39, "قارب على النفاد", "متوفر بالمخزن"))</f>
        <v>نفد من المخزن</v>
      </c>
      <c r="P39">
        <v>0</v>
      </c>
      <c r="Q39" t="str">
        <v>SKU-0136</v>
      </c>
      <c r="R39" t="str">
        <v/>
      </c>
      <c r="S39" t="str">
        <v/>
      </c>
      <c r="T39" t="str">
        <v/>
      </c>
    </row>
    <row r="40">
      <c r="A40">
        <v>37</v>
      </c>
      <c r="B40" t="str">
        <v>أرز مصري الساعة 1 كجم</v>
      </c>
      <c r="C40" t="str">
        <v>6223000660034</v>
      </c>
      <c r="D40" t="str">
        <v/>
      </c>
      <c r="E40" t="str">
        <v>قطعة</v>
      </c>
      <c r="F40">
        <v>36</v>
      </c>
      <c r="G40">
        <v>30.5</v>
      </c>
      <c r="H40">
        <v>0</v>
      </c>
      <c r="I40">
        <v>12</v>
      </c>
      <c r="J40">
        <f>F40-G40</f>
        <v>5.5</v>
      </c>
      <c r="K40" s="1">
        <f>IF(G40&gt;0, (F40-G40)/G40, 0)</f>
        <v>0.1803</v>
      </c>
      <c r="L40" s="2">
        <f>H40*G40</f>
        <v>0</v>
      </c>
      <c r="M40" s="2">
        <f>H40*F40</f>
        <v>0</v>
      </c>
      <c r="N40" s="2">
        <f>M40-L40</f>
        <v>0</v>
      </c>
      <c r="O40" t="str">
        <f>IF(H40&lt;=0, "نفد من المخزن", IF(H40&lt;=I40, "قارب على النفاد", "متوفر بالمخزن"))</f>
        <v>نفد من المخزن</v>
      </c>
      <c r="P40">
        <v>0</v>
      </c>
      <c r="Q40" t="str">
        <v>SKU-0137</v>
      </c>
      <c r="R40" t="str">
        <v/>
      </c>
      <c r="S40" t="str">
        <v/>
      </c>
      <c r="T40" t="str">
        <v/>
      </c>
    </row>
    <row r="41">
      <c r="A41">
        <v>38</v>
      </c>
      <c r="B41" t="str">
        <v>أرز مصري الساعة 5 كجم</v>
      </c>
      <c r="C41" t="str">
        <v>6223000660232</v>
      </c>
      <c r="D41" t="str">
        <v/>
      </c>
      <c r="E41" t="str">
        <v>قطعة</v>
      </c>
      <c r="F41">
        <v>175</v>
      </c>
      <c r="G41">
        <v>148</v>
      </c>
      <c r="H41">
        <v>0</v>
      </c>
      <c r="I41">
        <v>5</v>
      </c>
      <c r="J41">
        <f>F41-G41</f>
        <v>27</v>
      </c>
      <c r="K41" s="1">
        <f>IF(G41&gt;0, (F41-G41)/G41, 0)</f>
        <v>0.1824</v>
      </c>
      <c r="L41" s="2">
        <f>H41*G41</f>
        <v>0</v>
      </c>
      <c r="M41" s="2">
        <f>H41*F41</f>
        <v>0</v>
      </c>
      <c r="N41" s="2">
        <f>M41-L41</f>
        <v>0</v>
      </c>
      <c r="O41" t="str">
        <f>IF(H41&lt;=0, "نفد من المخزن", IF(H41&lt;=I41, "قارب على النفاد", "متوفر بالمخزن"))</f>
        <v>نفد من المخزن</v>
      </c>
      <c r="P41">
        <v>0</v>
      </c>
      <c r="Q41" t="str">
        <v>SKU-0138</v>
      </c>
      <c r="R41" t="str">
        <v/>
      </c>
      <c r="S41" t="str">
        <v/>
      </c>
      <c r="T41" t="str">
        <v/>
      </c>
    </row>
    <row r="42">
      <c r="A42">
        <v>39</v>
      </c>
      <c r="B42" t="str">
        <v>أرز بسمتي هندي ذهبي الضحى 1 كجم</v>
      </c>
      <c r="C42" t="str">
        <v>6223000660249</v>
      </c>
      <c r="D42" t="str">
        <v/>
      </c>
      <c r="E42" t="str">
        <v>قطعة</v>
      </c>
      <c r="F42">
        <v>115</v>
      </c>
      <c r="G42">
        <v>95</v>
      </c>
      <c r="H42">
        <v>0</v>
      </c>
      <c r="I42">
        <v>5</v>
      </c>
      <c r="J42">
        <f>F42-G42</f>
        <v>20</v>
      </c>
      <c r="K42" s="1">
        <f>IF(G42&gt;0, (F42-G42)/G42, 0)</f>
        <v>0.2105</v>
      </c>
      <c r="L42" s="2">
        <f>H42*G42</f>
        <v>0</v>
      </c>
      <c r="M42" s="2">
        <f>H42*F42</f>
        <v>0</v>
      </c>
      <c r="N42" s="2">
        <f>M42-L42</f>
        <v>0</v>
      </c>
      <c r="O42" t="str">
        <f>IF(H42&lt;=0, "نفد من المخزن", IF(H42&lt;=I42, "قارب على النفاد", "متوفر بالمخزن"))</f>
        <v>نفد من المخزن</v>
      </c>
      <c r="P42">
        <v>0</v>
      </c>
      <c r="Q42" t="str">
        <v>SKU-0139</v>
      </c>
      <c r="R42" t="str">
        <v/>
      </c>
      <c r="S42" t="str">
        <v/>
      </c>
      <c r="T42" t="str">
        <v/>
      </c>
    </row>
    <row r="43">
      <c r="A43">
        <v>40</v>
      </c>
      <c r="B43" t="str">
        <v>أرز بسمتي هندي زمزم 1 كجم</v>
      </c>
      <c r="C43" t="str">
        <v>6223000660256</v>
      </c>
      <c r="D43" t="str">
        <v/>
      </c>
      <c r="E43" t="str">
        <v>قطعة</v>
      </c>
      <c r="F43">
        <v>85</v>
      </c>
      <c r="G43">
        <v>70</v>
      </c>
      <c r="H43">
        <v>0</v>
      </c>
      <c r="I43">
        <v>6</v>
      </c>
      <c r="J43">
        <f>F43-G43</f>
        <v>15</v>
      </c>
      <c r="K43" s="1">
        <f>IF(G43&gt;0, (F43-G43)/G43, 0)</f>
        <v>0.2143</v>
      </c>
      <c r="L43" s="2">
        <f>H43*G43</f>
        <v>0</v>
      </c>
      <c r="M43" s="2">
        <f>H43*F43</f>
        <v>0</v>
      </c>
      <c r="N43" s="2">
        <f>M43-L43</f>
        <v>0</v>
      </c>
      <c r="O43" t="str">
        <f>IF(H43&lt;=0, "نفد من المخزن", IF(H43&lt;=I43, "قارب على النفاد", "متوفر بالمخزن"))</f>
        <v>نفد من المخزن</v>
      </c>
      <c r="P43">
        <v>0</v>
      </c>
      <c r="Q43" t="str">
        <v>SKU-0140</v>
      </c>
      <c r="R43" t="str">
        <v/>
      </c>
      <c r="S43" t="str">
        <v/>
      </c>
      <c r="T43" t="str">
        <v/>
      </c>
    </row>
    <row r="44">
      <c r="A44">
        <v>41</v>
      </c>
      <c r="B44" t="str">
        <v>دقيق فاخر الضحى 1 كجم</v>
      </c>
      <c r="C44" t="str">
        <v>6223000660041</v>
      </c>
      <c r="D44" t="str">
        <v/>
      </c>
      <c r="E44" t="str">
        <v>قطعة</v>
      </c>
      <c r="F44">
        <v>32</v>
      </c>
      <c r="G44">
        <v>26</v>
      </c>
      <c r="H44">
        <v>0</v>
      </c>
      <c r="I44">
        <v>10</v>
      </c>
      <c r="J44">
        <f>F44-G44</f>
        <v>6</v>
      </c>
      <c r="K44" s="1">
        <f>IF(G44&gt;0, (F44-G44)/G44, 0)</f>
        <v>0.2308</v>
      </c>
      <c r="L44" s="2">
        <f>H44*G44</f>
        <v>0</v>
      </c>
      <c r="M44" s="2">
        <f>H44*F44</f>
        <v>0</v>
      </c>
      <c r="N44" s="2">
        <f>M44-L44</f>
        <v>0</v>
      </c>
      <c r="O44" t="str">
        <f>IF(H44&lt;=0, "نفد من المخزن", IF(H44&lt;=I44, "قارب على النفاد", "متوفر بالمخزن"))</f>
        <v>نفد من المخزن</v>
      </c>
      <c r="P44">
        <v>0</v>
      </c>
      <c r="Q44" t="str">
        <v>SKU-0141</v>
      </c>
      <c r="R44" t="str">
        <v/>
      </c>
      <c r="S44" t="str">
        <v/>
      </c>
      <c r="T44" t="str">
        <v/>
      </c>
    </row>
    <row r="45">
      <c r="A45">
        <v>42</v>
      </c>
      <c r="B45" t="str">
        <v>دقيق خمس نجوم فاخر 1 كجم</v>
      </c>
      <c r="C45" t="str">
        <v>6221065001014</v>
      </c>
      <c r="D45" t="str">
        <v/>
      </c>
      <c r="E45" t="str">
        <v>قطعة</v>
      </c>
      <c r="F45">
        <v>30</v>
      </c>
      <c r="G45">
        <v>24.5</v>
      </c>
      <c r="H45">
        <v>0</v>
      </c>
      <c r="I45">
        <v>10</v>
      </c>
      <c r="J45">
        <f>F45-G45</f>
        <v>5.5</v>
      </c>
      <c r="K45" s="1">
        <f>IF(G45&gt;0, (F45-G45)/G45, 0)</f>
        <v>0.2245</v>
      </c>
      <c r="L45" s="2">
        <f>H45*G45</f>
        <v>0</v>
      </c>
      <c r="M45" s="2">
        <f>H45*F45</f>
        <v>0</v>
      </c>
      <c r="N45" s="2">
        <f>M45-L45</f>
        <v>0</v>
      </c>
      <c r="O45" t="str">
        <f>IF(H45&lt;=0, "نفد من المخزن", IF(H45&lt;=I45, "قارب على النفاد", "متوفر بالمخزن"))</f>
        <v>نفد من المخزن</v>
      </c>
      <c r="P45">
        <v>0</v>
      </c>
      <c r="Q45" t="str">
        <v>SKU-0142</v>
      </c>
      <c r="R45" t="str">
        <v/>
      </c>
      <c r="S45" t="str">
        <v/>
      </c>
      <c r="T45" t="str">
        <v/>
      </c>
    </row>
    <row r="46">
      <c r="A46">
        <v>43</v>
      </c>
      <c r="B46" t="str">
        <v>دقيق الكوثر لجميع الأغراض 1 كجم</v>
      </c>
      <c r="C46" t="str">
        <v>6221065002011</v>
      </c>
      <c r="D46" t="str">
        <v/>
      </c>
      <c r="E46" t="str">
        <v>قطعة</v>
      </c>
      <c r="F46">
        <v>26</v>
      </c>
      <c r="G46">
        <v>21</v>
      </c>
      <c r="H46">
        <v>0</v>
      </c>
      <c r="I46">
        <v>12</v>
      </c>
      <c r="J46">
        <f>F46-G46</f>
        <v>5</v>
      </c>
      <c r="K46" s="1">
        <f>IF(G46&gt;0, (F46-G46)/G46, 0)</f>
        <v>0.2381</v>
      </c>
      <c r="L46" s="2">
        <f>H46*G46</f>
        <v>0</v>
      </c>
      <c r="M46" s="2">
        <f>H46*F46</f>
        <v>0</v>
      </c>
      <c r="N46" s="2">
        <f>M46-L46</f>
        <v>0</v>
      </c>
      <c r="O46" t="str">
        <f>IF(H46&lt;=0, "نفد من المخزن", IF(H46&lt;=I46, "قارب على النفاد", "متوفر بالمخزن"))</f>
        <v>نفد من المخزن</v>
      </c>
      <c r="P46">
        <v>0</v>
      </c>
      <c r="Q46" t="str">
        <v>SKU-0143</v>
      </c>
      <c r="R46" t="str">
        <v/>
      </c>
      <c r="S46" t="str">
        <v/>
      </c>
      <c r="T46" t="str">
        <v/>
      </c>
    </row>
    <row r="47">
      <c r="A47">
        <v>44</v>
      </c>
      <c r="B47" t="str">
        <v>مكرونة الملكة خواتم 400 جم</v>
      </c>
      <c r="C47" t="str">
        <v>6221133001014</v>
      </c>
      <c r="D47" t="str">
        <v/>
      </c>
      <c r="E47" t="str">
        <v>قطعة</v>
      </c>
      <c r="F47">
        <v>16</v>
      </c>
      <c r="G47">
        <v>12.5</v>
      </c>
      <c r="H47">
        <v>0</v>
      </c>
      <c r="I47">
        <v>20</v>
      </c>
      <c r="J47">
        <f>F47-G47</f>
        <v>3.5</v>
      </c>
      <c r="K47" s="1">
        <f>IF(G47&gt;0, (F47-G47)/G47, 0)</f>
        <v>0.28</v>
      </c>
      <c r="L47" s="2">
        <f>H47*G47</f>
        <v>0</v>
      </c>
      <c r="M47" s="2">
        <f>H47*F47</f>
        <v>0</v>
      </c>
      <c r="N47" s="2">
        <f>M47-L47</f>
        <v>0</v>
      </c>
      <c r="O47" t="str">
        <f>IF(H47&lt;=0, "نفد من المخزن", IF(H47&lt;=I47, "قارب على النفاد", "متوفر بالمخزن"))</f>
        <v>نفد من المخزن</v>
      </c>
      <c r="P47">
        <v>0</v>
      </c>
      <c r="Q47" t="str">
        <v>SKU-0144</v>
      </c>
      <c r="R47" t="str">
        <v/>
      </c>
      <c r="S47" t="str">
        <v/>
      </c>
      <c r="T47" t="str">
        <v/>
      </c>
    </row>
    <row r="48">
      <c r="A48">
        <v>45</v>
      </c>
      <c r="B48" t="str">
        <v>مكرونة الملكة فرن (قلم) 400 جم</v>
      </c>
      <c r="C48" t="str">
        <v>6221133001021</v>
      </c>
      <c r="D48" t="str">
        <v/>
      </c>
      <c r="E48" t="str">
        <v>قطعة</v>
      </c>
      <c r="F48">
        <v>16</v>
      </c>
      <c r="G48">
        <v>12.5</v>
      </c>
      <c r="H48">
        <v>0</v>
      </c>
      <c r="I48">
        <v>20</v>
      </c>
      <c r="J48">
        <f>F48-G48</f>
        <v>3.5</v>
      </c>
      <c r="K48" s="1">
        <f>IF(G48&gt;0, (F48-G48)/G48, 0)</f>
        <v>0.28</v>
      </c>
      <c r="L48" s="2">
        <f>H48*G48</f>
        <v>0</v>
      </c>
      <c r="M48" s="2">
        <f>H48*F48</f>
        <v>0</v>
      </c>
      <c r="N48" s="2">
        <f>M48-L48</f>
        <v>0</v>
      </c>
      <c r="O48" t="str">
        <f>IF(H48&lt;=0, "نفد من المخزن", IF(H48&lt;=I48, "قارب على النفاد", "متوفر بالمخزن"))</f>
        <v>نفد من المخزن</v>
      </c>
      <c r="P48">
        <v>0</v>
      </c>
      <c r="Q48" t="str">
        <v>SKU-0145</v>
      </c>
      <c r="R48" t="str">
        <v/>
      </c>
      <c r="S48" t="str">
        <v/>
      </c>
      <c r="T48" t="str">
        <v/>
      </c>
    </row>
    <row r="49">
      <c r="A49">
        <v>46</v>
      </c>
      <c r="B49" t="str">
        <v>مكرونة الملكة سباجيتي 400 جم</v>
      </c>
      <c r="C49" t="str">
        <v>6221133001038</v>
      </c>
      <c r="D49" t="str">
        <v/>
      </c>
      <c r="E49" t="str">
        <v>قطعة</v>
      </c>
      <c r="F49">
        <v>16</v>
      </c>
      <c r="G49">
        <v>12.5</v>
      </c>
      <c r="H49">
        <v>0</v>
      </c>
      <c r="I49">
        <v>15</v>
      </c>
      <c r="J49">
        <f>F49-G49</f>
        <v>3.5</v>
      </c>
      <c r="K49" s="1">
        <f>IF(G49&gt;0, (F49-G49)/G49, 0)</f>
        <v>0.28</v>
      </c>
      <c r="L49" s="2">
        <f>H49*G49</f>
        <v>0</v>
      </c>
      <c r="M49" s="2">
        <f>H49*F49</f>
        <v>0</v>
      </c>
      <c r="N49" s="2">
        <f>M49-L49</f>
        <v>0</v>
      </c>
      <c r="O49" t="str">
        <f>IF(H49&lt;=0, "نفد من المخزن", IF(H49&lt;=I49, "قارب على النفاد", "متوفر بالمخزن"))</f>
        <v>نفد من المخزن</v>
      </c>
      <c r="P49">
        <v>0</v>
      </c>
      <c r="Q49" t="str">
        <v>SKU-0146</v>
      </c>
      <c r="R49" t="str">
        <v/>
      </c>
      <c r="S49" t="str">
        <v/>
      </c>
      <c r="T49" t="str">
        <v/>
      </c>
    </row>
    <row r="50">
      <c r="A50">
        <v>47</v>
      </c>
      <c r="B50" t="str">
        <v>مكرونة الملكة مقصوصة 400 جم</v>
      </c>
      <c r="C50" t="str">
        <v>6221133001069</v>
      </c>
      <c r="D50" t="str">
        <v/>
      </c>
      <c r="E50" t="str">
        <v>قطعة</v>
      </c>
      <c r="F50">
        <v>16</v>
      </c>
      <c r="G50">
        <v>12.5</v>
      </c>
      <c r="H50">
        <v>0</v>
      </c>
      <c r="I50">
        <v>15</v>
      </c>
      <c r="J50">
        <f>F50-G50</f>
        <v>3.5</v>
      </c>
      <c r="K50" s="1">
        <f>IF(G50&gt;0, (F50-G50)/G50, 0)</f>
        <v>0.28</v>
      </c>
      <c r="L50" s="2">
        <f>H50*G50</f>
        <v>0</v>
      </c>
      <c r="M50" s="2">
        <f>H50*F50</f>
        <v>0</v>
      </c>
      <c r="N50" s="2">
        <f>M50-L50</f>
        <v>0</v>
      </c>
      <c r="O50" t="str">
        <f>IF(H50&lt;=0, "نفد من المخزن", IF(H50&lt;=I50, "قارب على النفاد", "متوفر بالمخزن"))</f>
        <v>نفد من المخزن</v>
      </c>
      <c r="P50">
        <v>0</v>
      </c>
      <c r="Q50" t="str">
        <v>SKU-0147</v>
      </c>
      <c r="R50" t="str">
        <v/>
      </c>
      <c r="S50" t="str">
        <v/>
      </c>
      <c r="T50" t="str">
        <v/>
      </c>
    </row>
    <row r="51">
      <c r="A51">
        <v>48</v>
      </c>
      <c r="B51" t="str">
        <v>مكرونة الملكة هلالية 400 جم</v>
      </c>
      <c r="C51" t="str">
        <v>6221133001076</v>
      </c>
      <c r="D51" t="str">
        <v/>
      </c>
      <c r="E51" t="str">
        <v>قطعة</v>
      </c>
      <c r="F51">
        <v>16</v>
      </c>
      <c r="G51">
        <v>12.5</v>
      </c>
      <c r="H51">
        <v>0</v>
      </c>
      <c r="I51">
        <v>15</v>
      </c>
      <c r="J51">
        <f>F51-G51</f>
        <v>3.5</v>
      </c>
      <c r="K51" s="1">
        <f>IF(G51&gt;0, (F51-G51)/G51, 0)</f>
        <v>0.28</v>
      </c>
      <c r="L51" s="2">
        <f>H51*G51</f>
        <v>0</v>
      </c>
      <c r="M51" s="2">
        <f>H51*F51</f>
        <v>0</v>
      </c>
      <c r="N51" s="2">
        <f>M51-L51</f>
        <v>0</v>
      </c>
      <c r="O51" t="str">
        <f>IF(H51&lt;=0, "نفد من المخزن", IF(H51&lt;=I51, "قارب على النفاد", "متوفر بالمخزن"))</f>
        <v>نفد من المخزن</v>
      </c>
      <c r="P51">
        <v>0</v>
      </c>
      <c r="Q51" t="str">
        <v>SKU-0148</v>
      </c>
      <c r="R51" t="str">
        <v/>
      </c>
      <c r="S51" t="str">
        <v/>
      </c>
      <c r="T51" t="str">
        <v/>
      </c>
    </row>
    <row r="52">
      <c r="A52">
        <v>49</v>
      </c>
      <c r="B52" t="str">
        <v>شعرية الملكة 400 جم</v>
      </c>
      <c r="C52" t="str">
        <v>6221133001045</v>
      </c>
      <c r="D52" t="str">
        <v/>
      </c>
      <c r="E52" t="str">
        <v>قطعة</v>
      </c>
      <c r="F52">
        <v>16</v>
      </c>
      <c r="G52">
        <v>12.5</v>
      </c>
      <c r="H52">
        <v>0</v>
      </c>
      <c r="I52">
        <v>12</v>
      </c>
      <c r="J52">
        <f>F52-G52</f>
        <v>3.5</v>
      </c>
      <c r="K52" s="1">
        <f>IF(G52&gt;0, (F52-G52)/G52, 0)</f>
        <v>0.28</v>
      </c>
      <c r="L52" s="2">
        <f>H52*G52</f>
        <v>0</v>
      </c>
      <c r="M52" s="2">
        <f>H52*F52</f>
        <v>0</v>
      </c>
      <c r="N52" s="2">
        <f>M52-L52</f>
        <v>0</v>
      </c>
      <c r="O52" t="str">
        <f>IF(H52&lt;=0, "نفد من المخزن", IF(H52&lt;=I52, "قارب على النفاد", "متوفر بالمخزن"))</f>
        <v>نفد من المخزن</v>
      </c>
      <c r="P52">
        <v>0</v>
      </c>
      <c r="Q52" t="str">
        <v>SKU-0149</v>
      </c>
      <c r="R52" t="str">
        <v/>
      </c>
      <c r="S52" t="str">
        <v/>
      </c>
      <c r="T52" t="str">
        <v/>
      </c>
    </row>
    <row r="53">
      <c r="A53">
        <v>50</v>
      </c>
      <c r="B53" t="str">
        <v>لسان عصفور الملكة 400 جم</v>
      </c>
      <c r="C53" t="str">
        <v>6221133001052</v>
      </c>
      <c r="D53" t="str">
        <v/>
      </c>
      <c r="E53" t="str">
        <v>قطعة</v>
      </c>
      <c r="F53">
        <v>16</v>
      </c>
      <c r="G53">
        <v>12.5</v>
      </c>
      <c r="H53">
        <v>0</v>
      </c>
      <c r="I53">
        <v>12</v>
      </c>
      <c r="J53">
        <f>F53-G53</f>
        <v>3.5</v>
      </c>
      <c r="K53" s="1">
        <f>IF(G53&gt;0, (F53-G53)/G53, 0)</f>
        <v>0.28</v>
      </c>
      <c r="L53" s="2">
        <f>H53*G53</f>
        <v>0</v>
      </c>
      <c r="M53" s="2">
        <f>H53*F53</f>
        <v>0</v>
      </c>
      <c r="N53" s="2">
        <f>M53-L53</f>
        <v>0</v>
      </c>
      <c r="O53" t="str">
        <f>IF(H53&lt;=0, "نفد من المخزن", IF(H53&lt;=I53, "قارب على النفاد", "متوفر بالمخزن"))</f>
        <v>نفد من المخزن</v>
      </c>
      <c r="P53">
        <v>0</v>
      </c>
      <c r="Q53" t="str">
        <v>SKU-0150</v>
      </c>
      <c r="R53" t="str">
        <v/>
      </c>
      <c r="S53" t="str">
        <v/>
      </c>
      <c r="T53" t="str">
        <v/>
      </c>
    </row>
    <row r="54">
      <c r="A54">
        <v>51</v>
      </c>
      <c r="B54" t="str">
        <v>مكرونة الملكة قلم 1 كجم</v>
      </c>
      <c r="C54" t="str">
        <v>6221133001083</v>
      </c>
      <c r="D54" t="str">
        <v/>
      </c>
      <c r="E54" t="str">
        <v>قطعة</v>
      </c>
      <c r="F54">
        <v>38</v>
      </c>
      <c r="G54">
        <v>30.5</v>
      </c>
      <c r="H54">
        <v>0</v>
      </c>
      <c r="I54">
        <v>8</v>
      </c>
      <c r="J54">
        <f>F54-G54</f>
        <v>7.5</v>
      </c>
      <c r="K54" s="1">
        <f>IF(G54&gt;0, (F54-G54)/G54, 0)</f>
        <v>0.2459</v>
      </c>
      <c r="L54" s="2">
        <f>H54*G54</f>
        <v>0</v>
      </c>
      <c r="M54" s="2">
        <f>H54*F54</f>
        <v>0</v>
      </c>
      <c r="N54" s="2">
        <f>M54-L54</f>
        <v>0</v>
      </c>
      <c r="O54" t="str">
        <f>IF(H54&lt;=0, "نفد من المخزن", IF(H54&lt;=I54, "قارب على النفاد", "متوفر بالمخزن"))</f>
        <v>نفد من المخزن</v>
      </c>
      <c r="P54">
        <v>0</v>
      </c>
      <c r="Q54" t="str">
        <v>SKU-0151</v>
      </c>
      <c r="R54" t="str">
        <v/>
      </c>
      <c r="S54" t="str">
        <v/>
      </c>
      <c r="T54" t="str">
        <v/>
      </c>
    </row>
    <row r="55">
      <c r="A55">
        <v>52</v>
      </c>
      <c r="B55" t="str">
        <v>مكرونة الملكة سباجيتي 1 كجم</v>
      </c>
      <c r="C55" t="str">
        <v>6221133001090</v>
      </c>
      <c r="D55" t="str">
        <v/>
      </c>
      <c r="E55" t="str">
        <v>قطعة</v>
      </c>
      <c r="F55">
        <v>38</v>
      </c>
      <c r="G55">
        <v>30.5</v>
      </c>
      <c r="H55">
        <v>0</v>
      </c>
      <c r="I55">
        <v>8</v>
      </c>
      <c r="J55">
        <f>F55-G55</f>
        <v>7.5</v>
      </c>
      <c r="K55" s="1">
        <f>IF(G55&gt;0, (F55-G55)/G55, 0)</f>
        <v>0.2459</v>
      </c>
      <c r="L55" s="2">
        <f>H55*G55</f>
        <v>0</v>
      </c>
      <c r="M55" s="2">
        <f>H55*F55</f>
        <v>0</v>
      </c>
      <c r="N55" s="2">
        <f>M55-L55</f>
        <v>0</v>
      </c>
      <c r="O55" t="str">
        <f>IF(H55&lt;=0, "نفد من المخزن", IF(H55&lt;=I55, "قارب على النفاد", "متوفر بالمخزن"))</f>
        <v>نفد من المخزن</v>
      </c>
      <c r="P55">
        <v>0</v>
      </c>
      <c r="Q55" t="str">
        <v>SKU-0152</v>
      </c>
      <c r="R55" t="str">
        <v/>
      </c>
      <c r="S55" t="str">
        <v/>
      </c>
      <c r="T55" t="str">
        <v/>
      </c>
    </row>
    <row r="56">
      <c r="A56">
        <v>53</v>
      </c>
      <c r="B56" t="str">
        <v>مكرونة روجينا فرن 400 جم</v>
      </c>
      <c r="C56" t="str">
        <v>6221133002011</v>
      </c>
      <c r="D56" t="str">
        <v/>
      </c>
      <c r="E56" t="str">
        <v>قطعة</v>
      </c>
      <c r="F56">
        <v>24</v>
      </c>
      <c r="G56">
        <v>19.5</v>
      </c>
      <c r="H56">
        <v>0</v>
      </c>
      <c r="I56">
        <v>10</v>
      </c>
      <c r="J56">
        <f>F56-G56</f>
        <v>4.5</v>
      </c>
      <c r="K56" s="1">
        <f>IF(G56&gt;0, (F56-G56)/G56, 0)</f>
        <v>0.2308</v>
      </c>
      <c r="L56" s="2">
        <f>H56*G56</f>
        <v>0</v>
      </c>
      <c r="M56" s="2">
        <f>H56*F56</f>
        <v>0</v>
      </c>
      <c r="N56" s="2">
        <f>M56-L56</f>
        <v>0</v>
      </c>
      <c r="O56" t="str">
        <f>IF(H56&lt;=0, "نفد من المخزن", IF(H56&lt;=I56, "قارب على النفاد", "متوفر بالمخزن"))</f>
        <v>نفد من المخزن</v>
      </c>
      <c r="P56">
        <v>0</v>
      </c>
      <c r="Q56" t="str">
        <v>SKU-0153</v>
      </c>
      <c r="R56" t="str">
        <v/>
      </c>
      <c r="S56" t="str">
        <v/>
      </c>
      <c r="T56" t="str">
        <v/>
      </c>
    </row>
    <row r="57">
      <c r="A57">
        <v>54</v>
      </c>
      <c r="B57" t="str">
        <v>مكرونة روجينا سباجيتي 400 جم</v>
      </c>
      <c r="C57" t="str">
        <v>6221133002028</v>
      </c>
      <c r="D57" t="str">
        <v/>
      </c>
      <c r="E57" t="str">
        <v>قطعة</v>
      </c>
      <c r="F57">
        <v>24</v>
      </c>
      <c r="G57">
        <v>19.5</v>
      </c>
      <c r="H57">
        <v>0</v>
      </c>
      <c r="I57">
        <v>10</v>
      </c>
      <c r="J57">
        <f>F57-G57</f>
        <v>4.5</v>
      </c>
      <c r="K57" s="1">
        <f>IF(G57&gt;0, (F57-G57)/G57, 0)</f>
        <v>0.2308</v>
      </c>
      <c r="L57" s="2">
        <f>H57*G57</f>
        <v>0</v>
      </c>
      <c r="M57" s="2">
        <f>H57*F57</f>
        <v>0</v>
      </c>
      <c r="N57" s="2">
        <f>M57-L57</f>
        <v>0</v>
      </c>
      <c r="O57" t="str">
        <f>IF(H57&lt;=0, "نفد من المخزن", IF(H57&lt;=I57, "قارب على النفاد", "متوفر بالمخزن"))</f>
        <v>نفد من المخزن</v>
      </c>
      <c r="P57">
        <v>0</v>
      </c>
      <c r="Q57" t="str">
        <v>SKU-0154</v>
      </c>
      <c r="R57" t="str">
        <v/>
      </c>
      <c r="S57" t="str">
        <v/>
      </c>
      <c r="T57" t="str">
        <v/>
      </c>
    </row>
    <row r="58">
      <c r="A58">
        <v>55</v>
      </c>
      <c r="B58" t="str">
        <v>مكرونة روجينا فيوزيلي سوستة 400 جم</v>
      </c>
      <c r="C58" t="str">
        <v>6221133002035</v>
      </c>
      <c r="D58" t="str">
        <v/>
      </c>
      <c r="E58" t="str">
        <v>قطعة</v>
      </c>
      <c r="F58">
        <v>24</v>
      </c>
      <c r="G58">
        <v>19.5</v>
      </c>
      <c r="H58">
        <v>0</v>
      </c>
      <c r="I58">
        <v>8</v>
      </c>
      <c r="J58">
        <f>F58-G58</f>
        <v>4.5</v>
      </c>
      <c r="K58" s="1">
        <f>IF(G58&gt;0, (F58-G58)/G58, 0)</f>
        <v>0.2308</v>
      </c>
      <c r="L58" s="2">
        <f>H58*G58</f>
        <v>0</v>
      </c>
      <c r="M58" s="2">
        <f>H58*F58</f>
        <v>0</v>
      </c>
      <c r="N58" s="2">
        <f>M58-L58</f>
        <v>0</v>
      </c>
      <c r="O58" t="str">
        <f>IF(H58&lt;=0, "نفد من المخزن", IF(H58&lt;=I58, "قارب على النفاد", "متوفر بالمخزن"))</f>
        <v>نفد من المخزن</v>
      </c>
      <c r="P58">
        <v>0</v>
      </c>
      <c r="Q58" t="str">
        <v>SKU-0155</v>
      </c>
      <c r="R58" t="str">
        <v/>
      </c>
      <c r="S58" t="str">
        <v/>
      </c>
      <c r="T58" t="str">
        <v/>
      </c>
    </row>
    <row r="59">
      <c r="A59">
        <v>56</v>
      </c>
      <c r="B59" t="str">
        <v>مكرونة إيطاليانو سباجيتي 400 جم</v>
      </c>
      <c r="C59" t="str">
        <v>6221133003018</v>
      </c>
      <c r="D59" t="str">
        <v/>
      </c>
      <c r="E59" t="str">
        <v>قطعة</v>
      </c>
      <c r="F59">
        <v>28</v>
      </c>
      <c r="G59">
        <v>22.5</v>
      </c>
      <c r="H59">
        <v>0</v>
      </c>
      <c r="I59">
        <v>8</v>
      </c>
      <c r="J59">
        <f>F59-G59</f>
        <v>5.5</v>
      </c>
      <c r="K59" s="1">
        <f>IF(G59&gt;0, (F59-G59)/G59, 0)</f>
        <v>0.2444</v>
      </c>
      <c r="L59" s="2">
        <f>H59*G59</f>
        <v>0</v>
      </c>
      <c r="M59" s="2">
        <f>H59*F59</f>
        <v>0</v>
      </c>
      <c r="N59" s="2">
        <f>M59-L59</f>
        <v>0</v>
      </c>
      <c r="O59" t="str">
        <f>IF(H59&lt;=0, "نفد من المخزن", IF(H59&lt;=I59, "قارب على النفاد", "متوفر بالمخزن"))</f>
        <v>نفد من المخزن</v>
      </c>
      <c r="P59">
        <v>0</v>
      </c>
      <c r="Q59" t="str">
        <v>SKU-0156</v>
      </c>
      <c r="R59" t="str">
        <v/>
      </c>
      <c r="S59" t="str">
        <v/>
      </c>
      <c r="T59" t="str">
        <v/>
      </c>
    </row>
    <row r="60">
      <c r="A60">
        <v>57</v>
      </c>
      <c r="B60" t="str">
        <v>مكرونة إيطاليانو فرن 400 جم</v>
      </c>
      <c r="C60" t="str">
        <v>6221133003025</v>
      </c>
      <c r="D60" t="str">
        <v/>
      </c>
      <c r="E60" t="str">
        <v>قطعة</v>
      </c>
      <c r="F60">
        <v>28</v>
      </c>
      <c r="G60">
        <v>22.5</v>
      </c>
      <c r="H60">
        <v>0</v>
      </c>
      <c r="I60">
        <v>8</v>
      </c>
      <c r="J60">
        <f>F60-G60</f>
        <v>5.5</v>
      </c>
      <c r="K60" s="1">
        <f>IF(G60&gt;0, (F60-G60)/G60, 0)</f>
        <v>0.2444</v>
      </c>
      <c r="L60" s="2">
        <f>H60*G60</f>
        <v>0</v>
      </c>
      <c r="M60" s="2">
        <f>H60*F60</f>
        <v>0</v>
      </c>
      <c r="N60" s="2">
        <f>M60-L60</f>
        <v>0</v>
      </c>
      <c r="O60" t="str">
        <f>IF(H60&lt;=0, "نفد من المخزن", IF(H60&lt;=I60, "قارب على النفاد", "متوفر بالمخزن"))</f>
        <v>نفد من المخزن</v>
      </c>
      <c r="P60">
        <v>0</v>
      </c>
      <c r="Q60" t="str">
        <v>SKU-0157</v>
      </c>
      <c r="R60" t="str">
        <v/>
      </c>
      <c r="S60" t="str">
        <v/>
      </c>
      <c r="T60" t="str">
        <v/>
      </c>
    </row>
    <row r="61">
      <c r="A61">
        <v>58</v>
      </c>
      <c r="B61" t="str">
        <v>مكرونة كايرو قلم 400 جم</v>
      </c>
      <c r="C61" t="str">
        <v>6221133004015</v>
      </c>
      <c r="D61" t="str">
        <v/>
      </c>
      <c r="E61" t="str">
        <v>قطعة</v>
      </c>
      <c r="F61">
        <v>13</v>
      </c>
      <c r="G61">
        <v>10</v>
      </c>
      <c r="H61">
        <v>0</v>
      </c>
      <c r="I61">
        <v>12</v>
      </c>
      <c r="J61">
        <f>F61-G61</f>
        <v>3</v>
      </c>
      <c r="K61" s="1">
        <f>IF(G61&gt;0, (F61-G61)/G61, 0)</f>
        <v>0.3</v>
      </c>
      <c r="L61" s="2">
        <f>H61*G61</f>
        <v>0</v>
      </c>
      <c r="M61" s="2">
        <f>H61*F61</f>
        <v>0</v>
      </c>
      <c r="N61" s="2">
        <f>M61-L61</f>
        <v>0</v>
      </c>
      <c r="O61" t="str">
        <f>IF(H61&lt;=0, "نفد من المخزن", IF(H61&lt;=I61, "قارب على النفاد", "متوفر بالمخزن"))</f>
        <v>نفد من المخزن</v>
      </c>
      <c r="P61">
        <v>0</v>
      </c>
      <c r="Q61" t="str">
        <v>SKU-0158</v>
      </c>
      <c r="R61" t="str">
        <v/>
      </c>
      <c r="S61" t="str">
        <v/>
      </c>
      <c r="T61" t="str">
        <v/>
      </c>
    </row>
    <row r="62">
      <c r="A62">
        <v>59</v>
      </c>
      <c r="B62" t="str">
        <v>مكرونة كايرو سباجيتي 400 جم</v>
      </c>
      <c r="C62" t="str">
        <v>6221133004022</v>
      </c>
      <c r="D62" t="str">
        <v/>
      </c>
      <c r="E62" t="str">
        <v>قطعة</v>
      </c>
      <c r="F62">
        <v>13</v>
      </c>
      <c r="G62">
        <v>10</v>
      </c>
      <c r="H62">
        <v>0</v>
      </c>
      <c r="I62">
        <v>12</v>
      </c>
      <c r="J62">
        <f>F62-G62</f>
        <v>3</v>
      </c>
      <c r="K62" s="1">
        <f>IF(G62&gt;0, (F62-G62)/G62, 0)</f>
        <v>0.3</v>
      </c>
      <c r="L62" s="2">
        <f>H62*G62</f>
        <v>0</v>
      </c>
      <c r="M62" s="2">
        <f>H62*F62</f>
        <v>0</v>
      </c>
      <c r="N62" s="2">
        <f>M62-L62</f>
        <v>0</v>
      </c>
      <c r="O62" t="str">
        <f>IF(H62&lt;=0, "نفد من المخزن", IF(H62&lt;=I62, "قارب على النفاد", "متوفر بالمخزن"))</f>
        <v>نفد من المخزن</v>
      </c>
      <c r="P62">
        <v>0</v>
      </c>
      <c r="Q62" t="str">
        <v>SKU-0159</v>
      </c>
      <c r="R62" t="str">
        <v/>
      </c>
      <c r="S62" t="str">
        <v/>
      </c>
      <c r="T62" t="str">
        <v/>
      </c>
    </row>
    <row r="63">
      <c r="A63">
        <v>60</v>
      </c>
      <c r="B63" t="str">
        <v>نودلز إندومي لحم بقري 70 جم</v>
      </c>
      <c r="C63" t="str">
        <v>5285000395140</v>
      </c>
      <c r="D63" t="str">
        <v/>
      </c>
      <c r="E63" t="str">
        <v>قطعة</v>
      </c>
      <c r="F63">
        <v>10</v>
      </c>
      <c r="G63">
        <v>7.8</v>
      </c>
      <c r="H63">
        <v>0</v>
      </c>
      <c r="I63">
        <v>15</v>
      </c>
      <c r="J63">
        <f>F63-G63</f>
        <v>2.2</v>
      </c>
      <c r="K63" s="1">
        <f>IF(G63&gt;0, (F63-G63)/G63, 0)</f>
        <v>0.2821</v>
      </c>
      <c r="L63" s="2">
        <f>H63*G63</f>
        <v>0</v>
      </c>
      <c r="M63" s="2">
        <f>H63*F63</f>
        <v>0</v>
      </c>
      <c r="N63" s="2">
        <f>M63-L63</f>
        <v>0</v>
      </c>
      <c r="O63" t="str">
        <f>IF(H63&lt;=0, "نفد من المخزن", IF(H63&lt;=I63, "قارب على النفاد", "متوفر بالمخزن"))</f>
        <v>نفد من المخزن</v>
      </c>
      <c r="P63">
        <v>0</v>
      </c>
      <c r="Q63" t="str">
        <v>SKU-0160</v>
      </c>
      <c r="R63" t="str">
        <v/>
      </c>
      <c r="S63" t="str">
        <v/>
      </c>
      <c r="T63" t="str">
        <v/>
      </c>
    </row>
    <row r="64">
      <c r="A64">
        <v>61</v>
      </c>
      <c r="B64" t="str">
        <v>نودلز إندومي دجاج خاص 70 جم</v>
      </c>
      <c r="C64" t="str">
        <v>5285000395157</v>
      </c>
      <c r="D64" t="str">
        <v/>
      </c>
      <c r="E64" t="str">
        <v>قطعة</v>
      </c>
      <c r="F64">
        <v>10</v>
      </c>
      <c r="G64">
        <v>7.8</v>
      </c>
      <c r="H64">
        <v>0</v>
      </c>
      <c r="I64">
        <v>15</v>
      </c>
      <c r="J64">
        <f>F64-G64</f>
        <v>2.2</v>
      </c>
      <c r="K64" s="1">
        <f>IF(G64&gt;0, (F64-G64)/G64, 0)</f>
        <v>0.2821</v>
      </c>
      <c r="L64" s="2">
        <f>H64*G64</f>
        <v>0</v>
      </c>
      <c r="M64" s="2">
        <f>H64*F64</f>
        <v>0</v>
      </c>
      <c r="N64" s="2">
        <f>M64-L64</f>
        <v>0</v>
      </c>
      <c r="O64" t="str">
        <f>IF(H64&lt;=0, "نفد من المخزن", IF(H64&lt;=I64, "قارب على النفاد", "متوفر بالمخزن"))</f>
        <v>نفد من المخزن</v>
      </c>
      <c r="P64">
        <v>0</v>
      </c>
      <c r="Q64" t="str">
        <v>SKU-0161</v>
      </c>
      <c r="R64" t="str">
        <v/>
      </c>
      <c r="S64" t="str">
        <v/>
      </c>
      <c r="T64" t="str">
        <v/>
      </c>
    </row>
    <row r="65">
      <c r="A65">
        <v>62</v>
      </c>
      <c r="B65" t="str">
        <v>نودلز إندومي خضار 70 جم</v>
      </c>
      <c r="C65" t="str">
        <v>5285000395164</v>
      </c>
      <c r="D65" t="str">
        <v/>
      </c>
      <c r="E65" t="str">
        <v>قطعة</v>
      </c>
      <c r="F65">
        <v>10</v>
      </c>
      <c r="G65">
        <v>7.8</v>
      </c>
      <c r="H65">
        <v>0</v>
      </c>
      <c r="I65">
        <v>12</v>
      </c>
      <c r="J65">
        <f>F65-G65</f>
        <v>2.2</v>
      </c>
      <c r="K65" s="1">
        <f>IF(G65&gt;0, (F65-G65)/G65, 0)</f>
        <v>0.2821</v>
      </c>
      <c r="L65" s="2">
        <f>H65*G65</f>
        <v>0</v>
      </c>
      <c r="M65" s="2">
        <f>H65*F65</f>
        <v>0</v>
      </c>
      <c r="N65" s="2">
        <f>M65-L65</f>
        <v>0</v>
      </c>
      <c r="O65" t="str">
        <f>IF(H65&lt;=0, "نفد من المخزن", IF(H65&lt;=I65, "قارب على النفاد", "متوفر بالمخزن"))</f>
        <v>نفد من المخزن</v>
      </c>
      <c r="P65">
        <v>0</v>
      </c>
      <c r="Q65" t="str">
        <v>SKU-0162</v>
      </c>
      <c r="R65" t="str">
        <v/>
      </c>
      <c r="S65" t="str">
        <v/>
      </c>
      <c r="T65" t="str">
        <v/>
      </c>
    </row>
    <row r="66">
      <c r="A66">
        <v>63</v>
      </c>
      <c r="B66" t="str">
        <v>نودلز إندومي كاري دجاج 70 جم</v>
      </c>
      <c r="C66" t="str">
        <v>5285000395171</v>
      </c>
      <c r="D66" t="str">
        <v/>
      </c>
      <c r="E66" t="str">
        <v>قطعة</v>
      </c>
      <c r="F66">
        <v>10</v>
      </c>
      <c r="G66">
        <v>7.8</v>
      </c>
      <c r="H66">
        <v>0</v>
      </c>
      <c r="I66">
        <v>10</v>
      </c>
      <c r="J66">
        <f>F66-G66</f>
        <v>2.2</v>
      </c>
      <c r="K66" s="1">
        <f>IF(G66&gt;0, (F66-G66)/G66, 0)</f>
        <v>0.2821</v>
      </c>
      <c r="L66" s="2">
        <f>H66*G66</f>
        <v>0</v>
      </c>
      <c r="M66" s="2">
        <f>H66*F66</f>
        <v>0</v>
      </c>
      <c r="N66" s="2">
        <f>M66-L66</f>
        <v>0</v>
      </c>
      <c r="O66" t="str">
        <f>IF(H66&lt;=0, "نفد من المخزن", IF(H66&lt;=I66, "قارب على النفاد", "متوفر بالمخزن"))</f>
        <v>نفد من المخزن</v>
      </c>
      <c r="P66">
        <v>0</v>
      </c>
      <c r="Q66" t="str">
        <v>SKU-0163</v>
      </c>
      <c r="R66" t="str">
        <v/>
      </c>
      <c r="S66" t="str">
        <v/>
      </c>
      <c r="T66" t="str">
        <v/>
      </c>
    </row>
    <row r="67">
      <c r="A67">
        <v>64</v>
      </c>
      <c r="B67" t="str">
        <v>نودلز إندومي سجق 70 جم</v>
      </c>
      <c r="C67" t="str">
        <v>5285000395188</v>
      </c>
      <c r="D67" t="str">
        <v/>
      </c>
      <c r="E67" t="str">
        <v>قطعة</v>
      </c>
      <c r="F67">
        <v>10</v>
      </c>
      <c r="G67">
        <v>7.8</v>
      </c>
      <c r="H67">
        <v>0</v>
      </c>
      <c r="I67">
        <v>10</v>
      </c>
      <c r="J67">
        <f>F67-G67</f>
        <v>2.2</v>
      </c>
      <c r="K67" s="1">
        <f>IF(G67&gt;0, (F67-G67)/G67, 0)</f>
        <v>0.2821</v>
      </c>
      <c r="L67" s="2">
        <f>H67*G67</f>
        <v>0</v>
      </c>
      <c r="M67" s="2">
        <f>H67*F67</f>
        <v>0</v>
      </c>
      <c r="N67" s="2">
        <f>M67-L67</f>
        <v>0</v>
      </c>
      <c r="O67" t="str">
        <f>IF(H67&lt;=0, "نفد من المخزن", IF(H67&lt;=I67, "قارب على النفاد", "متوفر بالمخزن"))</f>
        <v>نفد من المخزن</v>
      </c>
      <c r="P67">
        <v>0</v>
      </c>
      <c r="Q67" t="str">
        <v>SKU-0164</v>
      </c>
      <c r="R67" t="str">
        <v/>
      </c>
      <c r="S67" t="str">
        <v/>
      </c>
      <c r="T67" t="str">
        <v/>
      </c>
    </row>
    <row r="68">
      <c r="A68">
        <v>65</v>
      </c>
      <c r="B68" t="str">
        <v>نودلز إندومي حجم جامبو خضار 120 جم</v>
      </c>
      <c r="C68" t="str">
        <v>5285000395195</v>
      </c>
      <c r="D68" t="str">
        <v/>
      </c>
      <c r="E68" t="str">
        <v>قطعة</v>
      </c>
      <c r="F68">
        <v>15</v>
      </c>
      <c r="G68">
        <v>12</v>
      </c>
      <c r="H68">
        <v>0</v>
      </c>
      <c r="I68">
        <v>8</v>
      </c>
      <c r="J68">
        <f>F68-G68</f>
        <v>3</v>
      </c>
      <c r="K68" s="1">
        <f>IF(G68&gt;0, (F68-G68)/G68, 0)</f>
        <v>0.25</v>
      </c>
      <c r="L68" s="2">
        <f>H68*G68</f>
        <v>0</v>
      </c>
      <c r="M68" s="2">
        <f>H68*F68</f>
        <v>0</v>
      </c>
      <c r="N68" s="2">
        <f>M68-L68</f>
        <v>0</v>
      </c>
      <c r="O68" t="str">
        <f>IF(H68&lt;=0, "نفد من المخزن", IF(H68&lt;=I68, "قارب على النفاد", "متوفر بالمخزن"))</f>
        <v>نفد من المخزن</v>
      </c>
      <c r="P68">
        <v>0</v>
      </c>
      <c r="Q68" t="str">
        <v>SKU-0165</v>
      </c>
      <c r="R68" t="str">
        <v/>
      </c>
      <c r="S68" t="str">
        <v/>
      </c>
      <c r="T68" t="str">
        <v/>
      </c>
    </row>
    <row r="69">
      <c r="A69">
        <v>66</v>
      </c>
      <c r="B69" t="str">
        <v>نودلز إندومي حجم جامبو لحم 120 جم</v>
      </c>
      <c r="C69" t="str">
        <v>5285000395201</v>
      </c>
      <c r="D69" t="str">
        <v/>
      </c>
      <c r="E69" t="str">
        <v>قطعة</v>
      </c>
      <c r="F69">
        <v>15</v>
      </c>
      <c r="G69">
        <v>12</v>
      </c>
      <c r="H69">
        <v>0</v>
      </c>
      <c r="I69">
        <v>8</v>
      </c>
      <c r="J69">
        <f>F69-G69</f>
        <v>3</v>
      </c>
      <c r="K69" s="1">
        <f>IF(G69&gt;0, (F69-G69)/G69, 0)</f>
        <v>0.25</v>
      </c>
      <c r="L69" s="2">
        <f>H69*G69</f>
        <v>0</v>
      </c>
      <c r="M69" s="2">
        <f>H69*F69</f>
        <v>0</v>
      </c>
      <c r="N69" s="2">
        <f>M69-L69</f>
        <v>0</v>
      </c>
      <c r="O69" t="str">
        <f>IF(H69&lt;=0, "نفد من المخزن", IF(H69&lt;=I69, "قارب على النفاد", "متوفر بالمخزن"))</f>
        <v>نفد من المخزن</v>
      </c>
      <c r="P69">
        <v>0</v>
      </c>
      <c r="Q69" t="str">
        <v>SKU-0166</v>
      </c>
      <c r="R69" t="str">
        <v/>
      </c>
      <c r="S69" t="str">
        <v/>
      </c>
      <c r="T69" t="str">
        <v/>
      </c>
    </row>
    <row r="70">
      <c r="A70">
        <v>67</v>
      </c>
      <c r="B70" t="str">
        <v>نودلز كورية حارة ساميانغ كاربونارا 130 جم</v>
      </c>
      <c r="C70" t="str">
        <v>8801073113524</v>
      </c>
      <c r="D70" t="str">
        <v/>
      </c>
      <c r="E70" t="str">
        <v>قطعة</v>
      </c>
      <c r="F70">
        <v>75</v>
      </c>
      <c r="G70">
        <v>60</v>
      </c>
      <c r="H70">
        <v>0</v>
      </c>
      <c r="I70">
        <v>4</v>
      </c>
      <c r="J70">
        <f>F70-G70</f>
        <v>15</v>
      </c>
      <c r="K70" s="1">
        <f>IF(G70&gt;0, (F70-G70)/G70, 0)</f>
        <v>0.25</v>
      </c>
      <c r="L70" s="2">
        <f>H70*G70</f>
        <v>0</v>
      </c>
      <c r="M70" s="2">
        <f>H70*F70</f>
        <v>0</v>
      </c>
      <c r="N70" s="2">
        <f>M70-L70</f>
        <v>0</v>
      </c>
      <c r="O70" t="str">
        <f>IF(H70&lt;=0, "نفد من المخزن", IF(H70&lt;=I70, "قارب على النفاد", "متوفر بالمخزن"))</f>
        <v>نفد من المخزن</v>
      </c>
      <c r="P70">
        <v>0</v>
      </c>
      <c r="Q70" t="str">
        <v>SKU-0167</v>
      </c>
      <c r="R70" t="str">
        <v/>
      </c>
      <c r="S70" t="str">
        <v/>
      </c>
      <c r="T70" t="str">
        <v/>
      </c>
    </row>
    <row r="71">
      <c r="A71">
        <v>68</v>
      </c>
      <c r="B71" t="str">
        <v>نودلز كورية حارة ساميانغ دجاج حار 140 جم</v>
      </c>
      <c r="C71" t="str">
        <v>8801073113531</v>
      </c>
      <c r="D71" t="str">
        <v/>
      </c>
      <c r="E71" t="str">
        <v>قطعة</v>
      </c>
      <c r="F71">
        <v>70</v>
      </c>
      <c r="G71">
        <v>56</v>
      </c>
      <c r="H71">
        <v>0</v>
      </c>
      <c r="I71">
        <v>4</v>
      </c>
      <c r="J71">
        <f>F71-G71</f>
        <v>14</v>
      </c>
      <c r="K71" s="1">
        <f>IF(G71&gt;0, (F71-G71)/G71, 0)</f>
        <v>0.25</v>
      </c>
      <c r="L71" s="2">
        <f>H71*G71</f>
        <v>0</v>
      </c>
      <c r="M71" s="2">
        <f>H71*F71</f>
        <v>0</v>
      </c>
      <c r="N71" s="2">
        <f>M71-L71</f>
        <v>0</v>
      </c>
      <c r="O71" t="str">
        <f>IF(H71&lt;=0, "نفد من المخزن", IF(H71&lt;=I71, "قارب على النفاد", "متوفر بالمخزن"))</f>
        <v>نفد من المخزن</v>
      </c>
      <c r="P71">
        <v>0</v>
      </c>
      <c r="Q71" t="str">
        <v>SKU-0168</v>
      </c>
      <c r="R71" t="str">
        <v/>
      </c>
      <c r="S71" t="str">
        <v/>
      </c>
      <c r="T71" t="str">
        <v/>
      </c>
    </row>
    <row r="72">
      <c r="A72">
        <v>69</v>
      </c>
      <c r="B72" t="str">
        <v>زيت عباد الشمس كريستال 800 مل</v>
      </c>
      <c r="C72" t="str">
        <v>6221054001018</v>
      </c>
      <c r="D72" t="str">
        <v/>
      </c>
      <c r="E72" t="str">
        <v>قطعة</v>
      </c>
      <c r="F72">
        <v>85</v>
      </c>
      <c r="G72">
        <v>74</v>
      </c>
      <c r="H72">
        <v>0</v>
      </c>
      <c r="I72">
        <v>8</v>
      </c>
      <c r="J72">
        <f>F72-G72</f>
        <v>11</v>
      </c>
      <c r="K72" s="1">
        <f>IF(G72&gt;0, (F72-G72)/G72, 0)</f>
        <v>0.1486</v>
      </c>
      <c r="L72" s="2">
        <f>H72*G72</f>
        <v>0</v>
      </c>
      <c r="M72" s="2">
        <f>H72*F72</f>
        <v>0</v>
      </c>
      <c r="N72" s="2">
        <f>M72-L72</f>
        <v>0</v>
      </c>
      <c r="O72" t="str">
        <f>IF(H72&lt;=0, "نفد من المخزن", IF(H72&lt;=I72, "قارب على النفاد", "متوفر بالمخزن"))</f>
        <v>نفد من المخزن</v>
      </c>
      <c r="P72">
        <v>0</v>
      </c>
      <c r="Q72" t="str">
        <v>SKU-0169</v>
      </c>
      <c r="R72" t="str">
        <v/>
      </c>
      <c r="S72" t="str">
        <v/>
      </c>
      <c r="T72" t="str">
        <v/>
      </c>
    </row>
    <row r="73">
      <c r="A73">
        <v>70</v>
      </c>
      <c r="B73" t="str">
        <v>زيت عباد الشمس كريستال 1.6 لتر</v>
      </c>
      <c r="C73" t="str">
        <v>6221054001025</v>
      </c>
      <c r="D73" t="str">
        <v/>
      </c>
      <c r="E73" t="str">
        <v>قطعة</v>
      </c>
      <c r="F73">
        <v>165</v>
      </c>
      <c r="G73">
        <v>144</v>
      </c>
      <c r="H73">
        <v>0</v>
      </c>
      <c r="I73">
        <v>5</v>
      </c>
      <c r="J73">
        <f>F73-G73</f>
        <v>21</v>
      </c>
      <c r="K73" s="1">
        <f>IF(G73&gt;0, (F73-G73)/G73, 0)</f>
        <v>0.1458</v>
      </c>
      <c r="L73" s="2">
        <f>H73*G73</f>
        <v>0</v>
      </c>
      <c r="M73" s="2">
        <f>H73*F73</f>
        <v>0</v>
      </c>
      <c r="N73" s="2">
        <f>M73-L73</f>
        <v>0</v>
      </c>
      <c r="O73" t="str">
        <f>IF(H73&lt;=0, "نفد من المخزن", IF(H73&lt;=I73, "قارب على النفاد", "متوفر بالمخزن"))</f>
        <v>نفد من المخزن</v>
      </c>
      <c r="P73">
        <v>0</v>
      </c>
      <c r="Q73" t="str">
        <v>SKU-0170</v>
      </c>
      <c r="R73" t="str">
        <v/>
      </c>
      <c r="S73" t="str">
        <v/>
      </c>
      <c r="T73" t="str">
        <v/>
      </c>
    </row>
    <row r="74">
      <c r="A74">
        <v>71</v>
      </c>
      <c r="B74" t="str">
        <v>زيت عباد الشمس كريستال 2.2 لتر</v>
      </c>
      <c r="C74" t="str">
        <v>6221054001032</v>
      </c>
      <c r="D74" t="str">
        <v/>
      </c>
      <c r="E74" t="str">
        <v>قطعة</v>
      </c>
      <c r="F74">
        <v>220</v>
      </c>
      <c r="G74">
        <v>192</v>
      </c>
      <c r="H74">
        <v>0</v>
      </c>
      <c r="I74">
        <v>4</v>
      </c>
      <c r="J74">
        <f>F74-G74</f>
        <v>28</v>
      </c>
      <c r="K74" s="1">
        <f>IF(G74&gt;0, (F74-G74)/G74, 0)</f>
        <v>0.1458</v>
      </c>
      <c r="L74" s="2">
        <f>H74*G74</f>
        <v>0</v>
      </c>
      <c r="M74" s="2">
        <f>H74*F74</f>
        <v>0</v>
      </c>
      <c r="N74" s="2">
        <f>M74-L74</f>
        <v>0</v>
      </c>
      <c r="O74" t="str">
        <f>IF(H74&lt;=0, "نفد من المخزن", IF(H74&lt;=I74, "قارب على النفاد", "متوفر بالمخزن"))</f>
        <v>نفد من المخزن</v>
      </c>
      <c r="P74">
        <v>0</v>
      </c>
      <c r="Q74" t="str">
        <v>SKU-0171</v>
      </c>
      <c r="R74" t="str">
        <v/>
      </c>
      <c r="S74" t="str">
        <v/>
      </c>
      <c r="T74" t="str">
        <v/>
      </c>
    </row>
    <row r="75">
      <c r="A75">
        <v>72</v>
      </c>
      <c r="B75" t="str">
        <v>زيت ذرة عافية بلس 800 مل</v>
      </c>
      <c r="C75" t="str">
        <v>6221054002015</v>
      </c>
      <c r="D75" t="str">
        <v/>
      </c>
      <c r="E75" t="str">
        <v>قطعة</v>
      </c>
      <c r="F75">
        <v>95</v>
      </c>
      <c r="G75">
        <v>83</v>
      </c>
      <c r="H75">
        <v>0</v>
      </c>
      <c r="I75">
        <v>8</v>
      </c>
      <c r="J75">
        <f>F75-G75</f>
        <v>12</v>
      </c>
      <c r="K75" s="1">
        <f>IF(G75&gt;0, (F75-G75)/G75, 0)</f>
        <v>0.1446</v>
      </c>
      <c r="L75" s="2">
        <f>H75*G75</f>
        <v>0</v>
      </c>
      <c r="M75" s="2">
        <f>H75*F75</f>
        <v>0</v>
      </c>
      <c r="N75" s="2">
        <f>M75-L75</f>
        <v>0</v>
      </c>
      <c r="O75" t="str">
        <f>IF(H75&lt;=0, "نفد من المخزن", IF(H75&lt;=I75, "قارب على النفاد", "متوفر بالمخزن"))</f>
        <v>نفد من المخزن</v>
      </c>
      <c r="P75">
        <v>0</v>
      </c>
      <c r="Q75" t="str">
        <v>SKU-0172</v>
      </c>
      <c r="R75" t="str">
        <v/>
      </c>
      <c r="S75" t="str">
        <v/>
      </c>
      <c r="T75" t="str">
        <v/>
      </c>
    </row>
    <row r="76">
      <c r="A76">
        <v>73</v>
      </c>
      <c r="B76" t="str">
        <v>زيت ذرة عافية بلس 1.6 لتر</v>
      </c>
      <c r="C76" t="str">
        <v>6221054002022</v>
      </c>
      <c r="D76" t="str">
        <v/>
      </c>
      <c r="E76" t="str">
        <v>قطعة</v>
      </c>
      <c r="F76">
        <v>185</v>
      </c>
      <c r="G76">
        <v>162</v>
      </c>
      <c r="H76">
        <v>0</v>
      </c>
      <c r="I76">
        <v>5</v>
      </c>
      <c r="J76">
        <f>F76-G76</f>
        <v>23</v>
      </c>
      <c r="K76" s="1">
        <f>IF(G76&gt;0, (F76-G76)/G76, 0)</f>
        <v>0.142</v>
      </c>
      <c r="L76" s="2">
        <f>H76*G76</f>
        <v>0</v>
      </c>
      <c r="M76" s="2">
        <f>H76*F76</f>
        <v>0</v>
      </c>
      <c r="N76" s="2">
        <f>M76-L76</f>
        <v>0</v>
      </c>
      <c r="O76" t="str">
        <f>IF(H76&lt;=0, "نفد من المخزن", IF(H76&lt;=I76, "قارب على النفاد", "متوفر بالمخزن"))</f>
        <v>نفد من المخزن</v>
      </c>
      <c r="P76">
        <v>0</v>
      </c>
      <c r="Q76" t="str">
        <v>SKU-0173</v>
      </c>
      <c r="R76" t="str">
        <v/>
      </c>
      <c r="S76" t="str">
        <v/>
      </c>
      <c r="T76" t="str">
        <v/>
      </c>
    </row>
    <row r="77">
      <c r="A77">
        <v>74</v>
      </c>
      <c r="B77" t="str">
        <v>زيت ذرة عافية بلس 2.2 لتر</v>
      </c>
      <c r="C77" t="str">
        <v>6221054002039</v>
      </c>
      <c r="D77" t="str">
        <v/>
      </c>
      <c r="E77" t="str">
        <v>قطعة</v>
      </c>
      <c r="F77">
        <v>245</v>
      </c>
      <c r="G77">
        <v>215</v>
      </c>
      <c r="H77">
        <v>0</v>
      </c>
      <c r="I77">
        <v>4</v>
      </c>
      <c r="J77">
        <f>F77-G77</f>
        <v>30</v>
      </c>
      <c r="K77" s="1">
        <f>IF(G77&gt;0, (F77-G77)/G77, 0)</f>
        <v>0.1395</v>
      </c>
      <c r="L77" s="2">
        <f>H77*G77</f>
        <v>0</v>
      </c>
      <c r="M77" s="2">
        <f>H77*F77</f>
        <v>0</v>
      </c>
      <c r="N77" s="2">
        <f>M77-L77</f>
        <v>0</v>
      </c>
      <c r="O77" t="str">
        <f>IF(H77&lt;=0, "نفد من المخزن", IF(H77&lt;=I77, "قارب على النفاد", "متوفر بالمخزن"))</f>
        <v>نفد من المخزن</v>
      </c>
      <c r="P77">
        <v>0</v>
      </c>
      <c r="Q77" t="str">
        <v>SKU-0174</v>
      </c>
      <c r="R77" t="str">
        <v/>
      </c>
      <c r="S77" t="str">
        <v/>
      </c>
      <c r="T77" t="str">
        <v/>
      </c>
    </row>
    <row r="78">
      <c r="A78">
        <v>75</v>
      </c>
      <c r="B78" t="str">
        <v>زيت عباد الشمس سلايت 750 مل</v>
      </c>
      <c r="C78" t="str">
        <v>6221054006013</v>
      </c>
      <c r="D78" t="str">
        <v/>
      </c>
      <c r="E78" t="str">
        <v>قطعة</v>
      </c>
      <c r="F78">
        <v>75</v>
      </c>
      <c r="G78">
        <v>64</v>
      </c>
      <c r="H78">
        <v>0</v>
      </c>
      <c r="I78">
        <v>8</v>
      </c>
      <c r="J78">
        <f>F78-G78</f>
        <v>11</v>
      </c>
      <c r="K78" s="1">
        <f>IF(G78&gt;0, (F78-G78)/G78, 0)</f>
        <v>0.1719</v>
      </c>
      <c r="L78" s="2">
        <f>H78*G78</f>
        <v>0</v>
      </c>
      <c r="M78" s="2">
        <f>H78*F78</f>
        <v>0</v>
      </c>
      <c r="N78" s="2">
        <f>M78-L78</f>
        <v>0</v>
      </c>
      <c r="O78" t="str">
        <f>IF(H78&lt;=0, "نفد من المخزن", IF(H78&lt;=I78, "قارب على النفاد", "متوفر بالمخزن"))</f>
        <v>نفد من المخزن</v>
      </c>
      <c r="P78">
        <v>0</v>
      </c>
      <c r="Q78" t="str">
        <v>SKU-0175</v>
      </c>
      <c r="R78" t="str">
        <v/>
      </c>
      <c r="S78" t="str">
        <v/>
      </c>
      <c r="T78" t="str">
        <v/>
      </c>
    </row>
    <row r="79">
      <c r="A79">
        <v>76</v>
      </c>
      <c r="B79" t="str">
        <v>زيت خليط قلية / هلا 700 مل</v>
      </c>
      <c r="C79" t="str">
        <v>6221054003012</v>
      </c>
      <c r="D79" t="str">
        <v/>
      </c>
      <c r="E79" t="str">
        <v>قطعة</v>
      </c>
      <c r="F79">
        <v>58</v>
      </c>
      <c r="G79">
        <v>49</v>
      </c>
      <c r="H79">
        <v>0</v>
      </c>
      <c r="I79">
        <v>10</v>
      </c>
      <c r="J79">
        <f>F79-G79</f>
        <v>9</v>
      </c>
      <c r="K79" s="1">
        <f>IF(G79&gt;0, (F79-G79)/G79, 0)</f>
        <v>0.1837</v>
      </c>
      <c r="L79" s="2">
        <f>H79*G79</f>
        <v>0</v>
      </c>
      <c r="M79" s="2">
        <f>H79*F79</f>
        <v>0</v>
      </c>
      <c r="N79" s="2">
        <f>M79-L79</f>
        <v>0</v>
      </c>
      <c r="O79" t="str">
        <f>IF(H79&lt;=0, "نفد من المخزن", IF(H79&lt;=I79, "قارب على النفاد", "متوفر بالمخزن"))</f>
        <v>نفد من المخزن</v>
      </c>
      <c r="P79">
        <v>0</v>
      </c>
      <c r="Q79" t="str">
        <v>SKU-0176</v>
      </c>
      <c r="R79" t="str">
        <v/>
      </c>
      <c r="S79" t="str">
        <v/>
      </c>
      <c r="T79" t="str">
        <v/>
      </c>
    </row>
    <row r="80">
      <c r="A80">
        <v>77</v>
      </c>
      <c r="B80" t="str">
        <v>زيت خليط حلوة 700 مل</v>
      </c>
      <c r="C80" t="str">
        <v>6221054003029</v>
      </c>
      <c r="D80" t="str">
        <v/>
      </c>
      <c r="E80" t="str">
        <v>قطعة</v>
      </c>
      <c r="F80">
        <v>58</v>
      </c>
      <c r="G80">
        <v>49</v>
      </c>
      <c r="H80">
        <v>0</v>
      </c>
      <c r="I80">
        <v>10</v>
      </c>
      <c r="J80">
        <f>F80-G80</f>
        <v>9</v>
      </c>
      <c r="K80" s="1">
        <f>IF(G80&gt;0, (F80-G80)/G80, 0)</f>
        <v>0.1837</v>
      </c>
      <c r="L80" s="2">
        <f>H80*G80</f>
        <v>0</v>
      </c>
      <c r="M80" s="2">
        <f>H80*F80</f>
        <v>0</v>
      </c>
      <c r="N80" s="2">
        <f>M80-L80</f>
        <v>0</v>
      </c>
      <c r="O80" t="str">
        <f>IF(H80&lt;=0, "نفد من المخزن", IF(H80&lt;=I80, "قارب على النفاد", "متوفر بالمخزن"))</f>
        <v>نفد من المخزن</v>
      </c>
      <c r="P80">
        <v>0</v>
      </c>
      <c r="Q80" t="str">
        <v>SKU-0177</v>
      </c>
      <c r="R80" t="str">
        <v/>
      </c>
      <c r="S80" t="str">
        <v/>
      </c>
      <c r="T80" t="str">
        <v/>
      </c>
    </row>
    <row r="81">
      <c r="A81">
        <v>78</v>
      </c>
      <c r="B81" t="str">
        <v>زيت خليط هنادي 1 لتر</v>
      </c>
      <c r="C81" t="str">
        <v>6221054003036</v>
      </c>
      <c r="D81" t="str">
        <v/>
      </c>
      <c r="E81" t="str">
        <v>قطعة</v>
      </c>
      <c r="F81">
        <v>75</v>
      </c>
      <c r="G81">
        <v>64</v>
      </c>
      <c r="H81">
        <v>0</v>
      </c>
      <c r="I81">
        <v>8</v>
      </c>
      <c r="J81">
        <f>F81-G81</f>
        <v>11</v>
      </c>
      <c r="K81" s="1">
        <f>IF(G81&gt;0, (F81-G81)/G81, 0)</f>
        <v>0.1719</v>
      </c>
      <c r="L81" s="2">
        <f>H81*G81</f>
        <v>0</v>
      </c>
      <c r="M81" s="2">
        <f>H81*F81</f>
        <v>0</v>
      </c>
      <c r="N81" s="2">
        <f>M81-L81</f>
        <v>0</v>
      </c>
      <c r="O81" t="str">
        <f>IF(H81&lt;=0, "نفد من المخزن", IF(H81&lt;=I81, "قارب على النفاد", "متوفر بالمخزن"))</f>
        <v>نفد من المخزن</v>
      </c>
      <c r="P81">
        <v>0</v>
      </c>
      <c r="Q81" t="str">
        <v>SKU-0178</v>
      </c>
      <c r="R81" t="str">
        <v/>
      </c>
      <c r="S81" t="str">
        <v/>
      </c>
      <c r="T81" t="str">
        <v/>
      </c>
    </row>
    <row r="82">
      <c r="A82">
        <v>79</v>
      </c>
      <c r="B82" t="str">
        <v>زيت زيتون وادي فود بكر ممتاز 500 مل</v>
      </c>
      <c r="C82" t="str">
        <v>6223000990100</v>
      </c>
      <c r="D82" t="str">
        <v/>
      </c>
      <c r="E82" t="str">
        <v>قطعة</v>
      </c>
      <c r="F82">
        <v>240</v>
      </c>
      <c r="G82">
        <v>205</v>
      </c>
      <c r="H82">
        <v>0</v>
      </c>
      <c r="I82">
        <v>3</v>
      </c>
      <c r="J82">
        <f>F82-G82</f>
        <v>35</v>
      </c>
      <c r="K82" s="1">
        <f>IF(G82&gt;0, (F82-G82)/G82, 0)</f>
        <v>0.1707</v>
      </c>
      <c r="L82" s="2">
        <f>H82*G82</f>
        <v>0</v>
      </c>
      <c r="M82" s="2">
        <f>H82*F82</f>
        <v>0</v>
      </c>
      <c r="N82" s="2">
        <f>M82-L82</f>
        <v>0</v>
      </c>
      <c r="O82" t="str">
        <f>IF(H82&lt;=0, "نفد من المخزن", IF(H82&lt;=I82, "قارب على النفاد", "متوفر بالمخزن"))</f>
        <v>نفد من المخزن</v>
      </c>
      <c r="P82">
        <v>0</v>
      </c>
      <c r="Q82" t="str">
        <v>SKU-0179</v>
      </c>
      <c r="R82" t="str">
        <v/>
      </c>
      <c r="S82" t="str">
        <v/>
      </c>
      <c r="T82" t="str">
        <v/>
      </c>
    </row>
    <row r="83">
      <c r="A83">
        <v>80</v>
      </c>
      <c r="B83" t="str">
        <v>زيت زيتون وادي فود بكر ممتاز 250 مل</v>
      </c>
      <c r="C83" t="str">
        <v>6223000990117</v>
      </c>
      <c r="D83" t="str">
        <v/>
      </c>
      <c r="E83" t="str">
        <v>قطعة</v>
      </c>
      <c r="F83">
        <v>130</v>
      </c>
      <c r="G83">
        <v>110</v>
      </c>
      <c r="H83">
        <v>0</v>
      </c>
      <c r="I83">
        <v>4</v>
      </c>
      <c r="J83">
        <f>F83-G83</f>
        <v>20</v>
      </c>
      <c r="K83" s="1">
        <f>IF(G83&gt;0, (F83-G83)/G83, 0)</f>
        <v>0.1818</v>
      </c>
      <c r="L83" s="2">
        <f>H83*G83</f>
        <v>0</v>
      </c>
      <c r="M83" s="2">
        <f>H83*F83</f>
        <v>0</v>
      </c>
      <c r="N83" s="2">
        <f>M83-L83</f>
        <v>0</v>
      </c>
      <c r="O83" t="str">
        <f>IF(H83&lt;=0, "نفد من المخزن", IF(H83&lt;=I83, "قارب على النفاد", "متوفر بالمخزن"))</f>
        <v>نفد من المخزن</v>
      </c>
      <c r="P83">
        <v>0</v>
      </c>
      <c r="Q83" t="str">
        <v>SKU-0180</v>
      </c>
      <c r="R83" t="str">
        <v/>
      </c>
      <c r="S83" t="str">
        <v/>
      </c>
      <c r="T83" t="str">
        <v/>
      </c>
    </row>
    <row r="84">
      <c r="A84">
        <v>81</v>
      </c>
      <c r="B84" t="str">
        <v>سمن كريستال أبيض 700 جم</v>
      </c>
      <c r="C84" t="str">
        <v>6221054004019</v>
      </c>
      <c r="D84" t="str">
        <v/>
      </c>
      <c r="E84" t="str">
        <v>قطعة</v>
      </c>
      <c r="F84">
        <v>85</v>
      </c>
      <c r="G84">
        <v>73</v>
      </c>
      <c r="H84">
        <v>0</v>
      </c>
      <c r="I84">
        <v>6</v>
      </c>
      <c r="J84">
        <f>F84-G84</f>
        <v>12</v>
      </c>
      <c r="K84" s="1">
        <f>IF(G84&gt;0, (F84-G84)/G84, 0)</f>
        <v>0.1644</v>
      </c>
      <c r="L84" s="2">
        <f>H84*G84</f>
        <v>0</v>
      </c>
      <c r="M84" s="2">
        <f>H84*F84</f>
        <v>0</v>
      </c>
      <c r="N84" s="2">
        <f>M84-L84</f>
        <v>0</v>
      </c>
      <c r="O84" t="str">
        <f>IF(H84&lt;=0, "نفد من المخزن", IF(H84&lt;=I84, "قارب على النفاد", "متوفر بالمخزن"))</f>
        <v>نفد من المخزن</v>
      </c>
      <c r="P84">
        <v>0</v>
      </c>
      <c r="Q84" t="str">
        <v>SKU-0181</v>
      </c>
      <c r="R84" t="str">
        <v/>
      </c>
      <c r="S84" t="str">
        <v/>
      </c>
      <c r="T84" t="str">
        <v/>
      </c>
    </row>
    <row r="85">
      <c r="A85">
        <v>82</v>
      </c>
      <c r="B85" t="str">
        <v>سمن كريستال أصفر بالزبدة 700 جم</v>
      </c>
      <c r="C85" t="str">
        <v>6221054004026</v>
      </c>
      <c r="D85" t="str">
        <v/>
      </c>
      <c r="E85" t="str">
        <v>قطعة</v>
      </c>
      <c r="F85">
        <v>85</v>
      </c>
      <c r="G85">
        <v>73</v>
      </c>
      <c r="H85">
        <v>0</v>
      </c>
      <c r="I85">
        <v>6</v>
      </c>
      <c r="J85">
        <f>F85-G85</f>
        <v>12</v>
      </c>
      <c r="K85" s="1">
        <f>IF(G85&gt;0, (F85-G85)/G85, 0)</f>
        <v>0.1644</v>
      </c>
      <c r="L85" s="2">
        <f>H85*G85</f>
        <v>0</v>
      </c>
      <c r="M85" s="2">
        <f>H85*F85</f>
        <v>0</v>
      </c>
      <c r="N85" s="2">
        <f>M85-L85</f>
        <v>0</v>
      </c>
      <c r="O85" t="str">
        <f>IF(H85&lt;=0, "نفد من المخزن", IF(H85&lt;=I85, "قارب على النفاد", "متوفر بالمخزن"))</f>
        <v>نفد من المخزن</v>
      </c>
      <c r="P85">
        <v>0</v>
      </c>
      <c r="Q85" t="str">
        <v>SKU-0182</v>
      </c>
      <c r="R85" t="str">
        <v/>
      </c>
      <c r="S85" t="str">
        <v/>
      </c>
      <c r="T85" t="str">
        <v/>
      </c>
    </row>
    <row r="86">
      <c r="A86">
        <v>83</v>
      </c>
      <c r="B86" t="str">
        <v>سمن كريستال أصفر 1.5 كجم</v>
      </c>
      <c r="C86" t="str">
        <v>6221054004033</v>
      </c>
      <c r="D86" t="str">
        <v/>
      </c>
      <c r="E86" t="str">
        <v>قطعة</v>
      </c>
      <c r="F86">
        <v>175</v>
      </c>
      <c r="G86">
        <v>150</v>
      </c>
      <c r="H86">
        <v>0</v>
      </c>
      <c r="I86">
        <v>4</v>
      </c>
      <c r="J86">
        <f>F86-G86</f>
        <v>25</v>
      </c>
      <c r="K86" s="1">
        <f>IF(G86&gt;0, (F86-G86)/G86, 0)</f>
        <v>0.1667</v>
      </c>
      <c r="L86" s="2">
        <f>H86*G86</f>
        <v>0</v>
      </c>
      <c r="M86" s="2">
        <f>H86*F86</f>
        <v>0</v>
      </c>
      <c r="N86" s="2">
        <f>M86-L86</f>
        <v>0</v>
      </c>
      <c r="O86" t="str">
        <f>IF(H86&lt;=0, "نفد من المخزن", IF(H86&lt;=I86, "قارب على النفاد", "متوفر بالمخزن"))</f>
        <v>نفد من المخزن</v>
      </c>
      <c r="P86">
        <v>0</v>
      </c>
      <c r="Q86" t="str">
        <v>SKU-0183</v>
      </c>
      <c r="R86" t="str">
        <v/>
      </c>
      <c r="S86" t="str">
        <v/>
      </c>
      <c r="T86" t="str">
        <v/>
      </c>
    </row>
    <row r="87">
      <c r="A87">
        <v>84</v>
      </c>
      <c r="B87" t="str">
        <v>سمن روابي برائحة القشطة 700 جم</v>
      </c>
      <c r="C87" t="str">
        <v>6221054005016</v>
      </c>
      <c r="D87" t="str">
        <v/>
      </c>
      <c r="E87" t="str">
        <v>قطعة</v>
      </c>
      <c r="F87">
        <v>85</v>
      </c>
      <c r="G87">
        <v>73</v>
      </c>
      <c r="H87">
        <v>0</v>
      </c>
      <c r="I87">
        <v>6</v>
      </c>
      <c r="J87">
        <f>F87-G87</f>
        <v>12</v>
      </c>
      <c r="K87" s="1">
        <f>IF(G87&gt;0, (F87-G87)/G87, 0)</f>
        <v>0.1644</v>
      </c>
      <c r="L87" s="2">
        <f>H87*G87</f>
        <v>0</v>
      </c>
      <c r="M87" s="2">
        <f>H87*F87</f>
        <v>0</v>
      </c>
      <c r="N87" s="2">
        <f>M87-L87</f>
        <v>0</v>
      </c>
      <c r="O87" t="str">
        <f>IF(H87&lt;=0, "نفد من المخزن", IF(H87&lt;=I87, "قارب على النفاد", "متوفر بالمخزن"))</f>
        <v>نفد من المخزن</v>
      </c>
      <c r="P87">
        <v>0</v>
      </c>
      <c r="Q87" t="str">
        <v>SKU-0184</v>
      </c>
      <c r="R87" t="str">
        <v/>
      </c>
      <c r="S87" t="str">
        <v/>
      </c>
      <c r="T87" t="str">
        <v/>
      </c>
    </row>
    <row r="88">
      <c r="A88">
        <v>85</v>
      </c>
      <c r="B88" t="str">
        <v>سمن روابي برائحة القشطة 1.5 كجم</v>
      </c>
      <c r="C88" t="str">
        <v>6221054005023</v>
      </c>
      <c r="D88" t="str">
        <v/>
      </c>
      <c r="E88" t="str">
        <v>قطعة</v>
      </c>
      <c r="F88">
        <v>175</v>
      </c>
      <c r="G88">
        <v>150</v>
      </c>
      <c r="H88">
        <v>0</v>
      </c>
      <c r="I88">
        <v>4</v>
      </c>
      <c r="J88">
        <f>F88-G88</f>
        <v>25</v>
      </c>
      <c r="K88" s="1">
        <f>IF(G88&gt;0, (F88-G88)/G88, 0)</f>
        <v>0.1667</v>
      </c>
      <c r="L88" s="2">
        <f>H88*G88</f>
        <v>0</v>
      </c>
      <c r="M88" s="2">
        <f>H88*F88</f>
        <v>0</v>
      </c>
      <c r="N88" s="2">
        <f>M88-L88</f>
        <v>0</v>
      </c>
      <c r="O88" t="str">
        <f>IF(H88&lt;=0, "نفد من المخزن", IF(H88&lt;=I88, "قارب على النفاد", "متوفر بالمخزن"))</f>
        <v>نفد من المخزن</v>
      </c>
      <c r="P88">
        <v>0</v>
      </c>
      <c r="Q88" t="str">
        <v>SKU-0185</v>
      </c>
      <c r="R88" t="str">
        <v/>
      </c>
      <c r="S88" t="str">
        <v/>
      </c>
      <c r="T88" t="str">
        <v/>
      </c>
    </row>
    <row r="89">
      <c r="A89">
        <v>86</v>
      </c>
      <c r="B89" t="str">
        <v>سمن جنة بطعم الزبدة الفلاحي 700 جم</v>
      </c>
      <c r="C89" t="str">
        <v>6221054005030</v>
      </c>
      <c r="D89" t="str">
        <v/>
      </c>
      <c r="E89" t="str">
        <v>قطعة</v>
      </c>
      <c r="F89">
        <v>85</v>
      </c>
      <c r="G89">
        <v>73</v>
      </c>
      <c r="H89">
        <v>0</v>
      </c>
      <c r="I89">
        <v>6</v>
      </c>
      <c r="J89">
        <f>F89-G89</f>
        <v>12</v>
      </c>
      <c r="K89" s="1">
        <f>IF(G89&gt;0, (F89-G89)/G89, 0)</f>
        <v>0.1644</v>
      </c>
      <c r="L89" s="2">
        <f>H89*G89</f>
        <v>0</v>
      </c>
      <c r="M89" s="2">
        <f>H89*F89</f>
        <v>0</v>
      </c>
      <c r="N89" s="2">
        <f>M89-L89</f>
        <v>0</v>
      </c>
      <c r="O89" t="str">
        <f>IF(H89&lt;=0, "نفد من المخزن", IF(H89&lt;=I89, "قارب على النفاد", "متوفر بالمخزن"))</f>
        <v>نفد من المخزن</v>
      </c>
      <c r="P89">
        <v>0</v>
      </c>
      <c r="Q89" t="str">
        <v>SKU-0186</v>
      </c>
      <c r="R89" t="str">
        <v/>
      </c>
      <c r="S89" t="str">
        <v/>
      </c>
      <c r="T89" t="str">
        <v/>
      </c>
    </row>
    <row r="90">
      <c r="A90">
        <v>87</v>
      </c>
      <c r="B90" t="str">
        <v>سمن جنة بطعم الزبدة الفلاحي 1.5 كجم</v>
      </c>
      <c r="C90" t="str">
        <v>6221054005047</v>
      </c>
      <c r="D90" t="str">
        <v/>
      </c>
      <c r="E90" t="str">
        <v>قطعة</v>
      </c>
      <c r="F90">
        <v>175</v>
      </c>
      <c r="G90">
        <v>150</v>
      </c>
      <c r="H90">
        <v>0</v>
      </c>
      <c r="I90">
        <v>4</v>
      </c>
      <c r="J90">
        <f>F90-G90</f>
        <v>25</v>
      </c>
      <c r="K90" s="1">
        <f>IF(G90&gt;0, (F90-G90)/G90, 0)</f>
        <v>0.1667</v>
      </c>
      <c r="L90" s="2">
        <f>H90*G90</f>
        <v>0</v>
      </c>
      <c r="M90" s="2">
        <f>H90*F90</f>
        <v>0</v>
      </c>
      <c r="N90" s="2">
        <f>M90-L90</f>
        <v>0</v>
      </c>
      <c r="O90" t="str">
        <f>IF(H90&lt;=0, "نفد من المخزن", IF(H90&lt;=I90, "قارب على النفاد", "متوفر بالمخزن"))</f>
        <v>نفد من المخزن</v>
      </c>
      <c r="P90">
        <v>0</v>
      </c>
      <c r="Q90" t="str">
        <v>SKU-0187</v>
      </c>
      <c r="R90" t="str">
        <v/>
      </c>
      <c r="S90" t="str">
        <v/>
      </c>
      <c r="T90" t="str">
        <v/>
      </c>
    </row>
    <row r="91">
      <c r="A91">
        <v>88</v>
      </c>
      <c r="B91" t="str">
        <v>سمن أميرة خليط 700 جم</v>
      </c>
      <c r="C91" t="str">
        <v>6221054005054</v>
      </c>
      <c r="D91" t="str">
        <v/>
      </c>
      <c r="E91" t="str">
        <v>قطعة</v>
      </c>
      <c r="F91">
        <v>80</v>
      </c>
      <c r="G91">
        <v>68</v>
      </c>
      <c r="H91">
        <v>0</v>
      </c>
      <c r="I91">
        <v>6</v>
      </c>
      <c r="J91">
        <f>F91-G91</f>
        <v>12</v>
      </c>
      <c r="K91" s="1">
        <f>IF(G91&gt;0, (F91-G91)/G91, 0)</f>
        <v>0.1765</v>
      </c>
      <c r="L91" s="2">
        <f>H91*G91</f>
        <v>0</v>
      </c>
      <c r="M91" s="2">
        <f>H91*F91</f>
        <v>0</v>
      </c>
      <c r="N91" s="2">
        <f>M91-L91</f>
        <v>0</v>
      </c>
      <c r="O91" t="str">
        <f>IF(H91&lt;=0, "نفد من المخزن", IF(H91&lt;=I91, "قارب على النفاد", "متوفر بالمخزن"))</f>
        <v>نفد من المخزن</v>
      </c>
      <c r="P91">
        <v>0</v>
      </c>
      <c r="Q91" t="str">
        <v>SKU-0188</v>
      </c>
      <c r="R91" t="str">
        <v/>
      </c>
      <c r="S91" t="str">
        <v/>
      </c>
      <c r="T91" t="str">
        <v/>
      </c>
    </row>
    <row r="92">
      <c r="A92">
        <v>89</v>
      </c>
      <c r="B92" t="str">
        <v>صلصة طماطم هاينز برطمان 360 جم</v>
      </c>
      <c r="C92" t="str">
        <v>6221007001010</v>
      </c>
      <c r="D92" t="str">
        <v/>
      </c>
      <c r="E92" t="str">
        <v>قطعة</v>
      </c>
      <c r="F92">
        <v>27</v>
      </c>
      <c r="G92">
        <v>21.5</v>
      </c>
      <c r="H92">
        <v>0</v>
      </c>
      <c r="I92">
        <v>10</v>
      </c>
      <c r="J92">
        <f>F92-G92</f>
        <v>5.5</v>
      </c>
      <c r="K92" s="1">
        <f>IF(G92&gt;0, (F92-G92)/G92, 0)</f>
        <v>0.2558</v>
      </c>
      <c r="L92" s="2">
        <f>H92*G92</f>
        <v>0</v>
      </c>
      <c r="M92" s="2">
        <f>H92*F92</f>
        <v>0</v>
      </c>
      <c r="N92" s="2">
        <f>M92-L92</f>
        <v>0</v>
      </c>
      <c r="O92" t="str">
        <f>IF(H92&lt;=0, "نفد من المخزن", IF(H92&lt;=I92, "قارب على النفاد", "متوفر بالمخزن"))</f>
        <v>نفد من المخزن</v>
      </c>
      <c r="P92">
        <v>0</v>
      </c>
      <c r="Q92" t="str">
        <v>SKU-0189</v>
      </c>
      <c r="R92" t="str">
        <v/>
      </c>
      <c r="S92" t="str">
        <v/>
      </c>
      <c r="T92" t="str">
        <v/>
      </c>
    </row>
    <row r="93">
      <c r="A93">
        <v>90</v>
      </c>
      <c r="B93" t="str">
        <v>صلصة طماطم هاينز ظرف 35 جم</v>
      </c>
      <c r="C93" t="str">
        <v>6221007001027</v>
      </c>
      <c r="D93" t="str">
        <v/>
      </c>
      <c r="E93" t="str">
        <v>قطعة</v>
      </c>
      <c r="F93">
        <v>4.5</v>
      </c>
      <c r="G93">
        <v>3.2</v>
      </c>
      <c r="H93">
        <v>0</v>
      </c>
      <c r="I93">
        <v>20</v>
      </c>
      <c r="J93">
        <f>F93-G93</f>
        <v>1.3</v>
      </c>
      <c r="K93" s="1">
        <f>IF(G93&gt;0, (F93-G93)/G93, 0)</f>
        <v>0.4062</v>
      </c>
      <c r="L93" s="2">
        <f>H93*G93</f>
        <v>0</v>
      </c>
      <c r="M93" s="2">
        <f>H93*F93</f>
        <v>0</v>
      </c>
      <c r="N93" s="2">
        <f>M93-L93</f>
        <v>0</v>
      </c>
      <c r="O93" t="str">
        <f>IF(H93&lt;=0, "نفد من المخزن", IF(H93&lt;=I93, "قارب على النفاد", "متوفر بالمخزن"))</f>
        <v>نفد من المخزن</v>
      </c>
      <c r="P93">
        <v>0</v>
      </c>
      <c r="Q93" t="str">
        <v>SKU-0190</v>
      </c>
      <c r="R93" t="str">
        <v/>
      </c>
      <c r="S93" t="str">
        <v/>
      </c>
      <c r="T93" t="str">
        <v/>
      </c>
    </row>
    <row r="94">
      <c r="A94">
        <v>91</v>
      </c>
      <c r="B94" t="str">
        <v>صلصة طماطم قها برطمان 380 جم</v>
      </c>
      <c r="C94" t="str">
        <v>6221018001016</v>
      </c>
      <c r="D94" t="str">
        <v/>
      </c>
      <c r="E94" t="str">
        <v>قطعة</v>
      </c>
      <c r="F94">
        <v>22</v>
      </c>
      <c r="G94">
        <v>17.5</v>
      </c>
      <c r="H94">
        <v>0</v>
      </c>
      <c r="I94">
        <v>8</v>
      </c>
      <c r="J94">
        <f>F94-G94</f>
        <v>4.5</v>
      </c>
      <c r="K94" s="1">
        <f>IF(G94&gt;0, (F94-G94)/G94, 0)</f>
        <v>0.2571</v>
      </c>
      <c r="L94" s="2">
        <f>H94*G94</f>
        <v>0</v>
      </c>
      <c r="M94" s="2">
        <f>H94*F94</f>
        <v>0</v>
      </c>
      <c r="N94" s="2">
        <f>M94-L94</f>
        <v>0</v>
      </c>
      <c r="O94" t="str">
        <f>IF(H94&lt;=0, "نفد من المخزن", IF(H94&lt;=I94, "قارب على النفاد", "متوفر بالمخزن"))</f>
        <v>نفد من المخزن</v>
      </c>
      <c r="P94">
        <v>0</v>
      </c>
      <c r="Q94" t="str">
        <v>SKU-0191</v>
      </c>
      <c r="R94" t="str">
        <v/>
      </c>
      <c r="S94" t="str">
        <v/>
      </c>
      <c r="T94" t="str">
        <v/>
      </c>
    </row>
    <row r="95">
      <c r="A95">
        <v>92</v>
      </c>
      <c r="B95" t="str">
        <v>صلصة طماطم هارفست برطمان 375 جم</v>
      </c>
      <c r="C95" t="str">
        <v>6221018002013</v>
      </c>
      <c r="D95" t="str">
        <v/>
      </c>
      <c r="E95" t="str">
        <v>قطعة</v>
      </c>
      <c r="F95">
        <v>24</v>
      </c>
      <c r="G95">
        <v>19</v>
      </c>
      <c r="H95">
        <v>0</v>
      </c>
      <c r="I95">
        <v>8</v>
      </c>
      <c r="J95">
        <f>F95-G95</f>
        <v>5</v>
      </c>
      <c r="K95" s="1">
        <f>IF(G95&gt;0, (F95-G95)/G95, 0)</f>
        <v>0.2632</v>
      </c>
      <c r="L95" s="2">
        <f>H95*G95</f>
        <v>0</v>
      </c>
      <c r="M95" s="2">
        <f>H95*F95</f>
        <v>0</v>
      </c>
      <c r="N95" s="2">
        <f>M95-L95</f>
        <v>0</v>
      </c>
      <c r="O95" t="str">
        <f>IF(H95&lt;=0, "نفد من المخزن", IF(H95&lt;=I95, "قارب على النفاد", "متوفر بالمخزن"))</f>
        <v>نفد من المخزن</v>
      </c>
      <c r="P95">
        <v>0</v>
      </c>
      <c r="Q95" t="str">
        <v>SKU-0192</v>
      </c>
      <c r="R95" t="str">
        <v/>
      </c>
      <c r="S95" t="str">
        <v/>
      </c>
      <c r="T95" t="str">
        <v/>
      </c>
    </row>
    <row r="96">
      <c r="A96">
        <v>93</v>
      </c>
      <c r="B96" t="str">
        <v>كاتشب هاينز عبوة ضغط 340 جم</v>
      </c>
      <c r="C96" t="str">
        <v>6221007002017</v>
      </c>
      <c r="D96" t="str">
        <v/>
      </c>
      <c r="E96" t="str">
        <v>قطعة</v>
      </c>
      <c r="F96">
        <v>42</v>
      </c>
      <c r="G96">
        <v>33</v>
      </c>
      <c r="H96">
        <v>0</v>
      </c>
      <c r="I96">
        <v>7</v>
      </c>
      <c r="J96">
        <f>F96-G96</f>
        <v>9</v>
      </c>
      <c r="K96" s="1">
        <f>IF(G96&gt;0, (F96-G96)/G96, 0)</f>
        <v>0.2727</v>
      </c>
      <c r="L96" s="2">
        <f>H96*G96</f>
        <v>0</v>
      </c>
      <c r="M96" s="2">
        <f>H96*F96</f>
        <v>0</v>
      </c>
      <c r="N96" s="2">
        <f>M96-L96</f>
        <v>0</v>
      </c>
      <c r="O96" t="str">
        <f>IF(H96&lt;=0, "نفد من المخزن", IF(H96&lt;=I96, "قارب على النفاد", "متوفر بالمخزن"))</f>
        <v>نفد من المخزن</v>
      </c>
      <c r="P96">
        <v>0</v>
      </c>
      <c r="Q96" t="str">
        <v>SKU-0193</v>
      </c>
      <c r="R96" t="str">
        <v/>
      </c>
      <c r="S96" t="str">
        <v/>
      </c>
      <c r="T96" t="str">
        <v/>
      </c>
    </row>
    <row r="97">
      <c r="A97">
        <v>94</v>
      </c>
      <c r="B97" t="str">
        <v>كاتشب هاينز عبوة ضغط 500 جم</v>
      </c>
      <c r="C97" t="str">
        <v>6221007002024</v>
      </c>
      <c r="D97" t="str">
        <v/>
      </c>
      <c r="E97" t="str">
        <v>قطعة</v>
      </c>
      <c r="F97">
        <v>60</v>
      </c>
      <c r="G97">
        <v>48</v>
      </c>
      <c r="H97">
        <v>0</v>
      </c>
      <c r="I97">
        <v>5</v>
      </c>
      <c r="J97">
        <f>F97-G97</f>
        <v>12</v>
      </c>
      <c r="K97" s="1">
        <f>IF(G97&gt;0, (F97-G97)/G97, 0)</f>
        <v>0.25</v>
      </c>
      <c r="L97" s="2">
        <f>H97*G97</f>
        <v>0</v>
      </c>
      <c r="M97" s="2">
        <f>H97*F97</f>
        <v>0</v>
      </c>
      <c r="N97" s="2">
        <f>M97-L97</f>
        <v>0</v>
      </c>
      <c r="O97" t="str">
        <f>IF(H97&lt;=0, "نفد من المخزن", IF(H97&lt;=I97, "قارب على النفاد", "متوفر بالمخزن"))</f>
        <v>نفد من المخزن</v>
      </c>
      <c r="P97">
        <v>0</v>
      </c>
      <c r="Q97" t="str">
        <v>SKU-0194</v>
      </c>
      <c r="R97" t="str">
        <v/>
      </c>
      <c r="S97" t="str">
        <v/>
      </c>
      <c r="T97" t="str">
        <v/>
      </c>
    </row>
    <row r="98">
      <c r="A98">
        <v>95</v>
      </c>
      <c r="B98" t="str">
        <v>كاتشب هاينز حار 340 جم</v>
      </c>
      <c r="C98" t="str">
        <v>6221007002031</v>
      </c>
      <c r="D98" t="str">
        <v/>
      </c>
      <c r="E98" t="str">
        <v>قطعة</v>
      </c>
      <c r="F98">
        <v>42</v>
      </c>
      <c r="G98">
        <v>33</v>
      </c>
      <c r="H98">
        <v>0</v>
      </c>
      <c r="I98">
        <v>5</v>
      </c>
      <c r="J98">
        <f>F98-G98</f>
        <v>9</v>
      </c>
      <c r="K98" s="1">
        <f>IF(G98&gt;0, (F98-G98)/G98, 0)</f>
        <v>0.2727</v>
      </c>
      <c r="L98" s="2">
        <f>H98*G98</f>
        <v>0</v>
      </c>
      <c r="M98" s="2">
        <f>H98*F98</f>
        <v>0</v>
      </c>
      <c r="N98" s="2">
        <f>M98-L98</f>
        <v>0</v>
      </c>
      <c r="O98" t="str">
        <f>IF(H98&lt;=0, "نفد من المخزن", IF(H98&lt;=I98, "قارب على النفاد", "متوفر بالمخزن"))</f>
        <v>نفد من المخزن</v>
      </c>
      <c r="P98">
        <v>0</v>
      </c>
      <c r="Q98" t="str">
        <v>SKU-0195</v>
      </c>
      <c r="R98" t="str">
        <v/>
      </c>
      <c r="S98" t="str">
        <v/>
      </c>
      <c r="T98" t="str">
        <v/>
      </c>
    </row>
    <row r="99">
      <c r="A99">
        <v>96</v>
      </c>
      <c r="B99" t="str">
        <v>مايونيز هاينز 310 جم</v>
      </c>
      <c r="C99" t="str">
        <v>6221007003014</v>
      </c>
      <c r="D99" t="str">
        <v/>
      </c>
      <c r="E99" t="str">
        <v>قطعة</v>
      </c>
      <c r="F99">
        <v>48</v>
      </c>
      <c r="G99">
        <v>38</v>
      </c>
      <c r="H99">
        <v>0</v>
      </c>
      <c r="I99">
        <v>5</v>
      </c>
      <c r="J99">
        <f>F99-G99</f>
        <v>10</v>
      </c>
      <c r="K99" s="1">
        <f>IF(G99&gt;0, (F99-G99)/G99, 0)</f>
        <v>0.2632</v>
      </c>
      <c r="L99" s="2">
        <f>H99*G99</f>
        <v>0</v>
      </c>
      <c r="M99" s="2">
        <f>H99*F99</f>
        <v>0</v>
      </c>
      <c r="N99" s="2">
        <f>M99-L99</f>
        <v>0</v>
      </c>
      <c r="O99" t="str">
        <f>IF(H99&lt;=0, "نفد من المخزن", IF(H99&lt;=I99, "قارب على النفاد", "متوفر بالمخزن"))</f>
        <v>نفد من المخزن</v>
      </c>
      <c r="P99">
        <v>0</v>
      </c>
      <c r="Q99" t="str">
        <v>SKU-0196</v>
      </c>
      <c r="R99" t="str">
        <v/>
      </c>
      <c r="S99" t="str">
        <v/>
      </c>
      <c r="T99" t="str">
        <v/>
      </c>
    </row>
    <row r="100">
      <c r="A100">
        <v>97</v>
      </c>
      <c r="B100" t="str">
        <v>ماسترد هاينز خردل 235 جم</v>
      </c>
      <c r="C100" t="str">
        <v>6221007003021</v>
      </c>
      <c r="D100" t="str">
        <v/>
      </c>
      <c r="E100" t="str">
        <v>قطعة</v>
      </c>
      <c r="F100">
        <v>38</v>
      </c>
      <c r="G100">
        <v>30</v>
      </c>
      <c r="H100">
        <v>0</v>
      </c>
      <c r="I100">
        <v>4</v>
      </c>
      <c r="J100">
        <f>F100-G100</f>
        <v>8</v>
      </c>
      <c r="K100" s="1">
        <f>IF(G100&gt;0, (F100-G100)/G100, 0)</f>
        <v>0.2667</v>
      </c>
      <c r="L100" s="2">
        <f>H100*G100</f>
        <v>0</v>
      </c>
      <c r="M100" s="2">
        <f>H100*F100</f>
        <v>0</v>
      </c>
      <c r="N100" s="2">
        <f>M100-L100</f>
        <v>0</v>
      </c>
      <c r="O100" t="str">
        <f>IF(H100&lt;=0, "نفد من المخزن", IF(H100&lt;=I100, "قارب على النفاد", "متوفر بالمخزن"))</f>
        <v>نفد من المخزن</v>
      </c>
      <c r="P100">
        <v>0</v>
      </c>
      <c r="Q100" t="str">
        <v>SKU-0197</v>
      </c>
      <c r="R100" t="str">
        <v/>
      </c>
      <c r="S100" t="str">
        <v/>
      </c>
      <c r="T100" t="str">
        <v/>
      </c>
    </row>
    <row r="101">
      <c r="A101">
        <v>98</v>
      </c>
      <c r="B101" t="str">
        <v>صوص باربيكيو هاينز 400 جم</v>
      </c>
      <c r="C101" t="str">
        <v>6221007003038</v>
      </c>
      <c r="D101" t="str">
        <v/>
      </c>
      <c r="E101" t="str">
        <v>قطعة</v>
      </c>
      <c r="F101">
        <v>55</v>
      </c>
      <c r="G101">
        <v>44</v>
      </c>
      <c r="H101">
        <v>0</v>
      </c>
      <c r="I101">
        <v>4</v>
      </c>
      <c r="J101">
        <f>F101-G101</f>
        <v>11</v>
      </c>
      <c r="K101" s="1">
        <f>IF(G101&gt;0, (F101-G101)/G101, 0)</f>
        <v>0.25</v>
      </c>
      <c r="L101" s="2">
        <f>H101*G101</f>
        <v>0</v>
      </c>
      <c r="M101" s="2">
        <f>H101*F101</f>
        <v>0</v>
      </c>
      <c r="N101" s="2">
        <f>M101-L101</f>
        <v>0</v>
      </c>
      <c r="O101" t="str">
        <f>IF(H101&lt;=0, "نفد من المخزن", IF(H101&lt;=I101, "قارب على النفاد", "متوفر بالمخزن"))</f>
        <v>نفد من المخزن</v>
      </c>
      <c r="P101">
        <v>0</v>
      </c>
      <c r="Q101" t="str">
        <v>SKU-0198</v>
      </c>
      <c r="R101" t="str">
        <v/>
      </c>
      <c r="S101" t="str">
        <v/>
      </c>
      <c r="T101" t="str">
        <v/>
      </c>
    </row>
    <row r="102">
      <c r="A102">
        <v>99</v>
      </c>
      <c r="B102" t="str">
        <v>هوت صوص شطة حارة أمريكان جاردن 148 مل</v>
      </c>
      <c r="C102" t="str">
        <v>017273514801</v>
      </c>
      <c r="D102" t="str">
        <v/>
      </c>
      <c r="E102" t="str">
        <v>قطعة</v>
      </c>
      <c r="F102">
        <v>35</v>
      </c>
      <c r="G102">
        <v>28</v>
      </c>
      <c r="H102">
        <v>0</v>
      </c>
      <c r="I102">
        <v>4</v>
      </c>
      <c r="J102">
        <f>F102-G102</f>
        <v>7</v>
      </c>
      <c r="K102" s="1">
        <f>IF(G102&gt;0, (F102-G102)/G102, 0)</f>
        <v>0.25</v>
      </c>
      <c r="L102" s="2">
        <f>H102*G102</f>
        <v>0</v>
      </c>
      <c r="M102" s="2">
        <f>H102*F102</f>
        <v>0</v>
      </c>
      <c r="N102" s="2">
        <f>M102-L102</f>
        <v>0</v>
      </c>
      <c r="O102" t="str">
        <f>IF(H102&lt;=0, "نفد من المخزن", IF(H102&lt;=I102, "قارب على النفاد", "متوفر بالمخزن"))</f>
        <v>نفد من المخزن</v>
      </c>
      <c r="P102">
        <v>0</v>
      </c>
      <c r="Q102" t="str">
        <v>SKU-0199</v>
      </c>
      <c r="R102" t="str">
        <v/>
      </c>
      <c r="S102" t="str">
        <v/>
      </c>
      <c r="T102" t="str">
        <v/>
      </c>
    </row>
    <row r="103">
      <c r="A103">
        <v>100</v>
      </c>
      <c r="B103" t="str">
        <v>صويا صوص هاينز 150 مل</v>
      </c>
      <c r="C103" t="str">
        <v>6221007003045</v>
      </c>
      <c r="D103" t="str">
        <v/>
      </c>
      <c r="E103" t="str">
        <v>قطعة</v>
      </c>
      <c r="F103">
        <v>40</v>
      </c>
      <c r="G103">
        <v>31.5</v>
      </c>
      <c r="H103">
        <v>0</v>
      </c>
      <c r="I103">
        <v>4</v>
      </c>
      <c r="J103">
        <f>F103-G103</f>
        <v>8.5</v>
      </c>
      <c r="K103" s="1">
        <f>IF(G103&gt;0, (F103-G103)/G103, 0)</f>
        <v>0.2698</v>
      </c>
      <c r="L103" s="2">
        <f>H103*G103</f>
        <v>0</v>
      </c>
      <c r="M103" s="2">
        <f>H103*F103</f>
        <v>0</v>
      </c>
      <c r="N103" s="2">
        <f>M103-L103</f>
        <v>0</v>
      </c>
      <c r="O103" t="str">
        <f>IF(H103&lt;=0, "نفد من المخزن", IF(H103&lt;=I103, "قارب على النفاد", "متوفر بالمخزن"))</f>
        <v>نفد من المخزن</v>
      </c>
      <c r="P103">
        <v>0</v>
      </c>
      <c r="Q103" t="str">
        <v>SKU-0200</v>
      </c>
      <c r="R103" t="str">
        <v/>
      </c>
      <c r="S103" t="str">
        <v/>
      </c>
      <c r="T103" t="str">
        <v/>
      </c>
    </row>
    <row r="104">
      <c r="A104">
        <v>101</v>
      </c>
      <c r="B104" t="str">
        <v>خل قصب طبيعي هاينز 1 لتر</v>
      </c>
      <c r="C104" t="str">
        <v>6221007004011</v>
      </c>
      <c r="D104" t="str">
        <v/>
      </c>
      <c r="E104" t="str">
        <v>قطعة</v>
      </c>
      <c r="F104">
        <v>18</v>
      </c>
      <c r="G104">
        <v>13.5</v>
      </c>
      <c r="H104">
        <v>0</v>
      </c>
      <c r="I104">
        <v>8</v>
      </c>
      <c r="J104">
        <f>F104-G104</f>
        <v>4.5</v>
      </c>
      <c r="K104" s="1">
        <f>IF(G104&gt;0, (F104-G104)/G104, 0)</f>
        <v>0.3333</v>
      </c>
      <c r="L104" s="2">
        <f>H104*G104</f>
        <v>0</v>
      </c>
      <c r="M104" s="2">
        <f>H104*F104</f>
        <v>0</v>
      </c>
      <c r="N104" s="2">
        <f>M104-L104</f>
        <v>0</v>
      </c>
      <c r="O104" t="str">
        <f>IF(H104&lt;=0, "نفد من المخزن", IF(H104&lt;=I104, "قارب على النفاد", "متوفر بالمخزن"))</f>
        <v>نفد من المخزن</v>
      </c>
      <c r="P104">
        <v>0</v>
      </c>
      <c r="Q104" t="str">
        <v>SKU-0201</v>
      </c>
      <c r="R104" t="str">
        <v/>
      </c>
      <c r="S104" t="str">
        <v/>
      </c>
      <c r="T104" t="str">
        <v/>
      </c>
    </row>
    <row r="105">
      <c r="A105">
        <v>102</v>
      </c>
      <c r="B105" t="str">
        <v>خل طبيعي توليدو 1 لتر</v>
      </c>
      <c r="C105" t="str">
        <v>6221007004028</v>
      </c>
      <c r="D105" t="str">
        <v/>
      </c>
      <c r="E105" t="str">
        <v>قطعة</v>
      </c>
      <c r="F105">
        <v>12</v>
      </c>
      <c r="G105">
        <v>8.5</v>
      </c>
      <c r="H105">
        <v>0</v>
      </c>
      <c r="I105">
        <v>10</v>
      </c>
      <c r="J105">
        <f>F105-G105</f>
        <v>3.5</v>
      </c>
      <c r="K105" s="1">
        <f>IF(G105&gt;0, (F105-G105)/G105, 0)</f>
        <v>0.4118</v>
      </c>
      <c r="L105" s="2">
        <f>H105*G105</f>
        <v>0</v>
      </c>
      <c r="M105" s="2">
        <f>H105*F105</f>
        <v>0</v>
      </c>
      <c r="N105" s="2">
        <f>M105-L105</f>
        <v>0</v>
      </c>
      <c r="O105" t="str">
        <f>IF(H105&lt;=0, "نفد من المخزن", IF(H105&lt;=I105, "قارب على النفاد", "متوفر بالمخزن"))</f>
        <v>نفد من المخزن</v>
      </c>
      <c r="P105">
        <v>0</v>
      </c>
      <c r="Q105" t="str">
        <v>SKU-0202</v>
      </c>
      <c r="R105" t="str">
        <v/>
      </c>
      <c r="S105" t="str">
        <v/>
      </c>
      <c r="T105" t="str">
        <v/>
      </c>
    </row>
    <row r="106">
      <c r="A106">
        <v>103</v>
      </c>
      <c r="B106" t="str">
        <v>مرقة دجاج ماجي 12 مكعب</v>
      </c>
      <c r="C106" t="str">
        <v>7613035201019</v>
      </c>
      <c r="D106" t="str">
        <v/>
      </c>
      <c r="E106" t="str">
        <v>قطعة</v>
      </c>
      <c r="F106">
        <v>22</v>
      </c>
      <c r="G106">
        <v>17.5</v>
      </c>
      <c r="H106">
        <v>0</v>
      </c>
      <c r="I106">
        <v>8</v>
      </c>
      <c r="J106">
        <f>F106-G106</f>
        <v>4.5</v>
      </c>
      <c r="K106" s="1">
        <f>IF(G106&gt;0, (F106-G106)/G106, 0)</f>
        <v>0.2571</v>
      </c>
      <c r="L106" s="2">
        <f>H106*G106</f>
        <v>0</v>
      </c>
      <c r="M106" s="2">
        <f>H106*F106</f>
        <v>0</v>
      </c>
      <c r="N106" s="2">
        <f>M106-L106</f>
        <v>0</v>
      </c>
      <c r="O106" t="str">
        <f>IF(H106&lt;=0, "نفد من المخزن", IF(H106&lt;=I106, "قارب على النفاد", "متوفر بالمخزن"))</f>
        <v>نفد من المخزن</v>
      </c>
      <c r="P106">
        <v>0</v>
      </c>
      <c r="Q106" t="str">
        <v>SKU-0203</v>
      </c>
      <c r="R106" t="str">
        <v/>
      </c>
      <c r="S106" t="str">
        <v/>
      </c>
      <c r="T106" t="str">
        <v/>
      </c>
    </row>
    <row r="107">
      <c r="A107">
        <v>104</v>
      </c>
      <c r="B107" t="str">
        <v>مرقة دجاج ماجي 24 مكعب</v>
      </c>
      <c r="C107" t="str">
        <v>7613035201026</v>
      </c>
      <c r="D107" t="str">
        <v/>
      </c>
      <c r="E107" t="str">
        <v>قطعة</v>
      </c>
      <c r="F107">
        <v>42</v>
      </c>
      <c r="G107">
        <v>33.5</v>
      </c>
      <c r="H107">
        <v>0</v>
      </c>
      <c r="I107">
        <v>6</v>
      </c>
      <c r="J107">
        <f>F107-G107</f>
        <v>8.5</v>
      </c>
      <c r="K107" s="1">
        <f>IF(G107&gt;0, (F107-G107)/G107, 0)</f>
        <v>0.2537</v>
      </c>
      <c r="L107" s="2">
        <f>H107*G107</f>
        <v>0</v>
      </c>
      <c r="M107" s="2">
        <f>H107*F107</f>
        <v>0</v>
      </c>
      <c r="N107" s="2">
        <f>M107-L107</f>
        <v>0</v>
      </c>
      <c r="O107" t="str">
        <f>IF(H107&lt;=0, "نفد من المخزن", IF(H107&lt;=I107, "قارب على النفاد", "متوفر بالمخزن"))</f>
        <v>نفد من المخزن</v>
      </c>
      <c r="P107">
        <v>0</v>
      </c>
      <c r="Q107" t="str">
        <v>SKU-0204</v>
      </c>
      <c r="R107" t="str">
        <v/>
      </c>
      <c r="S107" t="str">
        <v/>
      </c>
      <c r="T107" t="str">
        <v/>
      </c>
    </row>
    <row r="108">
      <c r="A108">
        <v>105</v>
      </c>
      <c r="B108" t="str">
        <v>مرقة دجاج كنور فاين فودز 8 مكعب</v>
      </c>
      <c r="C108" t="str">
        <v>6221155020017</v>
      </c>
      <c r="D108" t="str">
        <v/>
      </c>
      <c r="E108" t="str">
        <v>قطعة</v>
      </c>
      <c r="F108">
        <v>18</v>
      </c>
      <c r="G108">
        <v>14</v>
      </c>
      <c r="H108">
        <v>0</v>
      </c>
      <c r="I108">
        <v>7</v>
      </c>
      <c r="J108">
        <f>F108-G108</f>
        <v>4</v>
      </c>
      <c r="K108" s="1">
        <f>IF(G108&gt;0, (F108-G108)/G108, 0)</f>
        <v>0.2857</v>
      </c>
      <c r="L108" s="2">
        <f>H108*G108</f>
        <v>0</v>
      </c>
      <c r="M108" s="2">
        <f>H108*F108</f>
        <v>0</v>
      </c>
      <c r="N108" s="2">
        <f>M108-L108</f>
        <v>0</v>
      </c>
      <c r="O108" t="str">
        <f>IF(H108&lt;=0, "نفد من المخزن", IF(H108&lt;=I108, "قارب على النفاد", "متوفر بالمخزن"))</f>
        <v>نفد من المخزن</v>
      </c>
      <c r="P108">
        <v>0</v>
      </c>
      <c r="Q108" t="str">
        <v>SKU-0205</v>
      </c>
      <c r="R108" t="str">
        <v/>
      </c>
      <c r="S108" t="str">
        <v/>
      </c>
      <c r="T108" t="str">
        <v/>
      </c>
    </row>
    <row r="109">
      <c r="A109">
        <v>106</v>
      </c>
      <c r="B109" t="str">
        <v>خلطة كفتة كنور كيس 35 جم</v>
      </c>
      <c r="C109" t="str">
        <v>6221155020024</v>
      </c>
      <c r="D109" t="str">
        <v/>
      </c>
      <c r="E109" t="str">
        <v>قطعة</v>
      </c>
      <c r="F109">
        <v>12</v>
      </c>
      <c r="G109">
        <v>9.2</v>
      </c>
      <c r="H109">
        <v>0</v>
      </c>
      <c r="I109">
        <v>8</v>
      </c>
      <c r="J109">
        <f>F109-G109</f>
        <v>2.8</v>
      </c>
      <c r="K109" s="1">
        <f>IF(G109&gt;0, (F109-G109)/G109, 0)</f>
        <v>0.3043</v>
      </c>
      <c r="L109" s="2">
        <f>H109*G109</f>
        <v>0</v>
      </c>
      <c r="M109" s="2">
        <f>H109*F109</f>
        <v>0</v>
      </c>
      <c r="N109" s="2">
        <f>M109-L109</f>
        <v>0</v>
      </c>
      <c r="O109" t="str">
        <f>IF(H109&lt;=0, "نفد من المخزن", IF(H109&lt;=I109, "قارب على النفاد", "متوفر بالمخزن"))</f>
        <v>نفد من المخزن</v>
      </c>
      <c r="P109">
        <v>0</v>
      </c>
      <c r="Q109" t="str">
        <v>SKU-0206</v>
      </c>
      <c r="R109" t="str">
        <v/>
      </c>
      <c r="S109" t="str">
        <v/>
      </c>
      <c r="T109" t="str">
        <v/>
      </c>
    </row>
    <row r="110">
      <c r="A110">
        <v>107</v>
      </c>
      <c r="B110" t="str">
        <v>خلطة شاورما دجاج كنور 35 جم</v>
      </c>
      <c r="C110" t="str">
        <v>6221155020031</v>
      </c>
      <c r="D110" t="str">
        <v/>
      </c>
      <c r="E110" t="str">
        <v>قطعة</v>
      </c>
      <c r="F110">
        <v>12</v>
      </c>
      <c r="G110">
        <v>9.2</v>
      </c>
      <c r="H110">
        <v>0</v>
      </c>
      <c r="I110">
        <v>8</v>
      </c>
      <c r="J110">
        <f>F110-G110</f>
        <v>2.8</v>
      </c>
      <c r="K110" s="1">
        <f>IF(G110&gt;0, (F110-G110)/G110, 0)</f>
        <v>0.3043</v>
      </c>
      <c r="L110" s="2">
        <f>H110*G110</f>
        <v>0</v>
      </c>
      <c r="M110" s="2">
        <f>H110*F110</f>
        <v>0</v>
      </c>
      <c r="N110" s="2">
        <f>M110-L110</f>
        <v>0</v>
      </c>
      <c r="O110" t="str">
        <f>IF(H110&lt;=0, "نفد من المخزن", IF(H110&lt;=I110, "قارب على النفاد", "متوفر بالمخزن"))</f>
        <v>نفد من المخزن</v>
      </c>
      <c r="P110">
        <v>0</v>
      </c>
      <c r="Q110" t="str">
        <v>SKU-0207</v>
      </c>
      <c r="R110" t="str">
        <v/>
      </c>
      <c r="S110" t="str">
        <v/>
      </c>
      <c r="T110" t="str">
        <v/>
      </c>
    </row>
    <row r="111">
      <c r="A111">
        <v>108</v>
      </c>
      <c r="B111" t="str">
        <v>خلطة حواوشي كنور 35 جم</v>
      </c>
      <c r="C111" t="str">
        <v>6221155020048</v>
      </c>
      <c r="D111" t="str">
        <v/>
      </c>
      <c r="E111" t="str">
        <v>قطعة</v>
      </c>
      <c r="F111">
        <v>12</v>
      </c>
      <c r="G111">
        <v>9.2</v>
      </c>
      <c r="H111">
        <v>0</v>
      </c>
      <c r="I111">
        <v>8</v>
      </c>
      <c r="J111">
        <f>F111-G111</f>
        <v>2.8</v>
      </c>
      <c r="K111" s="1">
        <f>IF(G111&gt;0, (F111-G111)/G111, 0)</f>
        <v>0.3043</v>
      </c>
      <c r="L111" s="2">
        <f>H111*G111</f>
        <v>0</v>
      </c>
      <c r="M111" s="2">
        <f>H111*F111</f>
        <v>0</v>
      </c>
      <c r="N111" s="2">
        <f>M111-L111</f>
        <v>0</v>
      </c>
      <c r="O111" t="str">
        <f>IF(H111&lt;=0, "نفد من المخزن", IF(H111&lt;=I111, "قارب على النفاد", "متوفر بالمخزن"))</f>
        <v>نفد من المخزن</v>
      </c>
      <c r="P111">
        <v>0</v>
      </c>
      <c r="Q111" t="str">
        <v>SKU-0208</v>
      </c>
      <c r="R111" t="str">
        <v/>
      </c>
      <c r="S111" t="str">
        <v/>
      </c>
      <c r="T111" t="str">
        <v/>
      </c>
    </row>
    <row r="112">
      <c r="A112">
        <v>109</v>
      </c>
      <c r="B112" t="str">
        <v>خلطة برجر كنور 35 جم</v>
      </c>
      <c r="C112" t="str">
        <v>6221155020055</v>
      </c>
      <c r="D112" t="str">
        <v/>
      </c>
      <c r="E112" t="str">
        <v>قطعة</v>
      </c>
      <c r="F112">
        <v>12</v>
      </c>
      <c r="G112">
        <v>9.2</v>
      </c>
      <c r="H112">
        <v>0</v>
      </c>
      <c r="I112">
        <v>8</v>
      </c>
      <c r="J112">
        <f>F112-G112</f>
        <v>2.8</v>
      </c>
      <c r="K112" s="1">
        <f>IF(G112&gt;0, (F112-G112)/G112, 0)</f>
        <v>0.3043</v>
      </c>
      <c r="L112" s="2">
        <f>H112*G112</f>
        <v>0</v>
      </c>
      <c r="M112" s="2">
        <f>H112*F112</f>
        <v>0</v>
      </c>
      <c r="N112" s="2">
        <f>M112-L112</f>
        <v>0</v>
      </c>
      <c r="O112" t="str">
        <f>IF(H112&lt;=0, "نفد من المخزن", IF(H112&lt;=I112, "قارب على النفاد", "متوفر بالمخزن"))</f>
        <v>نفد من المخزن</v>
      </c>
      <c r="P112">
        <v>0</v>
      </c>
      <c r="Q112" t="str">
        <v>SKU-0209</v>
      </c>
      <c r="R112" t="str">
        <v/>
      </c>
      <c r="S112" t="str">
        <v/>
      </c>
      <c r="T112" t="str">
        <v/>
      </c>
    </row>
    <row r="113">
      <c r="A113">
        <v>110</v>
      </c>
      <c r="B113" t="str">
        <v>فيجيتار ماي واي عادي كيس 35 جم</v>
      </c>
      <c r="C113" t="str">
        <v>6223001501015</v>
      </c>
      <c r="D113" t="str">
        <v/>
      </c>
      <c r="E113" t="str">
        <v>قطعة</v>
      </c>
      <c r="F113">
        <v>6</v>
      </c>
      <c r="G113">
        <v>4.5</v>
      </c>
      <c r="H113">
        <v>0</v>
      </c>
      <c r="I113">
        <v>12</v>
      </c>
      <c r="J113">
        <f>F113-G113</f>
        <v>1.5</v>
      </c>
      <c r="K113" s="1">
        <f>IF(G113&gt;0, (F113-G113)/G113, 0)</f>
        <v>0.3333</v>
      </c>
      <c r="L113" s="2">
        <f>H113*G113</f>
        <v>0</v>
      </c>
      <c r="M113" s="2">
        <f>H113*F113</f>
        <v>0</v>
      </c>
      <c r="N113" s="2">
        <f>M113-L113</f>
        <v>0</v>
      </c>
      <c r="O113" t="str">
        <f>IF(H113&lt;=0, "نفد من المخزن", IF(H113&lt;=I113, "قارب على النفاد", "متوفر بالمخزن"))</f>
        <v>نفد من المخزن</v>
      </c>
      <c r="P113">
        <v>0</v>
      </c>
      <c r="Q113" t="str">
        <v>SKU-0210</v>
      </c>
      <c r="R113" t="str">
        <v/>
      </c>
      <c r="S113" t="str">
        <v/>
      </c>
      <c r="T113" t="str">
        <v/>
      </c>
    </row>
    <row r="114">
      <c r="A114">
        <v>111</v>
      </c>
      <c r="B114" t="str">
        <v>فيجيتار سبايسي حار كيس 35 جم</v>
      </c>
      <c r="C114" t="str">
        <v>6223001501022</v>
      </c>
      <c r="D114" t="str">
        <v/>
      </c>
      <c r="E114" t="str">
        <v>قطعة</v>
      </c>
      <c r="F114">
        <v>6</v>
      </c>
      <c r="G114">
        <v>4.5</v>
      </c>
      <c r="H114">
        <v>0</v>
      </c>
      <c r="I114">
        <v>12</v>
      </c>
      <c r="J114">
        <f>F114-G114</f>
        <v>1.5</v>
      </c>
      <c r="K114" s="1">
        <f>IF(G114&gt;0, (F114-G114)/G114, 0)</f>
        <v>0.3333</v>
      </c>
      <c r="L114" s="2">
        <f>H114*G114</f>
        <v>0</v>
      </c>
      <c r="M114" s="2">
        <f>H114*F114</f>
        <v>0</v>
      </c>
      <c r="N114" s="2">
        <f>M114-L114</f>
        <v>0</v>
      </c>
      <c r="O114" t="str">
        <f>IF(H114&lt;=0, "نفد من المخزن", IF(H114&lt;=I114, "قارب على النفاد", "متوفر بالمخزن"))</f>
        <v>نفد من المخزن</v>
      </c>
      <c r="P114">
        <v>0</v>
      </c>
      <c r="Q114" t="str">
        <v>SKU-0211</v>
      </c>
      <c r="R114" t="str">
        <v/>
      </c>
      <c r="S114" t="str">
        <v/>
      </c>
      <c r="T114" t="str">
        <v/>
      </c>
    </row>
    <row r="115">
      <c r="A115">
        <v>112</v>
      </c>
      <c r="B115" t="str">
        <v>ملح طعام كوكس برافو 700 جم</v>
      </c>
      <c r="C115" t="str">
        <v>6221012001012</v>
      </c>
      <c r="D115" t="str">
        <v/>
      </c>
      <c r="E115" t="str">
        <v>قطعة</v>
      </c>
      <c r="F115">
        <v>5</v>
      </c>
      <c r="G115">
        <v>3</v>
      </c>
      <c r="H115">
        <v>0</v>
      </c>
      <c r="I115">
        <v>15</v>
      </c>
      <c r="J115">
        <f>F115-G115</f>
        <v>2</v>
      </c>
      <c r="K115" s="1">
        <f>IF(G115&gt;0, (F115-G115)/G115, 0)</f>
        <v>0.6667</v>
      </c>
      <c r="L115" s="2">
        <f>H115*G115</f>
        <v>0</v>
      </c>
      <c r="M115" s="2">
        <f>H115*F115</f>
        <v>0</v>
      </c>
      <c r="N115" s="2">
        <f>M115-L115</f>
        <v>0</v>
      </c>
      <c r="O115" t="str">
        <f>IF(H115&lt;=0, "نفد من المخزن", IF(H115&lt;=I115, "قارب على النفاد", "متوفر بالمخزن"))</f>
        <v>نفد من المخزن</v>
      </c>
      <c r="P115">
        <v>0</v>
      </c>
      <c r="Q115" t="str">
        <v>SKU-0212</v>
      </c>
      <c r="R115" t="str">
        <v/>
      </c>
      <c r="S115" t="str">
        <v/>
      </c>
      <c r="T115" t="str">
        <v/>
      </c>
    </row>
    <row r="116">
      <c r="A116">
        <v>113</v>
      </c>
      <c r="B116" t="str">
        <v>ملح طعام بونو يودي ناعم 300 جم</v>
      </c>
      <c r="C116" t="str">
        <v>6221012001029</v>
      </c>
      <c r="D116" t="str">
        <v/>
      </c>
      <c r="E116" t="str">
        <v>قطعة</v>
      </c>
      <c r="F116">
        <v>4</v>
      </c>
      <c r="G116">
        <v>2.5</v>
      </c>
      <c r="H116">
        <v>0</v>
      </c>
      <c r="I116">
        <v>15</v>
      </c>
      <c r="J116">
        <f>F116-G116</f>
        <v>1.5</v>
      </c>
      <c r="K116" s="1">
        <f>IF(G116&gt;0, (F116-G116)/G116, 0)</f>
        <v>0.6</v>
      </c>
      <c r="L116" s="2">
        <f>H116*G116</f>
        <v>0</v>
      </c>
      <c r="M116" s="2">
        <f>H116*F116</f>
        <v>0</v>
      </c>
      <c r="N116" s="2">
        <f>M116-L116</f>
        <v>0</v>
      </c>
      <c r="O116" t="str">
        <f>IF(H116&lt;=0, "نفد من المخزن", IF(H116&lt;=I116, "قارب على النفاد", "متوفر بالمخزن"))</f>
        <v>نفد من المخزن</v>
      </c>
      <c r="P116">
        <v>0</v>
      </c>
      <c r="Q116" t="str">
        <v>SKU-0213</v>
      </c>
      <c r="R116" t="str">
        <v/>
      </c>
      <c r="S116" t="str">
        <v/>
      </c>
      <c r="T116" t="str">
        <v/>
      </c>
    </row>
    <row r="117">
      <c r="A117">
        <v>114</v>
      </c>
      <c r="B117" t="str">
        <v>بيكنج بودر تاج الملوك 16 جم</v>
      </c>
      <c r="C117" t="str">
        <v>6221020001011</v>
      </c>
      <c r="D117" t="str">
        <v/>
      </c>
      <c r="E117" t="str">
        <v>قطعة</v>
      </c>
      <c r="F117">
        <v>4</v>
      </c>
      <c r="G117">
        <v>2.5</v>
      </c>
      <c r="H117">
        <v>0</v>
      </c>
      <c r="I117">
        <v>20</v>
      </c>
      <c r="J117">
        <f>F117-G117</f>
        <v>1.5</v>
      </c>
      <c r="K117" s="1">
        <f>IF(G117&gt;0, (F117-G117)/G117, 0)</f>
        <v>0.6</v>
      </c>
      <c r="L117" s="2">
        <f>H117*G117</f>
        <v>0</v>
      </c>
      <c r="M117" s="2">
        <f>H117*F117</f>
        <v>0</v>
      </c>
      <c r="N117" s="2">
        <f>M117-L117</f>
        <v>0</v>
      </c>
      <c r="O117" t="str">
        <f>IF(H117&lt;=0, "نفد من المخزن", IF(H117&lt;=I117, "قارب على النفاد", "متوفر بالمخزن"))</f>
        <v>نفد من المخزن</v>
      </c>
      <c r="P117">
        <v>0</v>
      </c>
      <c r="Q117" t="str">
        <v>SKU-0214</v>
      </c>
      <c r="R117" t="str">
        <v/>
      </c>
      <c r="S117" t="str">
        <v/>
      </c>
      <c r="T117" t="str">
        <v/>
      </c>
    </row>
    <row r="118">
      <c r="A118">
        <v>115</v>
      </c>
      <c r="B118" t="str">
        <v>فانيليا تاج الملوك ظرف 1.5 جم</v>
      </c>
      <c r="C118" t="str">
        <v>6221020001028</v>
      </c>
      <c r="D118" t="str">
        <v/>
      </c>
      <c r="E118" t="str">
        <v>قطعة</v>
      </c>
      <c r="F118">
        <v>2.5</v>
      </c>
      <c r="G118">
        <v>1.4</v>
      </c>
      <c r="H118">
        <v>0</v>
      </c>
      <c r="I118">
        <v>20</v>
      </c>
      <c r="J118">
        <f>F118-G118</f>
        <v>1.1</v>
      </c>
      <c r="K118" s="1">
        <f>IF(G118&gt;0, (F118-G118)/G118, 0)</f>
        <v>0.7857</v>
      </c>
      <c r="L118" s="2">
        <f>H118*G118</f>
        <v>0</v>
      </c>
      <c r="M118" s="2">
        <f>H118*F118</f>
        <v>0</v>
      </c>
      <c r="N118" s="2">
        <f>M118-L118</f>
        <v>0</v>
      </c>
      <c r="O118" t="str">
        <f>IF(H118&lt;=0, "نفد من المخزن", IF(H118&lt;=I118, "قارب على النفاد", "متوفر بالمخزن"))</f>
        <v>نفد من المخزن</v>
      </c>
      <c r="P118">
        <v>0</v>
      </c>
      <c r="Q118" t="str">
        <v>SKU-0215</v>
      </c>
      <c r="R118" t="str">
        <v/>
      </c>
      <c r="S118" t="str">
        <v/>
      </c>
      <c r="T118" t="str">
        <v/>
      </c>
    </row>
    <row r="119">
      <c r="A119">
        <v>116</v>
      </c>
      <c r="B119" t="str">
        <v>محسن كيك شيف دريم 23 جم</v>
      </c>
      <c r="C119" t="str">
        <v>6221040003019</v>
      </c>
      <c r="D119" t="str">
        <v/>
      </c>
      <c r="E119" t="str">
        <v>قطعة</v>
      </c>
      <c r="F119">
        <v>7</v>
      </c>
      <c r="G119">
        <v>5</v>
      </c>
      <c r="H119">
        <v>0</v>
      </c>
      <c r="I119">
        <v>10</v>
      </c>
      <c r="J119">
        <f>F119-G119</f>
        <v>2</v>
      </c>
      <c r="K119" s="1">
        <f>IF(G119&gt;0, (F119-G119)/G119, 0)</f>
        <v>0.4</v>
      </c>
      <c r="L119" s="2">
        <f>H119*G119</f>
        <v>0</v>
      </c>
      <c r="M119" s="2">
        <f>H119*F119</f>
        <v>0</v>
      </c>
      <c r="N119" s="2">
        <f>M119-L119</f>
        <v>0</v>
      </c>
      <c r="O119" t="str">
        <f>IF(H119&lt;=0, "نفد من المخزن", IF(H119&lt;=I119, "قارب على النفاد", "متوفر بالمخزن"))</f>
        <v>نفد من المخزن</v>
      </c>
      <c r="P119">
        <v>0</v>
      </c>
      <c r="Q119" t="str">
        <v>SKU-0216</v>
      </c>
      <c r="R119" t="str">
        <v/>
      </c>
      <c r="S119" t="str">
        <v/>
      </c>
      <c r="T119" t="str">
        <v/>
      </c>
    </row>
    <row r="120">
      <c r="A120">
        <v>117</v>
      </c>
      <c r="B120" t="str">
        <v>خميرة فورية دريم 16 جم</v>
      </c>
      <c r="C120" t="str">
        <v>6221040001015</v>
      </c>
      <c r="D120" t="str">
        <v/>
      </c>
      <c r="E120" t="str">
        <v>قطعة</v>
      </c>
      <c r="F120">
        <v>5</v>
      </c>
      <c r="G120">
        <v>3.5</v>
      </c>
      <c r="H120">
        <v>0</v>
      </c>
      <c r="I120">
        <v>15</v>
      </c>
      <c r="J120">
        <f>F120-G120</f>
        <v>1.5</v>
      </c>
      <c r="K120" s="1">
        <f>IF(G120&gt;0, (F120-G120)/G120, 0)</f>
        <v>0.4286</v>
      </c>
      <c r="L120" s="2">
        <f>H120*G120</f>
        <v>0</v>
      </c>
      <c r="M120" s="2">
        <f>H120*F120</f>
        <v>0</v>
      </c>
      <c r="N120" s="2">
        <f>M120-L120</f>
        <v>0</v>
      </c>
      <c r="O120" t="str">
        <f>IF(H120&lt;=0, "نفد من المخزن", IF(H120&lt;=I120, "قارب على النفاد", "متوفر بالمخزن"))</f>
        <v>نفد من المخزن</v>
      </c>
      <c r="P120">
        <v>0</v>
      </c>
      <c r="Q120" t="str">
        <v>SKU-0217</v>
      </c>
      <c r="R120" t="str">
        <v/>
      </c>
      <c r="S120" t="str">
        <v/>
      </c>
      <c r="T120" t="str">
        <v/>
      </c>
    </row>
    <row r="121">
      <c r="A121">
        <v>118</v>
      </c>
      <c r="B121" t="str">
        <v>جيلي دريم فراولة 70 جم</v>
      </c>
      <c r="C121" t="str">
        <v>6221040004016</v>
      </c>
      <c r="D121" t="str">
        <v/>
      </c>
      <c r="E121" t="str">
        <v>قطعة</v>
      </c>
      <c r="F121">
        <v>15</v>
      </c>
      <c r="G121">
        <v>11.5</v>
      </c>
      <c r="H121">
        <v>0</v>
      </c>
      <c r="I121">
        <v>8</v>
      </c>
      <c r="J121">
        <f>F121-G121</f>
        <v>3.5</v>
      </c>
      <c r="K121" s="1">
        <f>IF(G121&gt;0, (F121-G121)/G121, 0)</f>
        <v>0.3043</v>
      </c>
      <c r="L121" s="2">
        <f>H121*G121</f>
        <v>0</v>
      </c>
      <c r="M121" s="2">
        <f>H121*F121</f>
        <v>0</v>
      </c>
      <c r="N121" s="2">
        <f>M121-L121</f>
        <v>0</v>
      </c>
      <c r="O121" t="str">
        <f>IF(H121&lt;=0, "نفد من المخزن", IF(H121&lt;=I121, "قارب على النفاد", "متوفر بالمخزن"))</f>
        <v>نفد من المخزن</v>
      </c>
      <c r="P121">
        <v>0</v>
      </c>
      <c r="Q121" t="str">
        <v>SKU-0218</v>
      </c>
      <c r="R121" t="str">
        <v/>
      </c>
      <c r="S121" t="str">
        <v/>
      </c>
      <c r="T121" t="str">
        <v/>
      </c>
    </row>
    <row r="122">
      <c r="A122">
        <v>119</v>
      </c>
      <c r="B122" t="str">
        <v>كريم شانتيه دريم 45 جم</v>
      </c>
      <c r="C122" t="str">
        <v>6221040004023</v>
      </c>
      <c r="D122" t="str">
        <v/>
      </c>
      <c r="E122" t="str">
        <v>قطعة</v>
      </c>
      <c r="F122">
        <v>20</v>
      </c>
      <c r="G122">
        <v>15.5</v>
      </c>
      <c r="H122">
        <v>0</v>
      </c>
      <c r="I122">
        <v>8</v>
      </c>
      <c r="J122">
        <f>F122-G122</f>
        <v>4.5</v>
      </c>
      <c r="K122" s="1">
        <f>IF(G122&gt;0, (F122-G122)/G122, 0)</f>
        <v>0.2903</v>
      </c>
      <c r="L122" s="2">
        <f>H122*G122</f>
        <v>0</v>
      </c>
      <c r="M122" s="2">
        <f>H122*F122</f>
        <v>0</v>
      </c>
      <c r="N122" s="2">
        <f>M122-L122</f>
        <v>0</v>
      </c>
      <c r="O122" t="str">
        <f>IF(H122&lt;=0, "نفد من المخزن", IF(H122&lt;=I122, "قارب على النفاد", "متوفر بالمخزن"))</f>
        <v>نفد من المخزن</v>
      </c>
      <c r="P122">
        <v>0</v>
      </c>
      <c r="Q122" t="str">
        <v>SKU-0219</v>
      </c>
      <c r="R122" t="str">
        <v/>
      </c>
      <c r="S122" t="str">
        <v/>
      </c>
      <c r="T122" t="str">
        <v/>
      </c>
    </row>
    <row r="123">
      <c r="A123">
        <v>120</v>
      </c>
      <c r="B123" t="str">
        <v>كريم كراميل دريم عبوة مزدوجة</v>
      </c>
      <c r="C123" t="str">
        <v>6221040004030</v>
      </c>
      <c r="D123" t="str">
        <v/>
      </c>
      <c r="E123" t="str">
        <v>قطعة</v>
      </c>
      <c r="F123">
        <v>28</v>
      </c>
      <c r="G123">
        <v>22</v>
      </c>
      <c r="H123">
        <v>0</v>
      </c>
      <c r="I123">
        <v>6</v>
      </c>
      <c r="J123">
        <f>F123-G123</f>
        <v>6</v>
      </c>
      <c r="K123" s="1">
        <f>IF(G123&gt;0, (F123-G123)/G123, 0)</f>
        <v>0.2727</v>
      </c>
      <c r="L123" s="2">
        <f>H123*G123</f>
        <v>0</v>
      </c>
      <c r="M123" s="2">
        <f>H123*F123</f>
        <v>0</v>
      </c>
      <c r="N123" s="2">
        <f>M123-L123</f>
        <v>0</v>
      </c>
      <c r="O123" t="str">
        <f>IF(H123&lt;=0, "نفد من المخزن", IF(H123&lt;=I123, "قارب على النفاد", "متوفر بالمخزن"))</f>
        <v>نفد من المخزن</v>
      </c>
      <c r="P123">
        <v>0</v>
      </c>
      <c r="Q123" t="str">
        <v>SKU-0220</v>
      </c>
      <c r="R123" t="str">
        <v/>
      </c>
      <c r="S123" t="str">
        <v/>
      </c>
      <c r="T123" t="str">
        <v/>
      </c>
    </row>
    <row r="124">
      <c r="A124">
        <v>121</v>
      </c>
      <c r="B124" t="str">
        <v>كاسترد دريم بودرة 300 جم</v>
      </c>
      <c r="C124" t="str">
        <v>6221040004047</v>
      </c>
      <c r="D124" t="str">
        <v/>
      </c>
      <c r="E124" t="str">
        <v>قطعة</v>
      </c>
      <c r="F124">
        <v>32</v>
      </c>
      <c r="G124">
        <v>25</v>
      </c>
      <c r="H124">
        <v>0</v>
      </c>
      <c r="I124">
        <v>6</v>
      </c>
      <c r="J124">
        <f>F124-G124</f>
        <v>7</v>
      </c>
      <c r="K124" s="1">
        <f>IF(G124&gt;0, (F124-G124)/G124, 0)</f>
        <v>0.28</v>
      </c>
      <c r="L124" s="2">
        <f>H124*G124</f>
        <v>0</v>
      </c>
      <c r="M124" s="2">
        <f>H124*F124</f>
        <v>0</v>
      </c>
      <c r="N124" s="2">
        <f>M124-L124</f>
        <v>0</v>
      </c>
      <c r="O124" t="str">
        <f>IF(H124&lt;=0, "نفد من المخزن", IF(H124&lt;=I124, "قارب على النفاد", "متوفر بالمخزن"))</f>
        <v>نفد من المخزن</v>
      </c>
      <c r="P124">
        <v>0</v>
      </c>
      <c r="Q124" t="str">
        <v>SKU-0221</v>
      </c>
      <c r="R124" t="str">
        <v/>
      </c>
      <c r="S124" t="str">
        <v/>
      </c>
      <c r="T124" t="str">
        <v/>
      </c>
    </row>
    <row r="125">
      <c r="A125">
        <v>122</v>
      </c>
      <c r="B125" t="str">
        <v>نشا ذرة الضحى 400 جم</v>
      </c>
      <c r="C125" t="str">
        <v>6223000660263</v>
      </c>
      <c r="D125" t="str">
        <v/>
      </c>
      <c r="E125" t="str">
        <v>قطعة</v>
      </c>
      <c r="F125">
        <v>25</v>
      </c>
      <c r="G125">
        <v>19.5</v>
      </c>
      <c r="H125">
        <v>0</v>
      </c>
      <c r="I125">
        <v>8</v>
      </c>
      <c r="J125">
        <f>F125-G125</f>
        <v>5.5</v>
      </c>
      <c r="K125" s="1">
        <f>IF(G125&gt;0, (F125-G125)/G125, 0)</f>
        <v>0.2821</v>
      </c>
      <c r="L125" s="2">
        <f>H125*G125</f>
        <v>0</v>
      </c>
      <c r="M125" s="2">
        <f>H125*F125</f>
        <v>0</v>
      </c>
      <c r="N125" s="2">
        <f>M125-L125</f>
        <v>0</v>
      </c>
      <c r="O125" t="str">
        <f>IF(H125&lt;=0, "نفد من المخزن", IF(H125&lt;=I125, "قارب على النفاد", "متوفر بالمخزن"))</f>
        <v>نفد من المخزن</v>
      </c>
      <c r="P125">
        <v>0</v>
      </c>
      <c r="Q125" t="str">
        <v>SKU-0222</v>
      </c>
      <c r="R125" t="str">
        <v/>
      </c>
      <c r="S125" t="str">
        <v/>
      </c>
      <c r="T125" t="str">
        <v/>
      </c>
    </row>
    <row r="126">
      <c r="A126">
        <v>123</v>
      </c>
      <c r="B126" t="str">
        <v>تونة صن شاين قطع سهلة الفتح 185 جم</v>
      </c>
      <c r="C126" t="str">
        <v>6223001850014</v>
      </c>
      <c r="D126" t="str">
        <v/>
      </c>
      <c r="E126" t="str">
        <v>قطعة</v>
      </c>
      <c r="F126">
        <v>70</v>
      </c>
      <c r="G126">
        <v>58</v>
      </c>
      <c r="H126">
        <v>0</v>
      </c>
      <c r="I126">
        <v>8</v>
      </c>
      <c r="J126">
        <f>F126-G126</f>
        <v>12</v>
      </c>
      <c r="K126" s="1">
        <f>IF(G126&gt;0, (F126-G126)/G126, 0)</f>
        <v>0.2069</v>
      </c>
      <c r="L126" s="2">
        <f>H126*G126</f>
        <v>0</v>
      </c>
      <c r="M126" s="2">
        <f>H126*F126</f>
        <v>0</v>
      </c>
      <c r="N126" s="2">
        <f>M126-L126</f>
        <v>0</v>
      </c>
      <c r="O126" t="str">
        <f>IF(H126&lt;=0, "نفد من المخزن", IF(H126&lt;=I126, "قارب على النفاد", "متوفر بالمخزن"))</f>
        <v>نفد من المخزن</v>
      </c>
      <c r="P126">
        <v>0</v>
      </c>
      <c r="Q126" t="str">
        <v>SKU-0223</v>
      </c>
      <c r="R126" t="str">
        <v/>
      </c>
      <c r="S126" t="str">
        <v/>
      </c>
      <c r="T126" t="str">
        <v/>
      </c>
    </row>
    <row r="127">
      <c r="A127">
        <v>124</v>
      </c>
      <c r="B127" t="str">
        <v>تونة صن شاين قطع حارة 185 جم</v>
      </c>
      <c r="C127" t="str">
        <v>6223001850038</v>
      </c>
      <c r="D127" t="str">
        <v/>
      </c>
      <c r="E127" t="str">
        <v>قطعة</v>
      </c>
      <c r="F127">
        <v>70</v>
      </c>
      <c r="G127">
        <v>58</v>
      </c>
      <c r="H127">
        <v>0</v>
      </c>
      <c r="I127">
        <v>6</v>
      </c>
      <c r="J127">
        <f>F127-G127</f>
        <v>12</v>
      </c>
      <c r="K127" s="1">
        <f>IF(G127&gt;0, (F127-G127)/G127, 0)</f>
        <v>0.2069</v>
      </c>
      <c r="L127" s="2">
        <f>H127*G127</f>
        <v>0</v>
      </c>
      <c r="M127" s="2">
        <f>H127*F127</f>
        <v>0</v>
      </c>
      <c r="N127" s="2">
        <f>M127-L127</f>
        <v>0</v>
      </c>
      <c r="O127" t="str">
        <f>IF(H127&lt;=0, "نفد من المخزن", IF(H127&lt;=I127, "قارب على النفاد", "متوفر بالمخزن"))</f>
        <v>نفد من المخزن</v>
      </c>
      <c r="P127">
        <v>0</v>
      </c>
      <c r="Q127" t="str">
        <v>SKU-0224</v>
      </c>
      <c r="R127" t="str">
        <v/>
      </c>
      <c r="S127" t="str">
        <v/>
      </c>
      <c r="T127" t="str">
        <v/>
      </c>
    </row>
    <row r="128">
      <c r="A128">
        <v>125</v>
      </c>
      <c r="B128" t="str">
        <v>تونة صن شاين قطعة واحدة فاخرة 185 جم</v>
      </c>
      <c r="C128" t="str">
        <v>6223001850045</v>
      </c>
      <c r="D128" t="str">
        <v/>
      </c>
      <c r="E128" t="str">
        <v>قطعة</v>
      </c>
      <c r="F128">
        <v>85</v>
      </c>
      <c r="G128">
        <v>71</v>
      </c>
      <c r="H128">
        <v>0</v>
      </c>
      <c r="I128">
        <v>6</v>
      </c>
      <c r="J128">
        <f>F128-G128</f>
        <v>14</v>
      </c>
      <c r="K128" s="1">
        <f>IF(G128&gt;0, (F128-G128)/G128, 0)</f>
        <v>0.1972</v>
      </c>
      <c r="L128" s="2">
        <f>H128*G128</f>
        <v>0</v>
      </c>
      <c r="M128" s="2">
        <f>H128*F128</f>
        <v>0</v>
      </c>
      <c r="N128" s="2">
        <f>M128-L128</f>
        <v>0</v>
      </c>
      <c r="O128" t="str">
        <f>IF(H128&lt;=0, "نفد من المخزن", IF(H128&lt;=I128, "قارب على النفاد", "متوفر بالمخزن"))</f>
        <v>نفد من المخزن</v>
      </c>
      <c r="P128">
        <v>0</v>
      </c>
      <c r="Q128" t="str">
        <v>SKU-0225</v>
      </c>
      <c r="R128" t="str">
        <v/>
      </c>
      <c r="S128" t="str">
        <v/>
      </c>
      <c r="T128" t="str">
        <v/>
      </c>
    </row>
    <row r="129">
      <c r="A129">
        <v>126</v>
      </c>
      <c r="B129" t="str">
        <v>تونة دولفين مفتتة سهلة الفتح 140 جم</v>
      </c>
      <c r="C129" t="str">
        <v>6223001850021</v>
      </c>
      <c r="D129" t="str">
        <v/>
      </c>
      <c r="E129" t="str">
        <v>قطعة</v>
      </c>
      <c r="F129">
        <v>40</v>
      </c>
      <c r="G129">
        <v>32</v>
      </c>
      <c r="H129">
        <v>0</v>
      </c>
      <c r="I129">
        <v>10</v>
      </c>
      <c r="J129">
        <f>F129-G129</f>
        <v>8</v>
      </c>
      <c r="K129" s="1">
        <f>IF(G129&gt;0, (F129-G129)/G129, 0)</f>
        <v>0.25</v>
      </c>
      <c r="L129" s="2">
        <f>H129*G129</f>
        <v>0</v>
      </c>
      <c r="M129" s="2">
        <f>H129*F129</f>
        <v>0</v>
      </c>
      <c r="N129" s="2">
        <f>M129-L129</f>
        <v>0</v>
      </c>
      <c r="O129" t="str">
        <f>IF(H129&lt;=0, "نفد من المخزن", IF(H129&lt;=I129, "قارب على النفاد", "متوفر بالمخزن"))</f>
        <v>نفد من المخزن</v>
      </c>
      <c r="P129">
        <v>0</v>
      </c>
      <c r="Q129" t="str">
        <v>SKU-0226</v>
      </c>
      <c r="R129" t="str">
        <v/>
      </c>
      <c r="S129" t="str">
        <v/>
      </c>
      <c r="T129" t="str">
        <v/>
      </c>
    </row>
    <row r="130">
      <c r="A130">
        <v>127</v>
      </c>
      <c r="B130" t="str">
        <v>تونة ماريو قطع في محلول ملحي 185 جم</v>
      </c>
      <c r="C130" t="str">
        <v>6223001850052</v>
      </c>
      <c r="D130" t="str">
        <v/>
      </c>
      <c r="E130" t="str">
        <v>قطعة</v>
      </c>
      <c r="F130">
        <v>60</v>
      </c>
      <c r="G130">
        <v>49</v>
      </c>
      <c r="H130">
        <v>0</v>
      </c>
      <c r="I130">
        <v>8</v>
      </c>
      <c r="J130">
        <f>F130-G130</f>
        <v>11</v>
      </c>
      <c r="K130" s="1">
        <f>IF(G130&gt;0, (F130-G130)/G130, 0)</f>
        <v>0.2245</v>
      </c>
      <c r="L130" s="2">
        <f>H130*G130</f>
        <v>0</v>
      </c>
      <c r="M130" s="2">
        <f>H130*F130</f>
        <v>0</v>
      </c>
      <c r="N130" s="2">
        <f>M130-L130</f>
        <v>0</v>
      </c>
      <c r="O130" t="str">
        <f>IF(H130&lt;=0, "نفد من المخزن", IF(H130&lt;=I130, "قارب على النفاد", "متوفر بالمخزن"))</f>
        <v>نفد من المخزن</v>
      </c>
      <c r="P130">
        <v>0</v>
      </c>
      <c r="Q130" t="str">
        <v>SKU-0227</v>
      </c>
      <c r="R130" t="str">
        <v/>
      </c>
      <c r="S130" t="str">
        <v/>
      </c>
      <c r="T130" t="str">
        <v/>
      </c>
    </row>
    <row r="131">
      <c r="A131">
        <v>128</v>
      </c>
      <c r="B131" t="str">
        <v>تونة تريفا قطع بالزيت 170 جم</v>
      </c>
      <c r="C131" t="str">
        <v>6281001850018</v>
      </c>
      <c r="D131" t="str">
        <v/>
      </c>
      <c r="E131" t="str">
        <v>قطعة</v>
      </c>
      <c r="F131">
        <v>55</v>
      </c>
      <c r="G131">
        <v>44</v>
      </c>
      <c r="H131">
        <v>0</v>
      </c>
      <c r="I131">
        <v>8</v>
      </c>
      <c r="J131">
        <f>F131-G131</f>
        <v>11</v>
      </c>
      <c r="K131" s="1">
        <f>IF(G131&gt;0, (F131-G131)/G131, 0)</f>
        <v>0.25</v>
      </c>
      <c r="L131" s="2">
        <f>H131*G131</f>
        <v>0</v>
      </c>
      <c r="M131" s="2">
        <f>H131*F131</f>
        <v>0</v>
      </c>
      <c r="N131" s="2">
        <f>M131-L131</f>
        <v>0</v>
      </c>
      <c r="O131" t="str">
        <f>IF(H131&lt;=0, "نفد من المخزن", IF(H131&lt;=I131, "قارب على النفاد", "متوفر بالمخزن"))</f>
        <v>نفد من المخزن</v>
      </c>
      <c r="P131">
        <v>0</v>
      </c>
      <c r="Q131" t="str">
        <v>SKU-0228</v>
      </c>
      <c r="R131" t="str">
        <v/>
      </c>
      <c r="S131" t="str">
        <v/>
      </c>
      <c r="T131" t="str">
        <v/>
      </c>
    </row>
    <row r="132">
      <c r="A132">
        <v>129</v>
      </c>
      <c r="B132" t="str">
        <v>سردين معلب مغربي بالزيت والشطة 125 جم</v>
      </c>
      <c r="C132" t="str">
        <v>6111001250019</v>
      </c>
      <c r="D132" t="str">
        <v/>
      </c>
      <c r="E132" t="str">
        <v>قطعة</v>
      </c>
      <c r="F132">
        <v>35</v>
      </c>
      <c r="G132">
        <v>27.5</v>
      </c>
      <c r="H132">
        <v>0</v>
      </c>
      <c r="I132">
        <v>8</v>
      </c>
      <c r="J132">
        <f>F132-G132</f>
        <v>7.5</v>
      </c>
      <c r="K132" s="1">
        <f>IF(G132&gt;0, (F132-G132)/G132, 0)</f>
        <v>0.2727</v>
      </c>
      <c r="L132" s="2">
        <f>H132*G132</f>
        <v>0</v>
      </c>
      <c r="M132" s="2">
        <f>H132*F132</f>
        <v>0</v>
      </c>
      <c r="N132" s="2">
        <f>M132-L132</f>
        <v>0</v>
      </c>
      <c r="O132" t="str">
        <f>IF(H132&lt;=0, "نفد من المخزن", IF(H132&lt;=I132, "قارب على النفاد", "متوفر بالمخزن"))</f>
        <v>نفد من المخزن</v>
      </c>
      <c r="P132">
        <v>0</v>
      </c>
      <c r="Q132" t="str">
        <v>SKU-0229</v>
      </c>
      <c r="R132" t="str">
        <v/>
      </c>
      <c r="S132" t="str">
        <v/>
      </c>
      <c r="T132" t="str">
        <v/>
      </c>
    </row>
    <row r="133">
      <c r="A133">
        <v>130</v>
      </c>
      <c r="B133" t="str">
        <v>ماكريل معلب ياباني أمريكانا 425 جم</v>
      </c>
      <c r="C133" t="str">
        <v>6221033002012</v>
      </c>
      <c r="D133" t="str">
        <v/>
      </c>
      <c r="E133" t="str">
        <v>قطعة</v>
      </c>
      <c r="F133">
        <v>75</v>
      </c>
      <c r="G133">
        <v>60</v>
      </c>
      <c r="H133">
        <v>0</v>
      </c>
      <c r="I133">
        <v>6</v>
      </c>
      <c r="J133">
        <f>F133-G133</f>
        <v>15</v>
      </c>
      <c r="K133" s="1">
        <f>IF(G133&gt;0, (F133-G133)/G133, 0)</f>
        <v>0.25</v>
      </c>
      <c r="L133" s="2">
        <f>H133*G133</f>
        <v>0</v>
      </c>
      <c r="M133" s="2">
        <f>H133*F133</f>
        <v>0</v>
      </c>
      <c r="N133" s="2">
        <f>M133-L133</f>
        <v>0</v>
      </c>
      <c r="O133" t="str">
        <f>IF(H133&lt;=0, "نفد من المخزن", IF(H133&lt;=I133, "قارب على النفاد", "متوفر بالمخزن"))</f>
        <v>نفد من المخزن</v>
      </c>
      <c r="P133">
        <v>0</v>
      </c>
      <c r="Q133" t="str">
        <v>SKU-0230</v>
      </c>
      <c r="R133" t="str">
        <v/>
      </c>
      <c r="S133" t="str">
        <v/>
      </c>
      <c r="T133" t="str">
        <v/>
      </c>
    </row>
    <row r="134">
      <c r="A134">
        <v>131</v>
      </c>
      <c r="B134" t="str">
        <v>بلوبيف أمريكانا لحم بقري 340 جم</v>
      </c>
      <c r="C134" t="str">
        <v>6221033003019</v>
      </c>
      <c r="D134" t="str">
        <v/>
      </c>
      <c r="E134" t="str">
        <v>قطعة</v>
      </c>
      <c r="F134">
        <v>110</v>
      </c>
      <c r="G134">
        <v>90</v>
      </c>
      <c r="H134">
        <v>0</v>
      </c>
      <c r="I134">
        <v>4</v>
      </c>
      <c r="J134">
        <f>F134-G134</f>
        <v>20</v>
      </c>
      <c r="K134" s="1">
        <f>IF(G134&gt;0, (F134-G134)/G134, 0)</f>
        <v>0.2222</v>
      </c>
      <c r="L134" s="2">
        <f>H134*G134</f>
        <v>0</v>
      </c>
      <c r="M134" s="2">
        <f>H134*F134</f>
        <v>0</v>
      </c>
      <c r="N134" s="2">
        <f>M134-L134</f>
        <v>0</v>
      </c>
      <c r="O134" t="str">
        <f>IF(H134&lt;=0, "نفد من المخزن", IF(H134&lt;=I134, "قارب على النفاد", "متوفر بالمخزن"))</f>
        <v>نفد من المخزن</v>
      </c>
      <c r="P134">
        <v>0</v>
      </c>
      <c r="Q134" t="str">
        <v>SKU-0231</v>
      </c>
      <c r="R134" t="str">
        <v/>
      </c>
      <c r="S134" t="str">
        <v/>
      </c>
      <c r="T134" t="str">
        <v/>
      </c>
    </row>
    <row r="135">
      <c r="A135">
        <v>132</v>
      </c>
      <c r="B135" t="str">
        <v>لانشون بقري حلواني سادة 800 جم</v>
      </c>
      <c r="C135" t="str">
        <v>6221028003017</v>
      </c>
      <c r="D135" t="str">
        <v/>
      </c>
      <c r="E135" t="str">
        <v>قطعة</v>
      </c>
      <c r="F135">
        <v>130</v>
      </c>
      <c r="G135">
        <v>108</v>
      </c>
      <c r="H135">
        <v>0</v>
      </c>
      <c r="I135">
        <v>4</v>
      </c>
      <c r="J135">
        <f>F135-G135</f>
        <v>22</v>
      </c>
      <c r="K135" s="1">
        <f>IF(G135&gt;0, (F135-G135)/G135, 0)</f>
        <v>0.2037</v>
      </c>
      <c r="L135" s="2">
        <f>H135*G135</f>
        <v>0</v>
      </c>
      <c r="M135" s="2">
        <f>H135*F135</f>
        <v>0</v>
      </c>
      <c r="N135" s="2">
        <f>M135-L135</f>
        <v>0</v>
      </c>
      <c r="O135" t="str">
        <f>IF(H135&lt;=0, "نفد من المخزن", IF(H135&lt;=I135, "قارب على النفاد", "متوفر بالمخزن"))</f>
        <v>نفد من المخزن</v>
      </c>
      <c r="P135">
        <v>0</v>
      </c>
      <c r="Q135" t="str">
        <v>SKU-0232</v>
      </c>
      <c r="R135" t="str">
        <v/>
      </c>
      <c r="S135" t="str">
        <v/>
      </c>
      <c r="T135" t="str">
        <v/>
      </c>
    </row>
    <row r="136">
      <c r="A136">
        <v>133</v>
      </c>
      <c r="B136" t="str">
        <v>فول مدمس حدائق كاليفورنيا سادة 400 جم</v>
      </c>
      <c r="C136" t="str">
        <v>6221033001015</v>
      </c>
      <c r="D136" t="str">
        <v/>
      </c>
      <c r="E136" t="str">
        <v>قطعة</v>
      </c>
      <c r="F136">
        <v>25</v>
      </c>
      <c r="G136">
        <v>19.5</v>
      </c>
      <c r="H136">
        <v>0</v>
      </c>
      <c r="I136">
        <v>10</v>
      </c>
      <c r="J136">
        <f>F136-G136</f>
        <v>5.5</v>
      </c>
      <c r="K136" s="1">
        <f>IF(G136&gt;0, (F136-G136)/G136, 0)</f>
        <v>0.2821</v>
      </c>
      <c r="L136" s="2">
        <f>H136*G136</f>
        <v>0</v>
      </c>
      <c r="M136" s="2">
        <f>H136*F136</f>
        <v>0</v>
      </c>
      <c r="N136" s="2">
        <f>M136-L136</f>
        <v>0</v>
      </c>
      <c r="O136" t="str">
        <f>IF(H136&lt;=0, "نفد من المخزن", IF(H136&lt;=I136, "قارب على النفاد", "متوفر بالمخزن"))</f>
        <v>نفد من المخزن</v>
      </c>
      <c r="P136">
        <v>0</v>
      </c>
      <c r="Q136" t="str">
        <v>SKU-0233</v>
      </c>
      <c r="R136" t="str">
        <v/>
      </c>
      <c r="S136" t="str">
        <v/>
      </c>
      <c r="T136" t="str">
        <v/>
      </c>
    </row>
    <row r="137">
      <c r="A137">
        <v>134</v>
      </c>
      <c r="B137" t="str">
        <v>فول حدائق كاليفورنيا خلطة مصرية 400 جم</v>
      </c>
      <c r="C137" t="str">
        <v>6221033001022</v>
      </c>
      <c r="D137" t="str">
        <v/>
      </c>
      <c r="E137" t="str">
        <v>قطعة</v>
      </c>
      <c r="F137">
        <v>26</v>
      </c>
      <c r="G137">
        <v>20.5</v>
      </c>
      <c r="H137">
        <v>0</v>
      </c>
      <c r="I137">
        <v>10</v>
      </c>
      <c r="J137">
        <f>F137-G137</f>
        <v>5.5</v>
      </c>
      <c r="K137" s="1">
        <f>IF(G137&gt;0, (F137-G137)/G137, 0)</f>
        <v>0.2683</v>
      </c>
      <c r="L137" s="2">
        <f>H137*G137</f>
        <v>0</v>
      </c>
      <c r="M137" s="2">
        <f>H137*F137</f>
        <v>0</v>
      </c>
      <c r="N137" s="2">
        <f>M137-L137</f>
        <v>0</v>
      </c>
      <c r="O137" t="str">
        <f>IF(H137&lt;=0, "نفد من المخزن", IF(H137&lt;=I137, "قارب على النفاد", "متوفر بالمخزن"))</f>
        <v>نفد من المخزن</v>
      </c>
      <c r="P137">
        <v>0</v>
      </c>
      <c r="Q137" t="str">
        <v>SKU-0234</v>
      </c>
      <c r="R137" t="str">
        <v/>
      </c>
      <c r="S137" t="str">
        <v/>
      </c>
      <c r="T137" t="str">
        <v/>
      </c>
    </row>
    <row r="138">
      <c r="A138">
        <v>135</v>
      </c>
      <c r="B138" t="str">
        <v>فول حدائق كاليفورنيا بالصلصة 400 جم</v>
      </c>
      <c r="C138" t="str">
        <v>6221033001039</v>
      </c>
      <c r="D138" t="str">
        <v/>
      </c>
      <c r="E138" t="str">
        <v>قطعة</v>
      </c>
      <c r="F138">
        <v>26</v>
      </c>
      <c r="G138">
        <v>20.5</v>
      </c>
      <c r="H138">
        <v>0</v>
      </c>
      <c r="I138">
        <v>8</v>
      </c>
      <c r="J138">
        <f>F138-G138</f>
        <v>5.5</v>
      </c>
      <c r="K138" s="1">
        <f>IF(G138&gt;0, (F138-G138)/G138, 0)</f>
        <v>0.2683</v>
      </c>
      <c r="L138" s="2">
        <f>H138*G138</f>
        <v>0</v>
      </c>
      <c r="M138" s="2">
        <f>H138*F138</f>
        <v>0</v>
      </c>
      <c r="N138" s="2">
        <f>M138-L138</f>
        <v>0</v>
      </c>
      <c r="O138" t="str">
        <f>IF(H138&lt;=0, "نفد من المخزن", IF(H138&lt;=I138, "قارب على النفاد", "متوفر بالمخزن"))</f>
        <v>نفد من المخزن</v>
      </c>
      <c r="P138">
        <v>0</v>
      </c>
      <c r="Q138" t="str">
        <v>SKU-0235</v>
      </c>
      <c r="R138" t="str">
        <v/>
      </c>
      <c r="S138" t="str">
        <v/>
      </c>
      <c r="T138" t="str">
        <v/>
      </c>
    </row>
    <row r="139">
      <c r="A139">
        <v>136</v>
      </c>
      <c r="B139" t="str">
        <v>فول أمريكانا سادة 400 جم</v>
      </c>
      <c r="C139" t="str">
        <v>6221033001046</v>
      </c>
      <c r="D139" t="str">
        <v/>
      </c>
      <c r="E139" t="str">
        <v>قطعة</v>
      </c>
      <c r="F139">
        <v>24</v>
      </c>
      <c r="G139">
        <v>18.5</v>
      </c>
      <c r="H139">
        <v>0</v>
      </c>
      <c r="I139">
        <v>10</v>
      </c>
      <c r="J139">
        <f>F139-G139</f>
        <v>5.5</v>
      </c>
      <c r="K139" s="1">
        <f>IF(G139&gt;0, (F139-G139)/G139, 0)</f>
        <v>0.2973</v>
      </c>
      <c r="L139" s="2">
        <f>H139*G139</f>
        <v>0</v>
      </c>
      <c r="M139" s="2">
        <f>H139*F139</f>
        <v>0</v>
      </c>
      <c r="N139" s="2">
        <f>M139-L139</f>
        <v>0</v>
      </c>
      <c r="O139" t="str">
        <f>IF(H139&lt;=0, "نفد من المخزن", IF(H139&lt;=I139, "قارب على النفاد", "متوفر بالمخزن"))</f>
        <v>نفد من المخزن</v>
      </c>
      <c r="P139">
        <v>0</v>
      </c>
      <c r="Q139" t="str">
        <v>SKU-0236</v>
      </c>
      <c r="R139" t="str">
        <v/>
      </c>
      <c r="S139" t="str">
        <v/>
      </c>
      <c r="T139" t="str">
        <v/>
      </c>
    </row>
    <row r="140">
      <c r="A140">
        <v>137</v>
      </c>
      <c r="B140" t="str">
        <v>فول أمريكانا بالطحينة 400 جم</v>
      </c>
      <c r="C140" t="str">
        <v>6221033001053</v>
      </c>
      <c r="D140" t="str">
        <v/>
      </c>
      <c r="E140" t="str">
        <v>قطعة</v>
      </c>
      <c r="F140">
        <v>26</v>
      </c>
      <c r="G140">
        <v>20.5</v>
      </c>
      <c r="H140">
        <v>0</v>
      </c>
      <c r="I140">
        <v>8</v>
      </c>
      <c r="J140">
        <f>F140-G140</f>
        <v>5.5</v>
      </c>
      <c r="K140" s="1">
        <f>IF(G140&gt;0, (F140-G140)/G140, 0)</f>
        <v>0.2683</v>
      </c>
      <c r="L140" s="2">
        <f>H140*G140</f>
        <v>0</v>
      </c>
      <c r="M140" s="2">
        <f>H140*F140</f>
        <v>0</v>
      </c>
      <c r="N140" s="2">
        <f>M140-L140</f>
        <v>0</v>
      </c>
      <c r="O140" t="str">
        <f>IF(H140&lt;=0, "نفد من المخزن", IF(H140&lt;=I140, "قارب على النفاد", "متوفر بالمخزن"))</f>
        <v>نفد من المخزن</v>
      </c>
      <c r="P140">
        <v>0</v>
      </c>
      <c r="Q140" t="str">
        <v>SKU-0237</v>
      </c>
      <c r="R140" t="str">
        <v/>
      </c>
      <c r="S140" t="str">
        <v/>
      </c>
      <c r="T140" t="str">
        <v/>
      </c>
    </row>
    <row r="141">
      <c r="A141">
        <v>138</v>
      </c>
      <c r="B141" t="str">
        <v>حمص مسلوق حدائق كاليفورنيا 400 جم</v>
      </c>
      <c r="C141" t="str">
        <v>6221033001060</v>
      </c>
      <c r="D141" t="str">
        <v/>
      </c>
      <c r="E141" t="str">
        <v>قطعة</v>
      </c>
      <c r="F141">
        <v>32</v>
      </c>
      <c r="G141">
        <v>25</v>
      </c>
      <c r="H141">
        <v>0</v>
      </c>
      <c r="I141">
        <v>6</v>
      </c>
      <c r="J141">
        <f>F141-G141</f>
        <v>7</v>
      </c>
      <c r="K141" s="1">
        <f>IF(G141&gt;0, (F141-G141)/G141, 0)</f>
        <v>0.28</v>
      </c>
      <c r="L141" s="2">
        <f>H141*G141</f>
        <v>0</v>
      </c>
      <c r="M141" s="2">
        <f>H141*F141</f>
        <v>0</v>
      </c>
      <c r="N141" s="2">
        <f>M141-L141</f>
        <v>0</v>
      </c>
      <c r="O141" t="str">
        <f>IF(H141&lt;=0, "نفد من المخزن", IF(H141&lt;=I141, "قارب على النفاد", "متوفر بالمخزن"))</f>
        <v>نفد من المخزن</v>
      </c>
      <c r="P141">
        <v>0</v>
      </c>
      <c r="Q141" t="str">
        <v>SKU-0238</v>
      </c>
      <c r="R141" t="str">
        <v/>
      </c>
      <c r="S141" t="str">
        <v/>
      </c>
      <c r="T141" t="str">
        <v/>
      </c>
    </row>
    <row r="142">
      <c r="A142">
        <v>139</v>
      </c>
      <c r="B142" t="str">
        <v>ذرة حلوة هارفست 400 جم</v>
      </c>
      <c r="C142" t="str">
        <v>6221018003010</v>
      </c>
      <c r="D142" t="str">
        <v/>
      </c>
      <c r="E142" t="str">
        <v>قطعة</v>
      </c>
      <c r="F142">
        <v>42</v>
      </c>
      <c r="G142">
        <v>33</v>
      </c>
      <c r="H142">
        <v>0</v>
      </c>
      <c r="I142">
        <v>6</v>
      </c>
      <c r="J142">
        <f>F142-G142</f>
        <v>9</v>
      </c>
      <c r="K142" s="1">
        <f>IF(G142&gt;0, (F142-G142)/G142, 0)</f>
        <v>0.2727</v>
      </c>
      <c r="L142" s="2">
        <f>H142*G142</f>
        <v>0</v>
      </c>
      <c r="M142" s="2">
        <f>H142*F142</f>
        <v>0</v>
      </c>
      <c r="N142" s="2">
        <f>M142-L142</f>
        <v>0</v>
      </c>
      <c r="O142" t="str">
        <f>IF(H142&lt;=0, "نفد من المخزن", IF(H142&lt;=I142, "قارب على النفاد", "متوفر بالمخزن"))</f>
        <v>نفد من المخزن</v>
      </c>
      <c r="P142">
        <v>0</v>
      </c>
      <c r="Q142" t="str">
        <v>SKU-0239</v>
      </c>
      <c r="R142" t="str">
        <v/>
      </c>
      <c r="S142" t="str">
        <v/>
      </c>
      <c r="T142" t="str">
        <v/>
      </c>
    </row>
    <row r="143">
      <c r="A143">
        <v>140</v>
      </c>
      <c r="B143" t="str">
        <v>مشروم مقطع حدائق كاليفورنيا 400 جم</v>
      </c>
      <c r="C143" t="str">
        <v>6221033001077</v>
      </c>
      <c r="D143" t="str">
        <v/>
      </c>
      <c r="E143" t="str">
        <v>قطعة</v>
      </c>
      <c r="F143">
        <v>55</v>
      </c>
      <c r="G143">
        <v>44</v>
      </c>
      <c r="H143">
        <v>0</v>
      </c>
      <c r="I143">
        <v>5</v>
      </c>
      <c r="J143">
        <f>F143-G143</f>
        <v>11</v>
      </c>
      <c r="K143" s="1">
        <f>IF(G143&gt;0, (F143-G143)/G143, 0)</f>
        <v>0.25</v>
      </c>
      <c r="L143" s="2">
        <f>H143*G143</f>
        <v>0</v>
      </c>
      <c r="M143" s="2">
        <f>H143*F143</f>
        <v>0</v>
      </c>
      <c r="N143" s="2">
        <f>M143-L143</f>
        <v>0</v>
      </c>
      <c r="O143" t="str">
        <f>IF(H143&lt;=0, "نفد من المخزن", IF(H143&lt;=I143, "قارب على النفاد", "متوفر بالمخزن"))</f>
        <v>نفد من المخزن</v>
      </c>
      <c r="P143">
        <v>0</v>
      </c>
      <c r="Q143" t="str">
        <v>SKU-0240</v>
      </c>
      <c r="R143" t="str">
        <v/>
      </c>
      <c r="S143" t="str">
        <v/>
      </c>
      <c r="T143" t="str">
        <v/>
      </c>
    </row>
    <row r="144">
      <c r="A144">
        <v>141</v>
      </c>
      <c r="B144" t="str">
        <v>ورق عنب وادي فود برطمان 900 جم</v>
      </c>
      <c r="C144" t="str">
        <v>6223000990308</v>
      </c>
      <c r="D144" t="str">
        <v/>
      </c>
      <c r="E144" t="str">
        <v>قطعة</v>
      </c>
      <c r="F144">
        <v>95</v>
      </c>
      <c r="G144">
        <v>78</v>
      </c>
      <c r="H144">
        <v>0</v>
      </c>
      <c r="I144">
        <v>4</v>
      </c>
      <c r="J144">
        <f>F144-G144</f>
        <v>17</v>
      </c>
      <c r="K144" s="1">
        <f>IF(G144&gt;0, (F144-G144)/G144, 0)</f>
        <v>0.2179</v>
      </c>
      <c r="L144" s="2">
        <f>H144*G144</f>
        <v>0</v>
      </c>
      <c r="M144" s="2">
        <f>H144*F144</f>
        <v>0</v>
      </c>
      <c r="N144" s="2">
        <f>M144-L144</f>
        <v>0</v>
      </c>
      <c r="O144" t="str">
        <f>IF(H144&lt;=0, "نفد من المخزن", IF(H144&lt;=I144, "قارب على النفاد", "متوفر بالمخزن"))</f>
        <v>نفد من المخزن</v>
      </c>
      <c r="P144">
        <v>0</v>
      </c>
      <c r="Q144" t="str">
        <v>SKU-0241</v>
      </c>
      <c r="R144" t="str">
        <v/>
      </c>
      <c r="S144" t="str">
        <v/>
      </c>
      <c r="T144" t="str">
        <v/>
      </c>
    </row>
    <row r="145">
      <c r="A145">
        <v>142</v>
      </c>
      <c r="B145" t="str">
        <v>مخلل مشكل بوليف برطمان 1 كجم</v>
      </c>
      <c r="C145" t="str">
        <v>6221060002016</v>
      </c>
      <c r="D145" t="str">
        <v/>
      </c>
      <c r="E145" t="str">
        <v>قطعة</v>
      </c>
      <c r="F145">
        <v>45</v>
      </c>
      <c r="G145">
        <v>34</v>
      </c>
      <c r="H145">
        <v>0</v>
      </c>
      <c r="I145">
        <v>6</v>
      </c>
      <c r="J145">
        <f>F145-G145</f>
        <v>11</v>
      </c>
      <c r="K145" s="1">
        <f>IF(G145&gt;0, (F145-G145)/G145, 0)</f>
        <v>0.3235</v>
      </c>
      <c r="L145" s="2">
        <f>H145*G145</f>
        <v>0</v>
      </c>
      <c r="M145" s="2">
        <f>H145*F145</f>
        <v>0</v>
      </c>
      <c r="N145" s="2">
        <f>M145-L145</f>
        <v>0</v>
      </c>
      <c r="O145" t="str">
        <f>IF(H145&lt;=0, "نفد من المخزن", IF(H145&lt;=I145, "قارب على النفاد", "متوفر بالمخزن"))</f>
        <v>نفد من المخزن</v>
      </c>
      <c r="P145">
        <v>0</v>
      </c>
      <c r="Q145" t="str">
        <v>SKU-0242</v>
      </c>
      <c r="R145" t="str">
        <v/>
      </c>
      <c r="S145" t="str">
        <v/>
      </c>
      <c r="T145" t="str">
        <v/>
      </c>
    </row>
    <row r="146">
      <c r="A146">
        <v>143</v>
      </c>
      <c r="B146" t="str">
        <v>خيار مخلل قها برطمان 670 جم</v>
      </c>
      <c r="C146" t="str">
        <v>6221018004017</v>
      </c>
      <c r="D146" t="str">
        <v/>
      </c>
      <c r="E146" t="str">
        <v>قطعة</v>
      </c>
      <c r="F146">
        <v>38</v>
      </c>
      <c r="G146">
        <v>29</v>
      </c>
      <c r="H146">
        <v>0</v>
      </c>
      <c r="I146">
        <v>5</v>
      </c>
      <c r="J146">
        <f>F146-G146</f>
        <v>9</v>
      </c>
      <c r="K146" s="1">
        <f>IF(G146&gt;0, (F146-G146)/G146, 0)</f>
        <v>0.3103</v>
      </c>
      <c r="L146" s="2">
        <f>H146*G146</f>
        <v>0</v>
      </c>
      <c r="M146" s="2">
        <f>H146*F146</f>
        <v>0</v>
      </c>
      <c r="N146" s="2">
        <f>M146-L146</f>
        <v>0</v>
      </c>
      <c r="O146" t="str">
        <f>IF(H146&lt;=0, "نفد من المخزن", IF(H146&lt;=I146, "قارب على النفاد", "متوفر بالمخزن"))</f>
        <v>نفد من المخزن</v>
      </c>
      <c r="P146">
        <v>0</v>
      </c>
      <c r="Q146" t="str">
        <v>SKU-0243</v>
      </c>
      <c r="R146" t="str">
        <v/>
      </c>
      <c r="S146" t="str">
        <v/>
      </c>
      <c r="T146" t="str">
        <v/>
      </c>
    </row>
    <row r="147">
      <c r="A147">
        <v>144</v>
      </c>
      <c r="B147" t="str">
        <v>زيتون أسود مخلي وادي فود 350 جم</v>
      </c>
      <c r="C147" t="str">
        <v>6223000990315</v>
      </c>
      <c r="D147" t="str">
        <v/>
      </c>
      <c r="E147" t="str">
        <v>قطعة</v>
      </c>
      <c r="F147">
        <v>60</v>
      </c>
      <c r="G147">
        <v>48</v>
      </c>
      <c r="H147">
        <v>0</v>
      </c>
      <c r="I147">
        <v>5</v>
      </c>
      <c r="J147">
        <f>F147-G147</f>
        <v>12</v>
      </c>
      <c r="K147" s="1">
        <f>IF(G147&gt;0, (F147-G147)/G147, 0)</f>
        <v>0.25</v>
      </c>
      <c r="L147" s="2">
        <f>H147*G147</f>
        <v>0</v>
      </c>
      <c r="M147" s="2">
        <f>H147*F147</f>
        <v>0</v>
      </c>
      <c r="N147" s="2">
        <f>M147-L147</f>
        <v>0</v>
      </c>
      <c r="O147" t="str">
        <f>IF(H147&lt;=0, "نفد من المخزن", IF(H147&lt;=I147, "قارب على النفاد", "متوفر بالمخزن"))</f>
        <v>نفد من المخزن</v>
      </c>
      <c r="P147">
        <v>0</v>
      </c>
      <c r="Q147" t="str">
        <v>SKU-0244</v>
      </c>
      <c r="R147" t="str">
        <v/>
      </c>
      <c r="S147" t="str">
        <v/>
      </c>
      <c r="T147" t="str">
        <v/>
      </c>
    </row>
    <row r="148">
      <c r="A148">
        <v>145</v>
      </c>
      <c r="B148" t="str">
        <v>زيتون أخضر كلاماتا وادي فود 650 جم</v>
      </c>
      <c r="C148" t="str">
        <v>6223000990322</v>
      </c>
      <c r="D148" t="str">
        <v/>
      </c>
      <c r="E148" t="str">
        <v>قطعة</v>
      </c>
      <c r="F148">
        <v>85</v>
      </c>
      <c r="G148">
        <v>69</v>
      </c>
      <c r="H148">
        <v>0</v>
      </c>
      <c r="I148">
        <v>4</v>
      </c>
      <c r="J148">
        <f>F148-G148</f>
        <v>16</v>
      </c>
      <c r="K148" s="1">
        <f>IF(G148&gt;0, (F148-G148)/G148, 0)</f>
        <v>0.2319</v>
      </c>
      <c r="L148" s="2">
        <f>H148*G148</f>
        <v>0</v>
      </c>
      <c r="M148" s="2">
        <f>H148*F148</f>
        <v>0</v>
      </c>
      <c r="N148" s="2">
        <f>M148-L148</f>
        <v>0</v>
      </c>
      <c r="O148" t="str">
        <f>IF(H148&lt;=0, "نفد من المخزن", IF(H148&lt;=I148, "قارب على النفاد", "متوفر بالمخزن"))</f>
        <v>نفد من المخزن</v>
      </c>
      <c r="P148">
        <v>0</v>
      </c>
      <c r="Q148" t="str">
        <v>SKU-0245</v>
      </c>
      <c r="R148" t="str">
        <v/>
      </c>
      <c r="S148" t="str">
        <v/>
      </c>
      <c r="T148" t="str">
        <v/>
      </c>
    </row>
    <row r="149">
      <c r="A149">
        <v>146</v>
      </c>
      <c r="B149" t="str">
        <v>فول تدميس بلدي الضحى 500 جم</v>
      </c>
      <c r="C149" t="str">
        <v>6223000660270</v>
      </c>
      <c r="D149" t="str">
        <v/>
      </c>
      <c r="E149" t="str">
        <v>قطعة</v>
      </c>
      <c r="F149">
        <v>45</v>
      </c>
      <c r="G149">
        <v>36.5</v>
      </c>
      <c r="H149">
        <v>0</v>
      </c>
      <c r="I149">
        <v>8</v>
      </c>
      <c r="J149">
        <f>F149-G149</f>
        <v>8.5</v>
      </c>
      <c r="K149" s="1">
        <f>IF(G149&gt;0, (F149-G149)/G149, 0)</f>
        <v>0.2329</v>
      </c>
      <c r="L149" s="2">
        <f>H149*G149</f>
        <v>0</v>
      </c>
      <c r="M149" s="2">
        <f>H149*F149</f>
        <v>0</v>
      </c>
      <c r="N149" s="2">
        <f>M149-L149</f>
        <v>0</v>
      </c>
      <c r="O149" t="str">
        <f>IF(H149&lt;=0, "نفد من المخزن", IF(H149&lt;=I149, "قارب على النفاد", "متوفر بالمخزن"))</f>
        <v>نفد من المخزن</v>
      </c>
      <c r="P149">
        <v>0</v>
      </c>
      <c r="Q149" t="str">
        <v>SKU-0246</v>
      </c>
      <c r="R149" t="str">
        <v/>
      </c>
      <c r="S149" t="str">
        <v/>
      </c>
      <c r="T149" t="str">
        <v/>
      </c>
    </row>
    <row r="150">
      <c r="A150">
        <v>147</v>
      </c>
      <c r="B150" t="str">
        <v>عدس أصفر الضحى 500 جم</v>
      </c>
      <c r="C150" t="str">
        <v>6223000660058</v>
      </c>
      <c r="D150" t="str">
        <v/>
      </c>
      <c r="E150" t="str">
        <v>قطعة</v>
      </c>
      <c r="F150">
        <v>42</v>
      </c>
      <c r="G150">
        <v>34</v>
      </c>
      <c r="H150">
        <v>0</v>
      </c>
      <c r="I150">
        <v>6</v>
      </c>
      <c r="J150">
        <f>F150-G150</f>
        <v>8</v>
      </c>
      <c r="K150" s="1">
        <f>IF(G150&gt;0, (F150-G150)/G150, 0)</f>
        <v>0.2353</v>
      </c>
      <c r="L150" s="2">
        <f>H150*G150</f>
        <v>0</v>
      </c>
      <c r="M150" s="2">
        <f>H150*F150</f>
        <v>0</v>
      </c>
      <c r="N150" s="2">
        <f>M150-L150</f>
        <v>0</v>
      </c>
      <c r="O150" t="str">
        <f>IF(H150&lt;=0, "نفد من المخزن", IF(H150&lt;=I150, "قارب على النفاد", "متوفر بالمخزن"))</f>
        <v>نفد من المخزن</v>
      </c>
      <c r="P150">
        <v>0</v>
      </c>
      <c r="Q150" t="str">
        <v>SKU-0247</v>
      </c>
      <c r="R150" t="str">
        <v/>
      </c>
      <c r="S150" t="str">
        <v/>
      </c>
      <c r="T150" t="str">
        <v/>
      </c>
    </row>
    <row r="151">
      <c r="A151">
        <v>148</v>
      </c>
      <c r="B151" t="str">
        <v>عدس بجبة بني الضحى 500 جم</v>
      </c>
      <c r="C151" t="str">
        <v>6223000660287</v>
      </c>
      <c r="D151" t="str">
        <v/>
      </c>
      <c r="E151" t="str">
        <v>قطعة</v>
      </c>
      <c r="F151">
        <v>40</v>
      </c>
      <c r="G151">
        <v>32</v>
      </c>
      <c r="H151">
        <v>0</v>
      </c>
      <c r="I151">
        <v>6</v>
      </c>
      <c r="J151">
        <f>F151-G151</f>
        <v>8</v>
      </c>
      <c r="K151" s="1">
        <f>IF(G151&gt;0, (F151-G151)/G151, 0)</f>
        <v>0.25</v>
      </c>
      <c r="L151" s="2">
        <f>H151*G151</f>
        <v>0</v>
      </c>
      <c r="M151" s="2">
        <f>H151*F151</f>
        <v>0</v>
      </c>
      <c r="N151" s="2">
        <f>M151-L151</f>
        <v>0</v>
      </c>
      <c r="O151" t="str">
        <f>IF(H151&lt;=0, "نفد من المخزن", IF(H151&lt;=I151, "قارب على النفاد", "متوفر بالمخزن"))</f>
        <v>نفد من المخزن</v>
      </c>
      <c r="P151">
        <v>0</v>
      </c>
      <c r="Q151" t="str">
        <v>SKU-0248</v>
      </c>
      <c r="R151" t="str">
        <v/>
      </c>
      <c r="S151" t="str">
        <v/>
      </c>
      <c r="T151" t="str">
        <v/>
      </c>
    </row>
    <row r="152">
      <c r="A152">
        <v>149</v>
      </c>
      <c r="B152" t="str">
        <v>فاصوليا بيضاء الضحى 500 جم</v>
      </c>
      <c r="C152" t="str">
        <v>6223000660072</v>
      </c>
      <c r="D152" t="str">
        <v/>
      </c>
      <c r="E152" t="str">
        <v>قطعة</v>
      </c>
      <c r="F152">
        <v>50</v>
      </c>
      <c r="G152">
        <v>41</v>
      </c>
      <c r="H152">
        <v>0</v>
      </c>
      <c r="I152">
        <v>5</v>
      </c>
      <c r="J152">
        <f>F152-G152</f>
        <v>9</v>
      </c>
      <c r="K152" s="1">
        <f>IF(G152&gt;0, (F152-G152)/G152, 0)</f>
        <v>0.2195</v>
      </c>
      <c r="L152" s="2">
        <f>H152*G152</f>
        <v>0</v>
      </c>
      <c r="M152" s="2">
        <f>H152*F152</f>
        <v>0</v>
      </c>
      <c r="N152" s="2">
        <f>M152-L152</f>
        <v>0</v>
      </c>
      <c r="O152" t="str">
        <f>IF(H152&lt;=0, "نفد من المخزن", IF(H152&lt;=I152, "قارب على النفاد", "متوفر بالمخزن"))</f>
        <v>نفد من المخزن</v>
      </c>
      <c r="P152">
        <v>0</v>
      </c>
      <c r="Q152" t="str">
        <v>SKU-0249</v>
      </c>
      <c r="R152" t="str">
        <v/>
      </c>
      <c r="S152" t="str">
        <v/>
      </c>
      <c r="T152" t="str">
        <v/>
      </c>
    </row>
    <row r="153">
      <c r="A153">
        <v>150</v>
      </c>
      <c r="B153" t="str">
        <v>لوبيا جافة الضحى 500 جم</v>
      </c>
      <c r="C153" t="str">
        <v>6223000660065</v>
      </c>
      <c r="D153" t="str">
        <v/>
      </c>
      <c r="E153" t="str">
        <v>قطعة</v>
      </c>
      <c r="F153">
        <v>48</v>
      </c>
      <c r="G153">
        <v>39</v>
      </c>
      <c r="H153">
        <v>0</v>
      </c>
      <c r="I153">
        <v>5</v>
      </c>
      <c r="J153">
        <f>F153-G153</f>
        <v>9</v>
      </c>
      <c r="K153" s="1">
        <f>IF(G153&gt;0, (F153-G153)/G153, 0)</f>
        <v>0.2308</v>
      </c>
      <c r="L153" s="2">
        <f>H153*G153</f>
        <v>0</v>
      </c>
      <c r="M153" s="2">
        <f>H153*F153</f>
        <v>0</v>
      </c>
      <c r="N153" s="2">
        <f>M153-L153</f>
        <v>0</v>
      </c>
      <c r="O153" t="str">
        <f>IF(H153&lt;=0, "نفد من المخزن", IF(H153&lt;=I153, "قارب على النفاد", "متوفر بالمخزن"))</f>
        <v>نفد من المخزن</v>
      </c>
      <c r="P153">
        <v>0</v>
      </c>
      <c r="Q153" t="str">
        <v>SKU-0250</v>
      </c>
      <c r="R153" t="str">
        <v/>
      </c>
      <c r="S153" t="str">
        <v/>
      </c>
      <c r="T153" t="str">
        <v/>
      </c>
    </row>
    <row r="154">
      <c r="A154">
        <v>151</v>
      </c>
      <c r="B154" t="str">
        <v>حمص شام الضحى 500 جم</v>
      </c>
      <c r="C154" t="str">
        <v>6223000660294</v>
      </c>
      <c r="D154" t="str">
        <v/>
      </c>
      <c r="E154" t="str">
        <v>قطعة</v>
      </c>
      <c r="F154">
        <v>46</v>
      </c>
      <c r="G154">
        <v>37</v>
      </c>
      <c r="H154">
        <v>0</v>
      </c>
      <c r="I154">
        <v>5</v>
      </c>
      <c r="J154">
        <f>F154-G154</f>
        <v>9</v>
      </c>
      <c r="K154" s="1">
        <f>IF(G154&gt;0, (F154-G154)/G154, 0)</f>
        <v>0.2432</v>
      </c>
      <c r="L154" s="2">
        <f>H154*G154</f>
        <v>0</v>
      </c>
      <c r="M154" s="2">
        <f>H154*F154</f>
        <v>0</v>
      </c>
      <c r="N154" s="2">
        <f>M154-L154</f>
        <v>0</v>
      </c>
      <c r="O154" t="str">
        <f>IF(H154&lt;=0, "نفد من المخزن", IF(H154&lt;=I154, "قارب على النفاد", "متوفر بالمخزن"))</f>
        <v>نفد من المخزن</v>
      </c>
      <c r="P154">
        <v>0</v>
      </c>
      <c r="Q154" t="str">
        <v>SKU-0251</v>
      </c>
      <c r="R154" t="str">
        <v/>
      </c>
      <c r="S154" t="str">
        <v/>
      </c>
      <c r="T154" t="str">
        <v/>
      </c>
    </row>
    <row r="155">
      <c r="A155">
        <v>152</v>
      </c>
      <c r="B155" t="str">
        <v>ذرة فشار الضحى 500 جم</v>
      </c>
      <c r="C155" t="str">
        <v>6223000660300</v>
      </c>
      <c r="D155" t="str">
        <v/>
      </c>
      <c r="E155" t="str">
        <v>قطعة</v>
      </c>
      <c r="F155">
        <v>32</v>
      </c>
      <c r="G155">
        <v>25</v>
      </c>
      <c r="H155">
        <v>0</v>
      </c>
      <c r="I155">
        <v>6</v>
      </c>
      <c r="J155">
        <f>F155-G155</f>
        <v>7</v>
      </c>
      <c r="K155" s="1">
        <f>IF(G155&gt;0, (F155-G155)/G155, 0)</f>
        <v>0.28</v>
      </c>
      <c r="L155" s="2">
        <f>H155*G155</f>
        <v>0</v>
      </c>
      <c r="M155" s="2">
        <f>H155*F155</f>
        <v>0</v>
      </c>
      <c r="N155" s="2">
        <f>M155-L155</f>
        <v>0</v>
      </c>
      <c r="O155" t="str">
        <f>IF(H155&lt;=0, "نفد من المخزن", IF(H155&lt;=I155, "قارب على النفاد", "متوفر بالمخزن"))</f>
        <v>نفد من المخزن</v>
      </c>
      <c r="P155">
        <v>0</v>
      </c>
      <c r="Q155" t="str">
        <v>SKU-0252</v>
      </c>
      <c r="R155" t="str">
        <v/>
      </c>
      <c r="S155" t="str">
        <v/>
      </c>
      <c r="T155" t="str">
        <v/>
      </c>
    </row>
    <row r="156">
      <c r="A156">
        <v>153</v>
      </c>
      <c r="B156" t="str">
        <v>فريك منقى الضحى 500 جم</v>
      </c>
      <c r="C156" t="str">
        <v>6223000660317</v>
      </c>
      <c r="D156" t="str">
        <v/>
      </c>
      <c r="E156" t="str">
        <v>قطعة</v>
      </c>
      <c r="F156">
        <v>42</v>
      </c>
      <c r="G156">
        <v>33.5</v>
      </c>
      <c r="H156">
        <v>0</v>
      </c>
      <c r="I156">
        <v>5</v>
      </c>
      <c r="J156">
        <f>F156-G156</f>
        <v>8.5</v>
      </c>
      <c r="K156" s="1">
        <f>IF(G156&gt;0, (F156-G156)/G156, 0)</f>
        <v>0.2537</v>
      </c>
      <c r="L156" s="2">
        <f>H156*G156</f>
        <v>0</v>
      </c>
      <c r="M156" s="2">
        <f>H156*F156</f>
        <v>0</v>
      </c>
      <c r="N156" s="2">
        <f>M156-L156</f>
        <v>0</v>
      </c>
      <c r="O156" t="str">
        <f>IF(H156&lt;=0, "نفد من المخزن", IF(H156&lt;=I156, "قارب على النفاد", "متوفر بالمخزن"))</f>
        <v>نفد من المخزن</v>
      </c>
      <c r="P156">
        <v>0</v>
      </c>
      <c r="Q156" t="str">
        <v>SKU-0253</v>
      </c>
      <c r="R156" t="str">
        <v/>
      </c>
      <c r="S156" t="str">
        <v/>
      </c>
      <c r="T156" t="str">
        <v/>
      </c>
    </row>
    <row r="157">
      <c r="A157">
        <v>154</v>
      </c>
      <c r="B157" t="str">
        <v>برغل ناعم الضحى 500 جم</v>
      </c>
      <c r="C157" t="str">
        <v>6223000660324</v>
      </c>
      <c r="D157" t="str">
        <v/>
      </c>
      <c r="E157" t="str">
        <v>قطعة</v>
      </c>
      <c r="F157">
        <v>32</v>
      </c>
      <c r="G157">
        <v>25.5</v>
      </c>
      <c r="H157">
        <v>0</v>
      </c>
      <c r="I157">
        <v>5</v>
      </c>
      <c r="J157">
        <f>F157-G157</f>
        <v>6.5</v>
      </c>
      <c r="K157" s="1">
        <f>IF(G157&gt;0, (F157-G157)/G157, 0)</f>
        <v>0.2549</v>
      </c>
      <c r="L157" s="2">
        <f>H157*G157</f>
        <v>0</v>
      </c>
      <c r="M157" s="2">
        <f>H157*F157</f>
        <v>0</v>
      </c>
      <c r="N157" s="2">
        <f>M157-L157</f>
        <v>0</v>
      </c>
      <c r="O157" t="str">
        <f>IF(H157&lt;=0, "نفد من المخزن", IF(H157&lt;=I157, "قارب على النفاد", "متوفر بالمخزن"))</f>
        <v>نفد من المخزن</v>
      </c>
      <c r="P157">
        <v>0</v>
      </c>
      <c r="Q157" t="str">
        <v>SKU-0254</v>
      </c>
      <c r="R157" t="str">
        <v/>
      </c>
      <c r="S157" t="str">
        <v/>
      </c>
      <c r="T157" t="str">
        <v/>
      </c>
    </row>
    <row r="158">
      <c r="A158">
        <v>155</v>
      </c>
      <c r="B158" t="str">
        <v>شوفان حبوب كاملة لينو 500 جم</v>
      </c>
      <c r="C158" t="str">
        <v>6224004401012</v>
      </c>
      <c r="D158" t="str">
        <v/>
      </c>
      <c r="E158" t="str">
        <v>قطعة</v>
      </c>
      <c r="F158">
        <v>55</v>
      </c>
      <c r="G158">
        <v>43</v>
      </c>
      <c r="H158">
        <v>0</v>
      </c>
      <c r="I158">
        <v>5</v>
      </c>
      <c r="J158">
        <f>F158-G158</f>
        <v>12</v>
      </c>
      <c r="K158" s="1">
        <f>IF(G158&gt;0, (F158-G158)/G158, 0)</f>
        <v>0.2791</v>
      </c>
      <c r="L158" s="2">
        <f>H158*G158</f>
        <v>0</v>
      </c>
      <c r="M158" s="2">
        <f>H158*F158</f>
        <v>0</v>
      </c>
      <c r="N158" s="2">
        <f>M158-L158</f>
        <v>0</v>
      </c>
      <c r="O158" t="str">
        <f>IF(H158&lt;=0, "نفد من المخزن", IF(H158&lt;=I158, "قارب على النفاد", "متوفر بالمخزن"))</f>
        <v>نفد من المخزن</v>
      </c>
      <c r="P158">
        <v>0</v>
      </c>
      <c r="Q158" t="str">
        <v>SKU-0255</v>
      </c>
      <c r="R158" t="str">
        <v/>
      </c>
      <c r="S158" t="str">
        <v/>
      </c>
      <c r="T158" t="str">
        <v/>
      </c>
    </row>
    <row r="159">
      <c r="A159">
        <v>156</v>
      </c>
      <c r="B159" t="str">
        <v>حلاوة طحينية الرشيدي الميزان 500 جم</v>
      </c>
      <c r="C159" t="str">
        <v>6221015001019</v>
      </c>
      <c r="D159" t="str">
        <v/>
      </c>
      <c r="E159" t="str">
        <v>قطعة</v>
      </c>
      <c r="F159">
        <v>60</v>
      </c>
      <c r="G159">
        <v>48</v>
      </c>
      <c r="H159">
        <v>0</v>
      </c>
      <c r="I159">
        <v>6</v>
      </c>
      <c r="J159">
        <f>F159-G159</f>
        <v>12</v>
      </c>
      <c r="K159" s="1">
        <f>IF(G159&gt;0, (F159-G159)/G159, 0)</f>
        <v>0.25</v>
      </c>
      <c r="L159" s="2">
        <f>H159*G159</f>
        <v>0</v>
      </c>
      <c r="M159" s="2">
        <f>H159*F159</f>
        <v>0</v>
      </c>
      <c r="N159" s="2">
        <f>M159-L159</f>
        <v>0</v>
      </c>
      <c r="O159" t="str">
        <f>IF(H159&lt;=0, "نفد من المخزن", IF(H159&lt;=I159, "قارب على النفاد", "متوفر بالمخزن"))</f>
        <v>نفد من المخزن</v>
      </c>
      <c r="P159">
        <v>0</v>
      </c>
      <c r="Q159" t="str">
        <v>SKU-0256</v>
      </c>
      <c r="R159" t="str">
        <v/>
      </c>
      <c r="S159" t="str">
        <v/>
      </c>
      <c r="T159" t="str">
        <v/>
      </c>
    </row>
    <row r="160">
      <c r="A160">
        <v>157</v>
      </c>
      <c r="B160" t="str">
        <v>حلاوة طحينية الرشيدي الميزان 250 جم</v>
      </c>
      <c r="C160" t="str">
        <v>6221015001026</v>
      </c>
      <c r="D160" t="str">
        <v/>
      </c>
      <c r="E160" t="str">
        <v>قطعة</v>
      </c>
      <c r="F160">
        <v>32</v>
      </c>
      <c r="G160">
        <v>25.5</v>
      </c>
      <c r="H160">
        <v>0</v>
      </c>
      <c r="I160">
        <v>8</v>
      </c>
      <c r="J160">
        <f>F160-G160</f>
        <v>6.5</v>
      </c>
      <c r="K160" s="1">
        <f>IF(G160&gt;0, (F160-G160)/G160, 0)</f>
        <v>0.2549</v>
      </c>
      <c r="L160" s="2">
        <f>H160*G160</f>
        <v>0</v>
      </c>
      <c r="M160" s="2">
        <f>H160*F160</f>
        <v>0</v>
      </c>
      <c r="N160" s="2">
        <f>M160-L160</f>
        <v>0</v>
      </c>
      <c r="O160" t="str">
        <f>IF(H160&lt;=0, "نفد من المخزن", IF(H160&lt;=I160, "قارب على النفاد", "متوفر بالمخزن"))</f>
        <v>نفد من المخزن</v>
      </c>
      <c r="P160">
        <v>0</v>
      </c>
      <c r="Q160" t="str">
        <v>SKU-0257</v>
      </c>
      <c r="R160" t="str">
        <v/>
      </c>
      <c r="S160" t="str">
        <v/>
      </c>
      <c r="T160" t="str">
        <v/>
      </c>
    </row>
    <row r="161">
      <c r="A161">
        <v>158</v>
      </c>
      <c r="B161" t="str">
        <v>حلاوة طحينية بالشيكولاتة الرشيدي 250 جم</v>
      </c>
      <c r="C161" t="str">
        <v>6221015001033</v>
      </c>
      <c r="D161" t="str">
        <v/>
      </c>
      <c r="E161" t="str">
        <v>قطعة</v>
      </c>
      <c r="F161">
        <v>35</v>
      </c>
      <c r="G161">
        <v>28</v>
      </c>
      <c r="H161">
        <v>0</v>
      </c>
      <c r="I161">
        <v>6</v>
      </c>
      <c r="J161">
        <f>F161-G161</f>
        <v>7</v>
      </c>
      <c r="K161" s="1">
        <f>IF(G161&gt;0, (F161-G161)/G161, 0)</f>
        <v>0.25</v>
      </c>
      <c r="L161" s="2">
        <f>H161*G161</f>
        <v>0</v>
      </c>
      <c r="M161" s="2">
        <f>H161*F161</f>
        <v>0</v>
      </c>
      <c r="N161" s="2">
        <f>M161-L161</f>
        <v>0</v>
      </c>
      <c r="O161" t="str">
        <f>IF(H161&lt;=0, "نفد من المخزن", IF(H161&lt;=I161, "قارب على النفاد", "متوفر بالمخزن"))</f>
        <v>نفد من المخزن</v>
      </c>
      <c r="P161">
        <v>0</v>
      </c>
      <c r="Q161" t="str">
        <v>SKU-0258</v>
      </c>
      <c r="R161" t="str">
        <v/>
      </c>
      <c r="S161" t="str">
        <v/>
      </c>
      <c r="T161" t="str">
        <v/>
      </c>
    </row>
    <row r="162">
      <c r="A162">
        <v>159</v>
      </c>
      <c r="B162" t="str">
        <v>طحينة بيضاء الرشيدي الميزان 500 جم</v>
      </c>
      <c r="C162" t="str">
        <v>6221015002016</v>
      </c>
      <c r="D162" t="str">
        <v/>
      </c>
      <c r="E162" t="str">
        <v>قطعة</v>
      </c>
      <c r="F162">
        <v>75</v>
      </c>
      <c r="G162">
        <v>60</v>
      </c>
      <c r="H162">
        <v>0</v>
      </c>
      <c r="I162">
        <v>5</v>
      </c>
      <c r="J162">
        <f>F162-G162</f>
        <v>15</v>
      </c>
      <c r="K162" s="1">
        <f>IF(G162&gt;0, (F162-G162)/G162, 0)</f>
        <v>0.25</v>
      </c>
      <c r="L162" s="2">
        <f>H162*G162</f>
        <v>0</v>
      </c>
      <c r="M162" s="2">
        <f>H162*F162</f>
        <v>0</v>
      </c>
      <c r="N162" s="2">
        <f>M162-L162</f>
        <v>0</v>
      </c>
      <c r="O162" t="str">
        <f>IF(H162&lt;=0, "نفد من المخزن", IF(H162&lt;=I162, "قارب على النفاد", "متوفر بالمخزن"))</f>
        <v>نفد من المخزن</v>
      </c>
      <c r="P162">
        <v>0</v>
      </c>
      <c r="Q162" t="str">
        <v>SKU-0259</v>
      </c>
      <c r="R162" t="str">
        <v/>
      </c>
      <c r="S162" t="str">
        <v/>
      </c>
      <c r="T162" t="str">
        <v/>
      </c>
    </row>
    <row r="163">
      <c r="A163">
        <v>160</v>
      </c>
      <c r="B163" t="str">
        <v>طحينة بيضاء الرشيدي الميزان 250 جم</v>
      </c>
      <c r="C163" t="str">
        <v>6221015002023</v>
      </c>
      <c r="D163" t="str">
        <v/>
      </c>
      <c r="E163" t="str">
        <v>قطعة</v>
      </c>
      <c r="F163">
        <v>40</v>
      </c>
      <c r="G163">
        <v>32</v>
      </c>
      <c r="H163">
        <v>0</v>
      </c>
      <c r="I163">
        <v>6</v>
      </c>
      <c r="J163">
        <f>F163-G163</f>
        <v>8</v>
      </c>
      <c r="K163" s="1">
        <f>IF(G163&gt;0, (F163-G163)/G163, 0)</f>
        <v>0.25</v>
      </c>
      <c r="L163" s="2">
        <f>H163*G163</f>
        <v>0</v>
      </c>
      <c r="M163" s="2">
        <f>H163*F163</f>
        <v>0</v>
      </c>
      <c r="N163" s="2">
        <f>M163-L163</f>
        <v>0</v>
      </c>
      <c r="O163" t="str">
        <f>IF(H163&lt;=0, "نفد من المخزن", IF(H163&lt;=I163, "قارب على النفاد", "متوفر بالمخزن"))</f>
        <v>نفد من المخزن</v>
      </c>
      <c r="P163">
        <v>0</v>
      </c>
      <c r="Q163" t="str">
        <v>SKU-0260</v>
      </c>
      <c r="R163" t="str">
        <v/>
      </c>
      <c r="S163" t="str">
        <v/>
      </c>
      <c r="T163" t="str">
        <v/>
      </c>
    </row>
    <row r="164">
      <c r="A164">
        <v>161</v>
      </c>
      <c r="B164" t="str">
        <v>طحينة سمسم البوادي 500 جم</v>
      </c>
      <c r="C164" t="str">
        <v>6221015003013</v>
      </c>
      <c r="D164" t="str">
        <v/>
      </c>
      <c r="E164" t="str">
        <v>قطعة</v>
      </c>
      <c r="F164">
        <v>72</v>
      </c>
      <c r="G164">
        <v>58</v>
      </c>
      <c r="H164">
        <v>0</v>
      </c>
      <c r="I164">
        <v>5</v>
      </c>
      <c r="J164">
        <f>F164-G164</f>
        <v>14</v>
      </c>
      <c r="K164" s="1">
        <f>IF(G164&gt;0, (F164-G164)/G164, 0)</f>
        <v>0.2414</v>
      </c>
      <c r="L164" s="2">
        <f>H164*G164</f>
        <v>0</v>
      </c>
      <c r="M164" s="2">
        <f>H164*F164</f>
        <v>0</v>
      </c>
      <c r="N164" s="2">
        <f>M164-L164</f>
        <v>0</v>
      </c>
      <c r="O164" t="str">
        <f>IF(H164&lt;=0, "نفد من المخزن", IF(H164&lt;=I164, "قارب على النفاد", "متوفر بالمخزن"))</f>
        <v>نفد من المخزن</v>
      </c>
      <c r="P164">
        <v>0</v>
      </c>
      <c r="Q164" t="str">
        <v>SKU-0261</v>
      </c>
      <c r="R164" t="str">
        <v/>
      </c>
      <c r="S164" t="str">
        <v/>
      </c>
      <c r="T164" t="str">
        <v/>
      </c>
    </row>
    <row r="165">
      <c r="A165">
        <v>162</v>
      </c>
      <c r="B165" t="str">
        <v>عسل نحل إمتنان زهور برية 450 جم</v>
      </c>
      <c r="C165" t="str">
        <v>6223000990018</v>
      </c>
      <c r="D165" t="str">
        <v/>
      </c>
      <c r="E165" t="str">
        <v>قطعة</v>
      </c>
      <c r="F165">
        <v>95</v>
      </c>
      <c r="G165">
        <v>76</v>
      </c>
      <c r="H165">
        <v>0</v>
      </c>
      <c r="I165">
        <v>4</v>
      </c>
      <c r="J165">
        <f>F165-G165</f>
        <v>19</v>
      </c>
      <c r="K165" s="1">
        <f>IF(G165&gt;0, (F165-G165)/G165, 0)</f>
        <v>0.25</v>
      </c>
      <c r="L165" s="2">
        <f>H165*G165</f>
        <v>0</v>
      </c>
      <c r="M165" s="2">
        <f>H165*F165</f>
        <v>0</v>
      </c>
      <c r="N165" s="2">
        <f>M165-L165</f>
        <v>0</v>
      </c>
      <c r="O165" t="str">
        <f>IF(H165&lt;=0, "نفد من المخزن", IF(H165&lt;=I165, "قارب على النفاد", "متوفر بالمخزن"))</f>
        <v>نفد من المخزن</v>
      </c>
      <c r="P165">
        <v>0</v>
      </c>
      <c r="Q165" t="str">
        <v>SKU-0262</v>
      </c>
      <c r="R165" t="str">
        <v/>
      </c>
      <c r="S165" t="str">
        <v/>
      </c>
      <c r="T165" t="str">
        <v/>
      </c>
    </row>
    <row r="166">
      <c r="A166">
        <v>163</v>
      </c>
      <c r="B166" t="str">
        <v>عسل نحل إمتنان زهور موالح 450 جم</v>
      </c>
      <c r="C166" t="str">
        <v>6223000990032</v>
      </c>
      <c r="D166" t="str">
        <v/>
      </c>
      <c r="E166" t="str">
        <v>قطعة</v>
      </c>
      <c r="F166">
        <v>105</v>
      </c>
      <c r="G166">
        <v>85</v>
      </c>
      <c r="H166">
        <v>0</v>
      </c>
      <c r="I166">
        <v>4</v>
      </c>
      <c r="J166">
        <f>F166-G166</f>
        <v>20</v>
      </c>
      <c r="K166" s="1">
        <f>IF(G166&gt;0, (F166-G166)/G166, 0)</f>
        <v>0.2353</v>
      </c>
      <c r="L166" s="2">
        <f>H166*G166</f>
        <v>0</v>
      </c>
      <c r="M166" s="2">
        <f>H166*F166</f>
        <v>0</v>
      </c>
      <c r="N166" s="2">
        <f>M166-L166</f>
        <v>0</v>
      </c>
      <c r="O166" t="str">
        <f>IF(H166&lt;=0, "نفد من المخزن", IF(H166&lt;=I166, "قارب على النفاد", "متوفر بالمخزن"))</f>
        <v>نفد من المخزن</v>
      </c>
      <c r="P166">
        <v>0</v>
      </c>
      <c r="Q166" t="str">
        <v>SKU-0263</v>
      </c>
      <c r="R166" t="str">
        <v/>
      </c>
      <c r="S166" t="str">
        <v/>
      </c>
      <c r="T166" t="str">
        <v/>
      </c>
    </row>
    <row r="167">
      <c r="A167">
        <v>164</v>
      </c>
      <c r="B167" t="str">
        <v>عسل نحل هيرو زهور ربيعية 350 جم</v>
      </c>
      <c r="C167" t="str">
        <v>7610095110014</v>
      </c>
      <c r="D167" t="str">
        <v/>
      </c>
      <c r="E167" t="str">
        <v>قطعة</v>
      </c>
      <c r="F167">
        <v>75</v>
      </c>
      <c r="G167">
        <v>60</v>
      </c>
      <c r="H167">
        <v>0</v>
      </c>
      <c r="I167">
        <v>4</v>
      </c>
      <c r="J167">
        <f>F167-G167</f>
        <v>15</v>
      </c>
      <c r="K167" s="1">
        <f>IF(G167&gt;0, (F167-G167)/G167, 0)</f>
        <v>0.25</v>
      </c>
      <c r="L167" s="2">
        <f>H167*G167</f>
        <v>0</v>
      </c>
      <c r="M167" s="2">
        <f>H167*F167</f>
        <v>0</v>
      </c>
      <c r="N167" s="2">
        <f>M167-L167</f>
        <v>0</v>
      </c>
      <c r="O167" t="str">
        <f>IF(H167&lt;=0, "نفد من المخزن", IF(H167&lt;=I167, "قارب على النفاد", "متوفر بالمخزن"))</f>
        <v>نفد من المخزن</v>
      </c>
      <c r="P167">
        <v>0</v>
      </c>
      <c r="Q167" t="str">
        <v>SKU-0264</v>
      </c>
      <c r="R167" t="str">
        <v/>
      </c>
      <c r="S167" t="str">
        <v/>
      </c>
      <c r="T167" t="str">
        <v/>
      </c>
    </row>
    <row r="168">
      <c r="A168">
        <v>165</v>
      </c>
      <c r="B168" t="str">
        <v>عسل أسود وادي فود 700 جم</v>
      </c>
      <c r="C168" t="str">
        <v>6223000990025</v>
      </c>
      <c r="D168" t="str">
        <v/>
      </c>
      <c r="E168" t="str">
        <v>قطعة</v>
      </c>
      <c r="F168">
        <v>45</v>
      </c>
      <c r="G168">
        <v>34</v>
      </c>
      <c r="H168">
        <v>0</v>
      </c>
      <c r="I168">
        <v>5</v>
      </c>
      <c r="J168">
        <f>F168-G168</f>
        <v>11</v>
      </c>
      <c r="K168" s="1">
        <f>IF(G168&gt;0, (F168-G168)/G168, 0)</f>
        <v>0.3235</v>
      </c>
      <c r="L168" s="2">
        <f>H168*G168</f>
        <v>0</v>
      </c>
      <c r="M168" s="2">
        <f>H168*F168</f>
        <v>0</v>
      </c>
      <c r="N168" s="2">
        <f>M168-L168</f>
        <v>0</v>
      </c>
      <c r="O168" t="str">
        <f>IF(H168&lt;=0, "نفد من المخزن", IF(H168&lt;=I168, "قارب على النفاد", "متوفر بالمخزن"))</f>
        <v>نفد من المخزن</v>
      </c>
      <c r="P168">
        <v>0</v>
      </c>
      <c r="Q168" t="str">
        <v>SKU-0265</v>
      </c>
      <c r="R168" t="str">
        <v/>
      </c>
      <c r="S168" t="str">
        <v/>
      </c>
      <c r="T168" t="str">
        <v/>
      </c>
    </row>
    <row r="169">
      <c r="A169">
        <v>166</v>
      </c>
      <c r="B169" t="str">
        <v>عسل أسود الرشيدي الميزان 350 جم</v>
      </c>
      <c r="C169" t="str">
        <v>6221015004010</v>
      </c>
      <c r="D169" t="str">
        <v/>
      </c>
      <c r="E169" t="str">
        <v>قطعة</v>
      </c>
      <c r="F169">
        <v>25</v>
      </c>
      <c r="G169">
        <v>19</v>
      </c>
      <c r="H169">
        <v>0</v>
      </c>
      <c r="I169">
        <v>6</v>
      </c>
      <c r="J169">
        <f>F169-G169</f>
        <v>6</v>
      </c>
      <c r="K169" s="1">
        <f>IF(G169&gt;0, (F169-G169)/G169, 0)</f>
        <v>0.3158</v>
      </c>
      <c r="L169" s="2">
        <f>H169*G169</f>
        <v>0</v>
      </c>
      <c r="M169" s="2">
        <f>H169*F169</f>
        <v>0</v>
      </c>
      <c r="N169" s="2">
        <f>M169-L169</f>
        <v>0</v>
      </c>
      <c r="O169" t="str">
        <f>IF(H169&lt;=0, "نفد من المخزن", IF(H169&lt;=I169, "قارب على النفاد", "متوفر بالمخزن"))</f>
        <v>نفد من المخزن</v>
      </c>
      <c r="P169">
        <v>0</v>
      </c>
      <c r="Q169" t="str">
        <v>SKU-0266</v>
      </c>
      <c r="R169" t="str">
        <v/>
      </c>
      <c r="S169" t="str">
        <v/>
      </c>
      <c r="T169" t="str">
        <v/>
      </c>
    </row>
    <row r="170">
      <c r="A170">
        <v>167</v>
      </c>
      <c r="B170" t="str">
        <v>مربى حلواني فراولة 380 جم</v>
      </c>
      <c r="C170" t="str">
        <v>6221028001013</v>
      </c>
      <c r="D170" t="str">
        <v/>
      </c>
      <c r="E170" t="str">
        <v>قطعة</v>
      </c>
      <c r="F170">
        <v>38</v>
      </c>
      <c r="G170">
        <v>29</v>
      </c>
      <c r="H170">
        <v>0</v>
      </c>
      <c r="I170">
        <v>5</v>
      </c>
      <c r="J170">
        <f>F170-G170</f>
        <v>9</v>
      </c>
      <c r="K170" s="1">
        <f>IF(G170&gt;0, (F170-G170)/G170, 0)</f>
        <v>0.3103</v>
      </c>
      <c r="L170" s="2">
        <f>H170*G170</f>
        <v>0</v>
      </c>
      <c r="M170" s="2">
        <f>H170*F170</f>
        <v>0</v>
      </c>
      <c r="N170" s="2">
        <f>M170-L170</f>
        <v>0</v>
      </c>
      <c r="O170" t="str">
        <f>IF(H170&lt;=0, "نفد من المخزن", IF(H170&lt;=I170, "قارب على النفاد", "متوفر بالمخزن"))</f>
        <v>نفد من المخزن</v>
      </c>
      <c r="P170">
        <v>0</v>
      </c>
      <c r="Q170" t="str">
        <v>SKU-0267</v>
      </c>
      <c r="R170" t="str">
        <v/>
      </c>
      <c r="S170" t="str">
        <v/>
      </c>
      <c r="T170" t="str">
        <v/>
      </c>
    </row>
    <row r="171">
      <c r="A171">
        <v>168</v>
      </c>
      <c r="B171" t="str">
        <v>مربى حلواني تين 380 جم</v>
      </c>
      <c r="C171" t="str">
        <v>6221028001020</v>
      </c>
      <c r="D171" t="str">
        <v/>
      </c>
      <c r="E171" t="str">
        <v>قطعة</v>
      </c>
      <c r="F171">
        <v>38</v>
      </c>
      <c r="G171">
        <v>29</v>
      </c>
      <c r="H171">
        <v>0</v>
      </c>
      <c r="I171">
        <v>5</v>
      </c>
      <c r="J171">
        <f>F171-G171</f>
        <v>9</v>
      </c>
      <c r="K171" s="1">
        <f>IF(G171&gt;0, (F171-G171)/G171, 0)</f>
        <v>0.3103</v>
      </c>
      <c r="L171" s="2">
        <f>H171*G171</f>
        <v>0</v>
      </c>
      <c r="M171" s="2">
        <f>H171*F171</f>
        <v>0</v>
      </c>
      <c r="N171" s="2">
        <f>M171-L171</f>
        <v>0</v>
      </c>
      <c r="O171" t="str">
        <f>IF(H171&lt;=0, "نفد من المخزن", IF(H171&lt;=I171, "قارب على النفاد", "متوفر بالمخزن"))</f>
        <v>نفد من المخزن</v>
      </c>
      <c r="P171">
        <v>0</v>
      </c>
      <c r="Q171" t="str">
        <v>SKU-0268</v>
      </c>
      <c r="R171" t="str">
        <v/>
      </c>
      <c r="S171" t="str">
        <v/>
      </c>
      <c r="T171" t="str">
        <v/>
      </c>
    </row>
    <row r="172">
      <c r="A172">
        <v>169</v>
      </c>
      <c r="B172" t="str">
        <v>مربى حلواني مشمش 380 جم</v>
      </c>
      <c r="C172" t="str">
        <v>6221028001037</v>
      </c>
      <c r="D172" t="str">
        <v/>
      </c>
      <c r="E172" t="str">
        <v>قطعة</v>
      </c>
      <c r="F172">
        <v>38</v>
      </c>
      <c r="G172">
        <v>29</v>
      </c>
      <c r="H172">
        <v>0</v>
      </c>
      <c r="I172">
        <v>5</v>
      </c>
      <c r="J172">
        <f>F172-G172</f>
        <v>9</v>
      </c>
      <c r="K172" s="1">
        <f>IF(G172&gt;0, (F172-G172)/G172, 0)</f>
        <v>0.3103</v>
      </c>
      <c r="L172" s="2">
        <f>H172*G172</f>
        <v>0</v>
      </c>
      <c r="M172" s="2">
        <f>H172*F172</f>
        <v>0</v>
      </c>
      <c r="N172" s="2">
        <f>M172-L172</f>
        <v>0</v>
      </c>
      <c r="O172" t="str">
        <f>IF(H172&lt;=0, "نفد من المخزن", IF(H172&lt;=I172, "قارب على النفاد", "متوفر بالمخزن"))</f>
        <v>نفد من المخزن</v>
      </c>
      <c r="P172">
        <v>0</v>
      </c>
      <c r="Q172" t="str">
        <v>SKU-0269</v>
      </c>
      <c r="R172" t="str">
        <v/>
      </c>
      <c r="S172" t="str">
        <v/>
      </c>
      <c r="T172" t="str">
        <v/>
      </c>
    </row>
    <row r="173">
      <c r="A173">
        <v>170</v>
      </c>
      <c r="B173" t="str">
        <v>مربى فيتراك تين 430 جم</v>
      </c>
      <c r="C173" t="str">
        <v>6221028002010</v>
      </c>
      <c r="D173" t="str">
        <v/>
      </c>
      <c r="E173" t="str">
        <v>قطعة</v>
      </c>
      <c r="F173">
        <v>42</v>
      </c>
      <c r="G173">
        <v>32.5</v>
      </c>
      <c r="H173">
        <v>0</v>
      </c>
      <c r="I173">
        <v>5</v>
      </c>
      <c r="J173">
        <f>F173-G173</f>
        <v>9.5</v>
      </c>
      <c r="K173" s="1">
        <f>IF(G173&gt;0, (F173-G173)/G173, 0)</f>
        <v>0.2923</v>
      </c>
      <c r="L173" s="2">
        <f>H173*G173</f>
        <v>0</v>
      </c>
      <c r="M173" s="2">
        <f>H173*F173</f>
        <v>0</v>
      </c>
      <c r="N173" s="2">
        <f>M173-L173</f>
        <v>0</v>
      </c>
      <c r="O173" t="str">
        <f>IF(H173&lt;=0, "نفد من المخزن", IF(H173&lt;=I173, "قارب على النفاد", "متوفر بالمخزن"))</f>
        <v>نفد من المخزن</v>
      </c>
      <c r="P173">
        <v>0</v>
      </c>
      <c r="Q173" t="str">
        <v>SKU-0270</v>
      </c>
      <c r="R173" t="str">
        <v/>
      </c>
      <c r="S173" t="str">
        <v/>
      </c>
      <c r="T173" t="str">
        <v/>
      </c>
    </row>
    <row r="174">
      <c r="A174">
        <v>171</v>
      </c>
      <c r="B174" t="str">
        <v>مربى فيتراك فراولة 430 جم</v>
      </c>
      <c r="C174" t="str">
        <v>6221028002027</v>
      </c>
      <c r="D174" t="str">
        <v/>
      </c>
      <c r="E174" t="str">
        <v>قطعة</v>
      </c>
      <c r="F174">
        <v>42</v>
      </c>
      <c r="G174">
        <v>32.5</v>
      </c>
      <c r="H174">
        <v>0</v>
      </c>
      <c r="I174">
        <v>5</v>
      </c>
      <c r="J174">
        <f>F174-G174</f>
        <v>9.5</v>
      </c>
      <c r="K174" s="1">
        <f>IF(G174&gt;0, (F174-G174)/G174, 0)</f>
        <v>0.2923</v>
      </c>
      <c r="L174" s="2">
        <f>H174*G174</f>
        <v>0</v>
      </c>
      <c r="M174" s="2">
        <f>H174*F174</f>
        <v>0</v>
      </c>
      <c r="N174" s="2">
        <f>M174-L174</f>
        <v>0</v>
      </c>
      <c r="O174" t="str">
        <f>IF(H174&lt;=0, "نفد من المخزن", IF(H174&lt;=I174, "قارب على النفاد", "متوفر بالمخزن"))</f>
        <v>نفد من المخزن</v>
      </c>
      <c r="P174">
        <v>0</v>
      </c>
      <c r="Q174" t="str">
        <v>SKU-0271</v>
      </c>
      <c r="R174" t="str">
        <v/>
      </c>
      <c r="S174" t="str">
        <v/>
      </c>
      <c r="T174" t="str">
        <v/>
      </c>
    </row>
    <row r="175">
      <c r="A175">
        <v>172</v>
      </c>
      <c r="B175" t="str">
        <v>نوتيلا شوكولاتة بالبندق قابلة للدهن 350 جم</v>
      </c>
      <c r="C175" t="str">
        <v>8000500179864</v>
      </c>
      <c r="D175" t="str">
        <v/>
      </c>
      <c r="E175" t="str">
        <v>قطعة</v>
      </c>
      <c r="F175">
        <v>135</v>
      </c>
      <c r="G175">
        <v>112</v>
      </c>
      <c r="H175">
        <v>0</v>
      </c>
      <c r="I175">
        <v>3</v>
      </c>
      <c r="J175">
        <f>F175-G175</f>
        <v>23</v>
      </c>
      <c r="K175" s="1">
        <f>IF(G175&gt;0, (F175-G175)/G175, 0)</f>
        <v>0.2054</v>
      </c>
      <c r="L175" s="2">
        <f>H175*G175</f>
        <v>0</v>
      </c>
      <c r="M175" s="2">
        <f>H175*F175</f>
        <v>0</v>
      </c>
      <c r="N175" s="2">
        <f>M175-L175</f>
        <v>0</v>
      </c>
      <c r="O175" t="str">
        <f>IF(H175&lt;=0, "نفد من المخزن", IF(H175&lt;=I175, "قارب على النفاد", "متوفر بالمخزن"))</f>
        <v>نفد من المخزن</v>
      </c>
      <c r="P175">
        <v>0</v>
      </c>
      <c r="Q175" t="str">
        <v>SKU-0272</v>
      </c>
      <c r="R175" t="str">
        <v/>
      </c>
      <c r="S175" t="str">
        <v/>
      </c>
      <c r="T175" t="str">
        <v/>
      </c>
    </row>
    <row r="176">
      <c r="A176">
        <v>173</v>
      </c>
      <c r="B176" t="str">
        <v>كيس تسوق كبير للمحل</v>
      </c>
      <c r="C176" t="str">
        <v>6229007788030</v>
      </c>
      <c r="D176" t="str">
        <v/>
      </c>
      <c r="E176" t="str">
        <v>قطعة</v>
      </c>
      <c r="F176">
        <v>1.5</v>
      </c>
      <c r="G176">
        <v>0.8</v>
      </c>
      <c r="H176">
        <v>0</v>
      </c>
      <c r="I176">
        <v>30</v>
      </c>
      <c r="J176">
        <f>F176-G176</f>
        <v>0.7</v>
      </c>
      <c r="K176" s="1">
        <f>IF(G176&gt;0, (F176-G176)/G176, 0)</f>
        <v>0.875</v>
      </c>
      <c r="L176" s="2">
        <f>H176*G176</f>
        <v>0</v>
      </c>
      <c r="M176" s="2">
        <f>H176*F176</f>
        <v>0</v>
      </c>
      <c r="N176" s="2">
        <f>M176-L176</f>
        <v>0</v>
      </c>
      <c r="O176" t="str">
        <f>IF(H176&lt;=0, "نفد من المخزن", IF(H176&lt;=I176, "قارب على النفاد", "متوفر بالمخزن"))</f>
        <v>نفد من المخزن</v>
      </c>
      <c r="P176">
        <v>0</v>
      </c>
      <c r="Q176" t="str">
        <v>SKU-0273</v>
      </c>
      <c r="R176" t="str">
        <v/>
      </c>
      <c r="S176" t="str">
        <v/>
      </c>
      <c r="T176" t="str">
        <v/>
      </c>
    </row>
    <row r="177">
      <c r="A177" t="str">
        <v>الإجمالي</v>
      </c>
      <c r="B177" t="str">
        <v>إجمالي 173 صنف مسجل</v>
      </c>
      <c r="C177" t="str">
        <v/>
      </c>
      <c r="D177" t="str">
        <v/>
      </c>
      <c r="E177" t="str">
        <v/>
      </c>
      <c r="F177" s="2">
        <f>AVERAGE(F4:F176)</f>
      </c>
      <c r="G177" s="2">
        <f>AVERAGE(G4:G176)</f>
      </c>
      <c r="H177" s="3">
        <f>SUM(H4:H176)</f>
      </c>
      <c r="I177" t="str">
        <v/>
      </c>
      <c r="J177" s="2">
        <f>AVERAGE(J4:J176)</f>
      </c>
      <c r="K177" s="1">
        <f>IF(L177&gt;0, N177/L177, 0)</f>
      </c>
      <c r="L177" s="2">
        <f>SUM(L4:L176)</f>
      </c>
      <c r="M177" s="2">
        <f>SUM(M4:M176)</f>
      </c>
      <c r="N177" s="2">
        <f>SUM(N4:N176)</f>
      </c>
      <c r="O177" t="str">
        <v>محسوب بمعادلات إكسل</v>
      </c>
      <c r="P177" t="str">
        <v/>
      </c>
      <c r="Q177" t="str">
        <v/>
      </c>
      <c r="R177" t="str">
        <v/>
      </c>
      <c r="S177" t="str">
        <v/>
      </c>
      <c r="T177" t="str">
        <v/>
      </c>
    </row>
  </sheetData>
  <mergeCells count="2">
    <mergeCell ref="A1:T1"/>
    <mergeCell ref="A2:T2"/>
  </mergeCells>
  <ignoredErrors>
    <ignoredError numberStoredAsText="1" sqref="A1:T1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6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[مشروبات وعصائر]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مياه معدنية بركة 1.5 لتر</v>
      </c>
      <c r="C4" t="str">
        <v>6221001001016</v>
      </c>
      <c r="D4" t="str">
        <v/>
      </c>
      <c r="E4" t="str">
        <v>قطعة</v>
      </c>
      <c r="F4">
        <v>9</v>
      </c>
      <c r="G4">
        <v>6.5</v>
      </c>
      <c r="H4">
        <v>0</v>
      </c>
      <c r="I4">
        <v>20</v>
      </c>
      <c r="J4">
        <f>F4-G4</f>
        <v>2.5</v>
      </c>
      <c r="K4" s="1">
        <f>IF(G4&gt;0, (F4-G4)/G4, 0)</f>
        <v>0.3846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SKU-0274</v>
      </c>
      <c r="R4" t="str">
        <v/>
      </c>
      <c r="S4" t="str">
        <v/>
      </c>
      <c r="T4" t="str">
        <v/>
      </c>
    </row>
    <row r="5">
      <c r="A5">
        <v>2</v>
      </c>
      <c r="B5" t="str">
        <v>مياه معدنية بركة 600 مل</v>
      </c>
      <c r="C5" t="str">
        <v>6221001001030</v>
      </c>
      <c r="D5" t="str">
        <v/>
      </c>
      <c r="E5" t="str">
        <v>قطعة</v>
      </c>
      <c r="F5">
        <v>6</v>
      </c>
      <c r="G5">
        <v>4.2</v>
      </c>
      <c r="H5">
        <v>0</v>
      </c>
      <c r="I5">
        <v>20</v>
      </c>
      <c r="J5">
        <f>F5-G5</f>
        <v>1.8</v>
      </c>
      <c r="K5" s="1">
        <f>IF(G5&gt;0, (F5-G5)/G5, 0)</f>
        <v>0.4286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SKU-0275</v>
      </c>
      <c r="R5" t="str">
        <v/>
      </c>
      <c r="S5" t="str">
        <v/>
      </c>
      <c r="T5" t="str">
        <v/>
      </c>
    </row>
    <row r="6">
      <c r="A6">
        <v>3</v>
      </c>
      <c r="B6" t="str">
        <v>مياه معدنية نستله 1.5 لتر</v>
      </c>
      <c r="C6" t="str">
        <v>6221001001047</v>
      </c>
      <c r="D6" t="str">
        <v/>
      </c>
      <c r="E6" t="str">
        <v>قطعة</v>
      </c>
      <c r="F6">
        <v>10</v>
      </c>
      <c r="G6">
        <v>7.2</v>
      </c>
      <c r="H6">
        <v>0</v>
      </c>
      <c r="I6">
        <v>20</v>
      </c>
      <c r="J6">
        <f>F6-G6</f>
        <v>2.8</v>
      </c>
      <c r="K6" s="1">
        <f>IF(G6&gt;0, (F6-G6)/G6, 0)</f>
        <v>0.3889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SKU-0276</v>
      </c>
      <c r="R6" t="str">
        <v/>
      </c>
      <c r="S6" t="str">
        <v/>
      </c>
      <c r="T6" t="str">
        <v/>
      </c>
    </row>
    <row r="7">
      <c r="A7">
        <v>4</v>
      </c>
      <c r="B7" t="str">
        <v>مياه معدنية نستله 600 مل</v>
      </c>
      <c r="C7" t="str">
        <v>6221001001023</v>
      </c>
      <c r="D7" t="str">
        <v/>
      </c>
      <c r="E7" t="str">
        <v>قطعة</v>
      </c>
      <c r="F7">
        <v>6</v>
      </c>
      <c r="G7">
        <v>4.2</v>
      </c>
      <c r="H7">
        <v>0</v>
      </c>
      <c r="I7">
        <v>25</v>
      </c>
      <c r="J7">
        <f>F7-G7</f>
        <v>1.8</v>
      </c>
      <c r="K7" s="1">
        <f>IF(G7&gt;0, (F7-G7)/G7, 0)</f>
        <v>0.4286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SKU-0277</v>
      </c>
      <c r="R7" t="str">
        <v/>
      </c>
      <c r="S7" t="str">
        <v/>
      </c>
      <c r="T7" t="str">
        <v/>
      </c>
    </row>
    <row r="8">
      <c r="A8">
        <v>5</v>
      </c>
      <c r="B8" t="str">
        <v>مياه معدنية نستله 330 مل</v>
      </c>
      <c r="C8" t="str">
        <v>6221001001054</v>
      </c>
      <c r="D8" t="str">
        <v/>
      </c>
      <c r="E8" t="str">
        <v>قطعة</v>
      </c>
      <c r="F8">
        <v>4.5</v>
      </c>
      <c r="G8">
        <v>3.1</v>
      </c>
      <c r="H8">
        <v>0</v>
      </c>
      <c r="I8">
        <v>20</v>
      </c>
      <c r="J8">
        <f>F8-G8</f>
        <v>1.4</v>
      </c>
      <c r="K8" s="1">
        <f>IF(G8&gt;0, (F8-G8)/G8, 0)</f>
        <v>0.4516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SKU-0278</v>
      </c>
      <c r="R8" t="str">
        <v/>
      </c>
      <c r="S8" t="str">
        <v/>
      </c>
      <c r="T8" t="str">
        <v/>
      </c>
    </row>
    <row r="9">
      <c r="A9">
        <v>6</v>
      </c>
      <c r="B9" t="str">
        <v>مياه معدنية دساني 1.5 لتر</v>
      </c>
      <c r="C9" t="str">
        <v>6221001002013</v>
      </c>
      <c r="D9" t="str">
        <v/>
      </c>
      <c r="E9" t="str">
        <v>قطعة</v>
      </c>
      <c r="F9">
        <v>9</v>
      </c>
      <c r="G9">
        <v>6.5</v>
      </c>
      <c r="H9">
        <v>0</v>
      </c>
      <c r="I9">
        <v>15</v>
      </c>
      <c r="J9">
        <f>F9-G9</f>
        <v>2.5</v>
      </c>
      <c r="K9" s="1">
        <f>IF(G9&gt;0, (F9-G9)/G9, 0)</f>
        <v>0.3846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SKU-0279</v>
      </c>
      <c r="R9" t="str">
        <v/>
      </c>
      <c r="S9" t="str">
        <v/>
      </c>
      <c r="T9" t="str">
        <v/>
      </c>
    </row>
    <row r="10">
      <c r="A10">
        <v>7</v>
      </c>
      <c r="B10" t="str">
        <v>مياه معدنية دساني 600 مل</v>
      </c>
      <c r="C10" t="str">
        <v>6221001002020</v>
      </c>
      <c r="D10" t="str">
        <v/>
      </c>
      <c r="E10" t="str">
        <v>قطعة</v>
      </c>
      <c r="F10">
        <v>6</v>
      </c>
      <c r="G10">
        <v>4.2</v>
      </c>
      <c r="H10">
        <v>0</v>
      </c>
      <c r="I10">
        <v>20</v>
      </c>
      <c r="J10">
        <f>F10-G10</f>
        <v>1.8</v>
      </c>
      <c r="K10" s="1">
        <f>IF(G10&gt;0, (F10-G10)/G10, 0)</f>
        <v>0.4286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SKU-0280</v>
      </c>
      <c r="R10" t="str">
        <v/>
      </c>
      <c r="S10" t="str">
        <v/>
      </c>
      <c r="T10" t="str">
        <v/>
      </c>
    </row>
    <row r="11">
      <c r="A11">
        <v>8</v>
      </c>
      <c r="B11" t="str">
        <v>كوكاكولا كانز 330 مل</v>
      </c>
      <c r="C11" t="str">
        <v>5449000000996</v>
      </c>
      <c r="D11" t="str">
        <v/>
      </c>
      <c r="E11" t="str">
        <v>قطعة</v>
      </c>
      <c r="F11">
        <v>15</v>
      </c>
      <c r="G11">
        <v>11.8</v>
      </c>
      <c r="H11">
        <v>0</v>
      </c>
      <c r="I11">
        <v>15</v>
      </c>
      <c r="J11">
        <f>F11-G11</f>
        <v>3.2</v>
      </c>
      <c r="K11" s="1">
        <f>IF(G11&gt;0, (F11-G11)/G11, 0)</f>
        <v>0.2712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SKU-0281</v>
      </c>
      <c r="R11" t="str">
        <v/>
      </c>
      <c r="S11" t="str">
        <v/>
      </c>
      <c r="T11" t="str">
        <v/>
      </c>
    </row>
    <row r="12">
      <c r="A12">
        <v>9</v>
      </c>
      <c r="B12" t="str">
        <v>كوكاكولا كانز 250 مل بوكيت</v>
      </c>
      <c r="C12" t="str">
        <v>5449000001009</v>
      </c>
      <c r="D12" t="str">
        <v/>
      </c>
      <c r="E12" t="str">
        <v>قطعة</v>
      </c>
      <c r="F12">
        <v>12</v>
      </c>
      <c r="G12">
        <v>9.5</v>
      </c>
      <c r="H12">
        <v>0</v>
      </c>
      <c r="I12">
        <v>12</v>
      </c>
      <c r="J12">
        <f>F12-G12</f>
        <v>2.5</v>
      </c>
      <c r="K12" s="1">
        <f>IF(G12&gt;0, (F12-G12)/G12, 0)</f>
        <v>0.2632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SKU-0282</v>
      </c>
      <c r="R12" t="str">
        <v/>
      </c>
      <c r="S12" t="str">
        <v/>
      </c>
      <c r="T12" t="str">
        <v/>
      </c>
    </row>
    <row r="13">
      <c r="A13">
        <v>10</v>
      </c>
      <c r="B13" t="str">
        <v>كوكاكولا زجاجة 1 لتر</v>
      </c>
      <c r="C13" t="str">
        <v>5449000051233</v>
      </c>
      <c r="D13" t="str">
        <v/>
      </c>
      <c r="E13" t="str">
        <v>قطعة</v>
      </c>
      <c r="F13">
        <v>22</v>
      </c>
      <c r="G13">
        <v>17.5</v>
      </c>
      <c r="H13">
        <v>0</v>
      </c>
      <c r="I13">
        <v>8</v>
      </c>
      <c r="J13">
        <f>F13-G13</f>
        <v>4.5</v>
      </c>
      <c r="K13" s="1">
        <f>IF(G13&gt;0, (F13-G13)/G13, 0)</f>
        <v>0.2571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SKU-0283</v>
      </c>
      <c r="R13" t="str">
        <v/>
      </c>
      <c r="S13" t="str">
        <v/>
      </c>
      <c r="T13" t="str">
        <v/>
      </c>
    </row>
    <row r="14">
      <c r="A14">
        <v>11</v>
      </c>
      <c r="B14" t="str">
        <v>كوكاكولا عائلية 2.5 لتر</v>
      </c>
      <c r="C14" t="str">
        <v>5449000131836</v>
      </c>
      <c r="D14" t="str">
        <v/>
      </c>
      <c r="E14" t="str">
        <v>قطعة</v>
      </c>
      <c r="F14">
        <v>38</v>
      </c>
      <c r="G14">
        <v>31</v>
      </c>
      <c r="H14">
        <v>0</v>
      </c>
      <c r="I14">
        <v>7</v>
      </c>
      <c r="J14">
        <f>F14-G14</f>
        <v>7</v>
      </c>
      <c r="K14" s="1">
        <f>IF(G14&gt;0, (F14-G14)/G14, 0)</f>
        <v>0.2258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SKU-0284</v>
      </c>
      <c r="R14" t="str">
        <v/>
      </c>
      <c r="S14" t="str">
        <v/>
      </c>
      <c r="T14" t="str">
        <v/>
      </c>
    </row>
    <row r="15">
      <c r="A15">
        <v>12</v>
      </c>
      <c r="B15" t="str">
        <v>كوكاكولا زيرو كانز 330 مل</v>
      </c>
      <c r="C15" t="str">
        <v>5449000024510</v>
      </c>
      <c r="D15" t="str">
        <v/>
      </c>
      <c r="E15" t="str">
        <v>قطعة</v>
      </c>
      <c r="F15">
        <v>15</v>
      </c>
      <c r="G15">
        <v>11.8</v>
      </c>
      <c r="H15">
        <v>0</v>
      </c>
      <c r="I15">
        <v>8</v>
      </c>
      <c r="J15">
        <f>F15-G15</f>
        <v>3.2</v>
      </c>
      <c r="K15" s="1">
        <f>IF(G15&gt;0, (F15-G15)/G15, 0)</f>
        <v>0.2712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SKU-0285</v>
      </c>
      <c r="R15" t="str">
        <v/>
      </c>
      <c r="S15" t="str">
        <v/>
      </c>
      <c r="T15" t="str">
        <v/>
      </c>
    </row>
    <row r="16">
      <c r="A16">
        <v>13</v>
      </c>
      <c r="B16" t="str">
        <v>بيبسي كانز 330 مل</v>
      </c>
      <c r="C16" t="str">
        <v>4060800108913</v>
      </c>
      <c r="D16" t="str">
        <v/>
      </c>
      <c r="E16" t="str">
        <v>قطعة</v>
      </c>
      <c r="F16">
        <v>15</v>
      </c>
      <c r="G16">
        <v>11.8</v>
      </c>
      <c r="H16">
        <v>0</v>
      </c>
      <c r="I16">
        <v>15</v>
      </c>
      <c r="J16">
        <f>F16-G16</f>
        <v>3.2</v>
      </c>
      <c r="K16" s="1">
        <f>IF(G16&gt;0, (F16-G16)/G16, 0)</f>
        <v>0.2712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SKU-0286</v>
      </c>
      <c r="R16" t="str">
        <v/>
      </c>
      <c r="S16" t="str">
        <v/>
      </c>
      <c r="T16" t="str">
        <v/>
      </c>
    </row>
    <row r="17">
      <c r="A17">
        <v>14</v>
      </c>
      <c r="B17" t="str">
        <v>بيبسي كانز 250 مل بوكيت</v>
      </c>
      <c r="C17" t="str">
        <v>4060800108951</v>
      </c>
      <c r="D17" t="str">
        <v/>
      </c>
      <c r="E17" t="str">
        <v>قطعة</v>
      </c>
      <c r="F17">
        <v>12</v>
      </c>
      <c r="G17">
        <v>9.5</v>
      </c>
      <c r="H17">
        <v>0</v>
      </c>
      <c r="I17">
        <v>12</v>
      </c>
      <c r="J17">
        <f>F17-G17</f>
        <v>2.5</v>
      </c>
      <c r="K17" s="1">
        <f>IF(G17&gt;0, (F17-G17)/G17, 0)</f>
        <v>0.2632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SKU-0287</v>
      </c>
      <c r="R17" t="str">
        <v/>
      </c>
      <c r="S17" t="str">
        <v/>
      </c>
      <c r="T17" t="str">
        <v/>
      </c>
    </row>
    <row r="18">
      <c r="A18">
        <v>15</v>
      </c>
      <c r="B18" t="str">
        <v>بيبسي زجاجة 1 لتر</v>
      </c>
      <c r="C18" t="str">
        <v>4060800108920</v>
      </c>
      <c r="D18" t="str">
        <v/>
      </c>
      <c r="E18" t="str">
        <v>قطعة</v>
      </c>
      <c r="F18">
        <v>22</v>
      </c>
      <c r="G18">
        <v>17.5</v>
      </c>
      <c r="H18">
        <v>0</v>
      </c>
      <c r="I18">
        <v>8</v>
      </c>
      <c r="J18">
        <f>F18-G18</f>
        <v>4.5</v>
      </c>
      <c r="K18" s="1">
        <f>IF(G18&gt;0, (F18-G18)/G18, 0)</f>
        <v>0.2571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SKU-0288</v>
      </c>
      <c r="R18" t="str">
        <v/>
      </c>
      <c r="S18" t="str">
        <v/>
      </c>
      <c r="T18" t="str">
        <v/>
      </c>
    </row>
    <row r="19">
      <c r="A19">
        <v>16</v>
      </c>
      <c r="B19" t="str">
        <v>بيبسي عائلية 2.48 لتر</v>
      </c>
      <c r="C19" t="str">
        <v>4060800108937</v>
      </c>
      <c r="D19" t="str">
        <v/>
      </c>
      <c r="E19" t="str">
        <v>قطعة</v>
      </c>
      <c r="F19">
        <v>38</v>
      </c>
      <c r="G19">
        <v>31</v>
      </c>
      <c r="H19">
        <v>0</v>
      </c>
      <c r="I19">
        <v>7</v>
      </c>
      <c r="J19">
        <f>F19-G19</f>
        <v>7</v>
      </c>
      <c r="K19" s="1">
        <f>IF(G19&gt;0, (F19-G19)/G19, 0)</f>
        <v>0.2258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SKU-0289</v>
      </c>
      <c r="R19" t="str">
        <v/>
      </c>
      <c r="S19" t="str">
        <v/>
      </c>
      <c r="T19" t="str">
        <v/>
      </c>
    </row>
    <row r="20">
      <c r="A20">
        <v>17</v>
      </c>
      <c r="B20" t="str">
        <v>بيبسي دايت كانز 330 مل</v>
      </c>
      <c r="C20" t="str">
        <v>4060800108968</v>
      </c>
      <c r="D20" t="str">
        <v/>
      </c>
      <c r="E20" t="str">
        <v>قطعة</v>
      </c>
      <c r="F20">
        <v>15</v>
      </c>
      <c r="G20">
        <v>11.8</v>
      </c>
      <c r="H20">
        <v>0</v>
      </c>
      <c r="I20">
        <v>8</v>
      </c>
      <c r="J20">
        <f>F20-G20</f>
        <v>3.2</v>
      </c>
      <c r="K20" s="1">
        <f>IF(G20&gt;0, (F20-G20)/G20, 0)</f>
        <v>0.2712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SKU-0290</v>
      </c>
      <c r="R20" t="str">
        <v/>
      </c>
      <c r="S20" t="str">
        <v/>
      </c>
      <c r="T20" t="str">
        <v/>
      </c>
    </row>
    <row r="21">
      <c r="A21">
        <v>18</v>
      </c>
      <c r="B21" t="str">
        <v>سفن أب كانز 330 مل</v>
      </c>
      <c r="C21" t="str">
        <v>4060800108944</v>
      </c>
      <c r="D21" t="str">
        <v/>
      </c>
      <c r="E21" t="str">
        <v>قطعة</v>
      </c>
      <c r="F21">
        <v>15</v>
      </c>
      <c r="G21">
        <v>11.8</v>
      </c>
      <c r="H21">
        <v>0</v>
      </c>
      <c r="I21">
        <v>10</v>
      </c>
      <c r="J21">
        <f>F21-G21</f>
        <v>3.2</v>
      </c>
      <c r="K21" s="1">
        <f>IF(G21&gt;0, (F21-G21)/G21, 0)</f>
        <v>0.2712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SKU-0291</v>
      </c>
      <c r="R21" t="str">
        <v/>
      </c>
      <c r="S21" t="str">
        <v/>
      </c>
      <c r="T21" t="str">
        <v/>
      </c>
    </row>
    <row r="22">
      <c r="A22">
        <v>19</v>
      </c>
      <c r="B22" t="str">
        <v>سفن أب دايت كانز 330 مل</v>
      </c>
      <c r="C22" t="str">
        <v>4060800108975</v>
      </c>
      <c r="D22" t="str">
        <v/>
      </c>
      <c r="E22" t="str">
        <v>قطعة</v>
      </c>
      <c r="F22">
        <v>15</v>
      </c>
      <c r="G22">
        <v>11.8</v>
      </c>
      <c r="H22">
        <v>0</v>
      </c>
      <c r="I22">
        <v>6</v>
      </c>
      <c r="J22">
        <f>F22-G22</f>
        <v>3.2</v>
      </c>
      <c r="K22" s="1">
        <f>IF(G22&gt;0, (F22-G22)/G22, 0)</f>
        <v>0.2712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SKU-0292</v>
      </c>
      <c r="R22" t="str">
        <v/>
      </c>
      <c r="S22" t="str">
        <v/>
      </c>
      <c r="T22" t="str">
        <v/>
      </c>
    </row>
    <row r="23">
      <c r="A23">
        <v>20</v>
      </c>
      <c r="B23" t="str">
        <v>سفن أب زجاجة 1 لتر</v>
      </c>
      <c r="C23" t="str">
        <v>4060800108982</v>
      </c>
      <c r="D23" t="str">
        <v/>
      </c>
      <c r="E23" t="str">
        <v>قطعة</v>
      </c>
      <c r="F23">
        <v>22</v>
      </c>
      <c r="G23">
        <v>17.5</v>
      </c>
      <c r="H23">
        <v>0</v>
      </c>
      <c r="I23">
        <v>6</v>
      </c>
      <c r="J23">
        <f>F23-G23</f>
        <v>4.5</v>
      </c>
      <c r="K23" s="1">
        <f>IF(G23&gt;0, (F23-G23)/G23, 0)</f>
        <v>0.2571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SKU-0293</v>
      </c>
      <c r="R23" t="str">
        <v/>
      </c>
      <c r="S23" t="str">
        <v/>
      </c>
      <c r="T23" t="str">
        <v/>
      </c>
    </row>
    <row r="24">
      <c r="A24">
        <v>21</v>
      </c>
      <c r="B24" t="str">
        <v>سبرايت كانز 330 مل</v>
      </c>
      <c r="C24" t="str">
        <v>5449000014528</v>
      </c>
      <c r="D24" t="str">
        <v/>
      </c>
      <c r="E24" t="str">
        <v>قطعة</v>
      </c>
      <c r="F24">
        <v>15</v>
      </c>
      <c r="G24">
        <v>11.8</v>
      </c>
      <c r="H24">
        <v>0</v>
      </c>
      <c r="I24">
        <v>10</v>
      </c>
      <c r="J24">
        <f>F24-G24</f>
        <v>3.2</v>
      </c>
      <c r="K24" s="1">
        <f>IF(G24&gt;0, (F24-G24)/G24, 0)</f>
        <v>0.2712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SKU-0294</v>
      </c>
      <c r="R24" t="str">
        <v/>
      </c>
      <c r="S24" t="str">
        <v/>
      </c>
      <c r="T24" t="str">
        <v/>
      </c>
    </row>
    <row r="25">
      <c r="A25">
        <v>22</v>
      </c>
      <c r="B25" t="str">
        <v>ميرندا برتقال كانز 330 مل</v>
      </c>
      <c r="C25" t="str">
        <v>4060800108999</v>
      </c>
      <c r="D25" t="str">
        <v/>
      </c>
      <c r="E25" t="str">
        <v>قطعة</v>
      </c>
      <c r="F25">
        <v>15</v>
      </c>
      <c r="G25">
        <v>11.8</v>
      </c>
      <c r="H25">
        <v>0</v>
      </c>
      <c r="I25">
        <v>8</v>
      </c>
      <c r="J25">
        <f>F25-G25</f>
        <v>3.2</v>
      </c>
      <c r="K25" s="1">
        <f>IF(G25&gt;0, (F25-G25)/G25, 0)</f>
        <v>0.2712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SKU-0295</v>
      </c>
      <c r="R25" t="str">
        <v/>
      </c>
      <c r="S25" t="str">
        <v/>
      </c>
      <c r="T25" t="str">
        <v/>
      </c>
    </row>
    <row r="26">
      <c r="A26">
        <v>23</v>
      </c>
      <c r="B26" t="str">
        <v>ميرندا تفاح أخضر كانز 330 مل</v>
      </c>
      <c r="C26" t="str">
        <v>4060800109002</v>
      </c>
      <c r="D26" t="str">
        <v/>
      </c>
      <c r="E26" t="str">
        <v>قطعة</v>
      </c>
      <c r="F26">
        <v>15</v>
      </c>
      <c r="G26">
        <v>11.8</v>
      </c>
      <c r="H26">
        <v>0</v>
      </c>
      <c r="I26">
        <v>8</v>
      </c>
      <c r="J26">
        <f>F26-G26</f>
        <v>3.2</v>
      </c>
      <c r="K26" s="1">
        <f>IF(G26&gt;0, (F26-G26)/G26, 0)</f>
        <v>0.2712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SKU-0296</v>
      </c>
      <c r="R26" t="str">
        <v/>
      </c>
      <c r="S26" t="str">
        <v/>
      </c>
      <c r="T26" t="str">
        <v/>
      </c>
    </row>
    <row r="27">
      <c r="A27">
        <v>24</v>
      </c>
      <c r="B27" t="str">
        <v>فانتا برتقال كانز 330 مل</v>
      </c>
      <c r="C27" t="str">
        <v>5449000034014</v>
      </c>
      <c r="D27" t="str">
        <v/>
      </c>
      <c r="E27" t="str">
        <v>قطعة</v>
      </c>
      <c r="F27">
        <v>15</v>
      </c>
      <c r="G27">
        <v>11.8</v>
      </c>
      <c r="H27">
        <v>0</v>
      </c>
      <c r="I27">
        <v>8</v>
      </c>
      <c r="J27">
        <f>F27-G27</f>
        <v>3.2</v>
      </c>
      <c r="K27" s="1">
        <f>IF(G27&gt;0, (F27-G27)/G27, 0)</f>
        <v>0.2712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SKU-0297</v>
      </c>
      <c r="R27" t="str">
        <v/>
      </c>
      <c r="S27" t="str">
        <v/>
      </c>
      <c r="T27" t="str">
        <v/>
      </c>
    </row>
    <row r="28">
      <c r="A28">
        <v>25</v>
      </c>
      <c r="B28" t="str">
        <v>فانتا تفاح كانز 330 مل</v>
      </c>
      <c r="C28" t="str">
        <v>5449000034021</v>
      </c>
      <c r="D28" t="str">
        <v/>
      </c>
      <c r="E28" t="str">
        <v>قطعة</v>
      </c>
      <c r="F28">
        <v>15</v>
      </c>
      <c r="G28">
        <v>11.8</v>
      </c>
      <c r="H28">
        <v>0</v>
      </c>
      <c r="I28">
        <v>8</v>
      </c>
      <c r="J28">
        <f>F28-G28</f>
        <v>3.2</v>
      </c>
      <c r="K28" s="1">
        <f>IF(G28&gt;0, (F28-G28)/G28, 0)</f>
        <v>0.2712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SKU-0298</v>
      </c>
      <c r="R28" t="str">
        <v/>
      </c>
      <c r="S28" t="str">
        <v/>
      </c>
      <c r="T28" t="str">
        <v/>
      </c>
    </row>
    <row r="29">
      <c r="A29">
        <v>26</v>
      </c>
      <c r="B29" t="str">
        <v>شويبس رمان كانز 300 مل</v>
      </c>
      <c r="C29" t="str">
        <v>5449000214010</v>
      </c>
      <c r="D29" t="str">
        <v/>
      </c>
      <c r="E29" t="str">
        <v>قطعة</v>
      </c>
      <c r="F29">
        <v>16</v>
      </c>
      <c r="G29">
        <v>12.5</v>
      </c>
      <c r="H29">
        <v>0</v>
      </c>
      <c r="I29">
        <v>8</v>
      </c>
      <c r="J29">
        <f>F29-G29</f>
        <v>3.5</v>
      </c>
      <c r="K29" s="1">
        <f>IF(G29&gt;0, (F29-G29)/G29, 0)</f>
        <v>0.28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SKU-0299</v>
      </c>
      <c r="R29" t="str">
        <v/>
      </c>
      <c r="S29" t="str">
        <v/>
      </c>
      <c r="T29" t="str">
        <v/>
      </c>
    </row>
    <row r="30">
      <c r="A30">
        <v>27</v>
      </c>
      <c r="B30" t="str">
        <v>شويبس ليمون نعناع كانز 300 مل</v>
      </c>
      <c r="C30" t="str">
        <v>5449000214027</v>
      </c>
      <c r="D30" t="str">
        <v/>
      </c>
      <c r="E30" t="str">
        <v>قطعة</v>
      </c>
      <c r="F30">
        <v>16</v>
      </c>
      <c r="G30">
        <v>12.5</v>
      </c>
      <c r="H30">
        <v>0</v>
      </c>
      <c r="I30">
        <v>8</v>
      </c>
      <c r="J30">
        <f>F30-G30</f>
        <v>3.5</v>
      </c>
      <c r="K30" s="1">
        <f>IF(G30&gt;0, (F30-G30)/G30, 0)</f>
        <v>0.28</v>
      </c>
      <c r="L30" s="2">
        <f>H30*G30</f>
        <v>0</v>
      </c>
      <c r="M30" s="2">
        <f>H30*F30</f>
        <v>0</v>
      </c>
      <c r="N30" s="2">
        <f>M30-L30</f>
        <v>0</v>
      </c>
      <c r="O30" t="str">
        <f>IF(H30&lt;=0, "نفد من المخزن", IF(H30&lt;=I30, "قارب على النفاد", "متوفر بالمخزن"))</f>
        <v>نفد من المخزن</v>
      </c>
      <c r="P30">
        <v>0</v>
      </c>
      <c r="Q30" t="str">
        <v>SKU-0300</v>
      </c>
      <c r="R30" t="str">
        <v/>
      </c>
      <c r="S30" t="str">
        <v/>
      </c>
      <c r="T30" t="str">
        <v/>
      </c>
    </row>
    <row r="31">
      <c r="A31">
        <v>28</v>
      </c>
      <c r="B31" t="str">
        <v>شويبس جولد أناناس كانز 300 مل</v>
      </c>
      <c r="C31" t="str">
        <v>5449000214034</v>
      </c>
      <c r="D31" t="str">
        <v/>
      </c>
      <c r="E31" t="str">
        <v>قطعة</v>
      </c>
      <c r="F31">
        <v>16</v>
      </c>
      <c r="G31">
        <v>12.5</v>
      </c>
      <c r="H31">
        <v>0</v>
      </c>
      <c r="I31">
        <v>8</v>
      </c>
      <c r="J31">
        <f>F31-G31</f>
        <v>3.5</v>
      </c>
      <c r="K31" s="1">
        <f>IF(G31&gt;0, (F31-G31)/G31, 0)</f>
        <v>0.28</v>
      </c>
      <c r="L31" s="2">
        <f>H31*G31</f>
        <v>0</v>
      </c>
      <c r="M31" s="2">
        <f>H31*F31</f>
        <v>0</v>
      </c>
      <c r="N31" s="2">
        <f>M31-L31</f>
        <v>0</v>
      </c>
      <c r="O31" t="str">
        <f>IF(H31&lt;=0, "نفد من المخزن", IF(H31&lt;=I31, "قارب على النفاد", "متوفر بالمخزن"))</f>
        <v>نفد من المخزن</v>
      </c>
      <c r="P31">
        <v>0</v>
      </c>
      <c r="Q31" t="str">
        <v>SKU-0301</v>
      </c>
      <c r="R31" t="str">
        <v/>
      </c>
      <c r="S31" t="str">
        <v/>
      </c>
      <c r="T31" t="str">
        <v/>
      </c>
    </row>
    <row r="32">
      <c r="A32">
        <v>29</v>
      </c>
      <c r="B32" t="str">
        <v>فيروز شعير أناناس كانز 330 مل</v>
      </c>
      <c r="C32" t="str">
        <v>6221088001015</v>
      </c>
      <c r="D32" t="str">
        <v/>
      </c>
      <c r="E32" t="str">
        <v>قطعة</v>
      </c>
      <c r="F32">
        <v>16</v>
      </c>
      <c r="G32">
        <v>12.5</v>
      </c>
      <c r="H32">
        <v>0</v>
      </c>
      <c r="I32">
        <v>8</v>
      </c>
      <c r="J32">
        <f>F32-G32</f>
        <v>3.5</v>
      </c>
      <c r="K32" s="1">
        <f>IF(G32&gt;0, (F32-G32)/G32, 0)</f>
        <v>0.28</v>
      </c>
      <c r="L32" s="2">
        <f>H32*G32</f>
        <v>0</v>
      </c>
      <c r="M32" s="2">
        <f>H32*F32</f>
        <v>0</v>
      </c>
      <c r="N32" s="2">
        <f>M32-L32</f>
        <v>0</v>
      </c>
      <c r="O32" t="str">
        <f>IF(H32&lt;=0, "نفد من المخزن", IF(H32&lt;=I32, "قارب على النفاد", "متوفر بالمخزن"))</f>
        <v>نفد من المخزن</v>
      </c>
      <c r="P32">
        <v>0</v>
      </c>
      <c r="Q32" t="str">
        <v>SKU-0302</v>
      </c>
      <c r="R32" t="str">
        <v/>
      </c>
      <c r="S32" t="str">
        <v/>
      </c>
      <c r="T32" t="str">
        <v/>
      </c>
    </row>
    <row r="33">
      <c r="A33">
        <v>30</v>
      </c>
      <c r="B33" t="str">
        <v>فيروز شعير تفاح كانز 330 مل</v>
      </c>
      <c r="C33" t="str">
        <v>6221088001022</v>
      </c>
      <c r="D33" t="str">
        <v/>
      </c>
      <c r="E33" t="str">
        <v>قطعة</v>
      </c>
      <c r="F33">
        <v>16</v>
      </c>
      <c r="G33">
        <v>12.5</v>
      </c>
      <c r="H33">
        <v>0</v>
      </c>
      <c r="I33">
        <v>7</v>
      </c>
      <c r="J33">
        <f>F33-G33</f>
        <v>3.5</v>
      </c>
      <c r="K33" s="1">
        <f>IF(G33&gt;0, (F33-G33)/G33, 0)</f>
        <v>0.28</v>
      </c>
      <c r="L33" s="2">
        <f>H33*G33</f>
        <v>0</v>
      </c>
      <c r="M33" s="2">
        <f>H33*F33</f>
        <v>0</v>
      </c>
      <c r="N33" s="2">
        <f>M33-L33</f>
        <v>0</v>
      </c>
      <c r="O33" t="str">
        <f>IF(H33&lt;=0, "نفد من المخزن", IF(H33&lt;=I33, "قارب على النفاد", "متوفر بالمخزن"))</f>
        <v>نفد من المخزن</v>
      </c>
      <c r="P33">
        <v>0</v>
      </c>
      <c r="Q33" t="str">
        <v>SKU-0303</v>
      </c>
      <c r="R33" t="str">
        <v/>
      </c>
      <c r="S33" t="str">
        <v/>
      </c>
      <c r="T33" t="str">
        <v/>
      </c>
    </row>
    <row r="34">
      <c r="A34">
        <v>31</v>
      </c>
      <c r="B34" t="str">
        <v>فيروز شعير مانجو كانز 330 مل</v>
      </c>
      <c r="C34" t="str">
        <v>6221088001039</v>
      </c>
      <c r="D34" t="str">
        <v/>
      </c>
      <c r="E34" t="str">
        <v>قطعة</v>
      </c>
      <c r="F34">
        <v>16</v>
      </c>
      <c r="G34">
        <v>12.5</v>
      </c>
      <c r="H34">
        <v>0</v>
      </c>
      <c r="I34">
        <v>7</v>
      </c>
      <c r="J34">
        <f>F34-G34</f>
        <v>3.5</v>
      </c>
      <c r="K34" s="1">
        <f>IF(G34&gt;0, (F34-G34)/G34, 0)</f>
        <v>0.28</v>
      </c>
      <c r="L34" s="2">
        <f>H34*G34</f>
        <v>0</v>
      </c>
      <c r="M34" s="2">
        <f>H34*F34</f>
        <v>0</v>
      </c>
      <c r="N34" s="2">
        <f>M34-L34</f>
        <v>0</v>
      </c>
      <c r="O34" t="str">
        <f>IF(H34&lt;=0, "نفد من المخزن", IF(H34&lt;=I34, "قارب على النفاد", "متوفر بالمخزن"))</f>
        <v>نفد من المخزن</v>
      </c>
      <c r="P34">
        <v>0</v>
      </c>
      <c r="Q34" t="str">
        <v>SKU-0304</v>
      </c>
      <c r="R34" t="str">
        <v/>
      </c>
      <c r="S34" t="str">
        <v/>
      </c>
      <c r="T34" t="str">
        <v/>
      </c>
    </row>
    <row r="35">
      <c r="A35">
        <v>32</v>
      </c>
      <c r="B35" t="str">
        <v>بيريل شعير كانز 330 مل</v>
      </c>
      <c r="C35" t="str">
        <v>6221088002012</v>
      </c>
      <c r="D35" t="str">
        <v/>
      </c>
      <c r="E35" t="str">
        <v>قطعة</v>
      </c>
      <c r="F35">
        <v>16</v>
      </c>
      <c r="G35">
        <v>12.5</v>
      </c>
      <c r="H35">
        <v>0</v>
      </c>
      <c r="I35">
        <v>8</v>
      </c>
      <c r="J35">
        <f>F35-G35</f>
        <v>3.5</v>
      </c>
      <c r="K35" s="1">
        <f>IF(G35&gt;0, (F35-G35)/G35, 0)</f>
        <v>0.28</v>
      </c>
      <c r="L35" s="2">
        <f>H35*G35</f>
        <v>0</v>
      </c>
      <c r="M35" s="2">
        <f>H35*F35</f>
        <v>0</v>
      </c>
      <c r="N35" s="2">
        <f>M35-L35</f>
        <v>0</v>
      </c>
      <c r="O35" t="str">
        <f>IF(H35&lt;=0, "نفد من المخزن", IF(H35&lt;=I35, "قارب على النفاد", "متوفر بالمخزن"))</f>
        <v>نفد من المخزن</v>
      </c>
      <c r="P35">
        <v>0</v>
      </c>
      <c r="Q35" t="str">
        <v>SKU-0305</v>
      </c>
      <c r="R35" t="str">
        <v/>
      </c>
      <c r="S35" t="str">
        <v/>
      </c>
      <c r="T35" t="str">
        <v/>
      </c>
    </row>
    <row r="36">
      <c r="A36">
        <v>33</v>
      </c>
      <c r="B36" t="str">
        <v>باربيكان شعير تفاح زجاج 330 مل</v>
      </c>
      <c r="C36" t="str">
        <v>6281008001011</v>
      </c>
      <c r="D36" t="str">
        <v/>
      </c>
      <c r="E36" t="str">
        <v>قطعة</v>
      </c>
      <c r="F36">
        <v>22</v>
      </c>
      <c r="G36">
        <v>17.5</v>
      </c>
      <c r="H36">
        <v>0</v>
      </c>
      <c r="I36">
        <v>5</v>
      </c>
      <c r="J36">
        <f>F36-G36</f>
        <v>4.5</v>
      </c>
      <c r="K36" s="1">
        <f>IF(G36&gt;0, (F36-G36)/G36, 0)</f>
        <v>0.2571</v>
      </c>
      <c r="L36" s="2">
        <f>H36*G36</f>
        <v>0</v>
      </c>
      <c r="M36" s="2">
        <f>H36*F36</f>
        <v>0</v>
      </c>
      <c r="N36" s="2">
        <f>M36-L36</f>
        <v>0</v>
      </c>
      <c r="O36" t="str">
        <f>IF(H36&lt;=0, "نفد من المخزن", IF(H36&lt;=I36, "قارب على النفاد", "متوفر بالمخزن"))</f>
        <v>نفد من المخزن</v>
      </c>
      <c r="P36">
        <v>0</v>
      </c>
      <c r="Q36" t="str">
        <v>SKU-0306</v>
      </c>
      <c r="R36" t="str">
        <v/>
      </c>
      <c r="S36" t="str">
        <v/>
      </c>
      <c r="T36" t="str">
        <v/>
      </c>
    </row>
    <row r="37">
      <c r="A37">
        <v>34</v>
      </c>
      <c r="B37" t="str">
        <v>باربيكان شعير رمان زجاج 330 مل</v>
      </c>
      <c r="C37" t="str">
        <v>6281008001028</v>
      </c>
      <c r="D37" t="str">
        <v/>
      </c>
      <c r="E37" t="str">
        <v>قطعة</v>
      </c>
      <c r="F37">
        <v>22</v>
      </c>
      <c r="G37">
        <v>17.5</v>
      </c>
      <c r="H37">
        <v>0</v>
      </c>
      <c r="I37">
        <v>5</v>
      </c>
      <c r="J37">
        <f>F37-G37</f>
        <v>4.5</v>
      </c>
      <c r="K37" s="1">
        <f>IF(G37&gt;0, (F37-G37)/G37, 0)</f>
        <v>0.2571</v>
      </c>
      <c r="L37" s="2">
        <f>H37*G37</f>
        <v>0</v>
      </c>
      <c r="M37" s="2">
        <f>H37*F37</f>
        <v>0</v>
      </c>
      <c r="N37" s="2">
        <f>M37-L37</f>
        <v>0</v>
      </c>
      <c r="O37" t="str">
        <f>IF(H37&lt;=0, "نفد من المخزن", IF(H37&lt;=I37, "قارب على النفاد", "متوفر بالمخزن"))</f>
        <v>نفد من المخزن</v>
      </c>
      <c r="P37">
        <v>0</v>
      </c>
      <c r="Q37" t="str">
        <v>SKU-0307</v>
      </c>
      <c r="R37" t="str">
        <v/>
      </c>
      <c r="S37" t="str">
        <v/>
      </c>
      <c r="T37" t="str">
        <v/>
      </c>
    </row>
    <row r="38">
      <c r="A38">
        <v>35</v>
      </c>
      <c r="B38" t="str">
        <v>سبيرو سباتس ليمون صودا 330 مل زجاج</v>
      </c>
      <c r="C38" t="str">
        <v>6224009901016</v>
      </c>
      <c r="D38" t="str">
        <v/>
      </c>
      <c r="E38" t="str">
        <v>قطعة</v>
      </c>
      <c r="F38">
        <v>15</v>
      </c>
      <c r="G38">
        <v>11.5</v>
      </c>
      <c r="H38">
        <v>0</v>
      </c>
      <c r="I38">
        <v>8</v>
      </c>
      <c r="J38">
        <f>F38-G38</f>
        <v>3.5</v>
      </c>
      <c r="K38" s="1">
        <f>IF(G38&gt;0, (F38-G38)/G38, 0)</f>
        <v>0.3043</v>
      </c>
      <c r="L38" s="2">
        <f>H38*G38</f>
        <v>0</v>
      </c>
      <c r="M38" s="2">
        <f>H38*F38</f>
        <v>0</v>
      </c>
      <c r="N38" s="2">
        <f>M38-L38</f>
        <v>0</v>
      </c>
      <c r="O38" t="str">
        <f>IF(H38&lt;=0, "نفد من المخزن", IF(H38&lt;=I38, "قارب على النفاد", "متوفر بالمخزن"))</f>
        <v>نفد من المخزن</v>
      </c>
      <c r="P38">
        <v>0</v>
      </c>
      <c r="Q38" t="str">
        <v>SKU-0308</v>
      </c>
      <c r="R38" t="str">
        <v/>
      </c>
      <c r="S38" t="str">
        <v/>
      </c>
      <c r="T38" t="str">
        <v/>
      </c>
    </row>
    <row r="39">
      <c r="A39">
        <v>36</v>
      </c>
      <c r="B39" t="str">
        <v>سبيرو سباتس عنب صودا 330 مل زجاج</v>
      </c>
      <c r="C39" t="str">
        <v>6224009901023</v>
      </c>
      <c r="D39" t="str">
        <v/>
      </c>
      <c r="E39" t="str">
        <v>قطعة</v>
      </c>
      <c r="F39">
        <v>15</v>
      </c>
      <c r="G39">
        <v>11.5</v>
      </c>
      <c r="H39">
        <v>0</v>
      </c>
      <c r="I39">
        <v>8</v>
      </c>
      <c r="J39">
        <f>F39-G39</f>
        <v>3.5</v>
      </c>
      <c r="K39" s="1">
        <f>IF(G39&gt;0, (F39-G39)/G39, 0)</f>
        <v>0.3043</v>
      </c>
      <c r="L39" s="2">
        <f>H39*G39</f>
        <v>0</v>
      </c>
      <c r="M39" s="2">
        <f>H39*F39</f>
        <v>0</v>
      </c>
      <c r="N39" s="2">
        <f>M39-L39</f>
        <v>0</v>
      </c>
      <c r="O39" t="str">
        <f>IF(H39&lt;=0, "نفد من المخزن", IF(H39&lt;=I39, "قارب على النفاد", "متوفر بالمخزن"))</f>
        <v>نفد من المخزن</v>
      </c>
      <c r="P39">
        <v>0</v>
      </c>
      <c r="Q39" t="str">
        <v>SKU-0309</v>
      </c>
      <c r="R39" t="str">
        <v/>
      </c>
      <c r="S39" t="str">
        <v/>
      </c>
      <c r="T39" t="str">
        <v/>
      </c>
    </row>
    <row r="40">
      <c r="A40">
        <v>37</v>
      </c>
      <c r="B40" t="str">
        <v>سبيرو سباتس تفاح صودا 330 مل زجاج</v>
      </c>
      <c r="C40" t="str">
        <v>6224009901030</v>
      </c>
      <c r="D40" t="str">
        <v/>
      </c>
      <c r="E40" t="str">
        <v>قطعة</v>
      </c>
      <c r="F40">
        <v>15</v>
      </c>
      <c r="G40">
        <v>11.5</v>
      </c>
      <c r="H40">
        <v>0</v>
      </c>
      <c r="I40">
        <v>8</v>
      </c>
      <c r="J40">
        <f>F40-G40</f>
        <v>3.5</v>
      </c>
      <c r="K40" s="1">
        <f>IF(G40&gt;0, (F40-G40)/G40, 0)</f>
        <v>0.3043</v>
      </c>
      <c r="L40" s="2">
        <f>H40*G40</f>
        <v>0</v>
      </c>
      <c r="M40" s="2">
        <f>H40*F40</f>
        <v>0</v>
      </c>
      <c r="N40" s="2">
        <f>M40-L40</f>
        <v>0</v>
      </c>
      <c r="O40" t="str">
        <f>IF(H40&lt;=0, "نفد من المخزن", IF(H40&lt;=I40, "قارب على النفاد", "متوفر بالمخزن"))</f>
        <v>نفد من المخزن</v>
      </c>
      <c r="P40">
        <v>0</v>
      </c>
      <c r="Q40" t="str">
        <v>SKU-0310</v>
      </c>
      <c r="R40" t="str">
        <v/>
      </c>
      <c r="S40" t="str">
        <v/>
      </c>
      <c r="T40" t="str">
        <v/>
      </c>
    </row>
    <row r="41">
      <c r="A41">
        <v>38</v>
      </c>
      <c r="B41" t="str">
        <v>في سفن صودا V7 كانز 250 مل نكهات</v>
      </c>
      <c r="C41" t="str">
        <v>6224009901047</v>
      </c>
      <c r="D41" t="str">
        <v/>
      </c>
      <c r="E41" t="str">
        <v>قطعة</v>
      </c>
      <c r="F41">
        <v>15</v>
      </c>
      <c r="G41">
        <v>11.5</v>
      </c>
      <c r="H41">
        <v>0</v>
      </c>
      <c r="I41">
        <v>8</v>
      </c>
      <c r="J41">
        <f>F41-G41</f>
        <v>3.5</v>
      </c>
      <c r="K41" s="1">
        <f>IF(G41&gt;0, (F41-G41)/G41, 0)</f>
        <v>0.3043</v>
      </c>
      <c r="L41" s="2">
        <f>H41*G41</f>
        <v>0</v>
      </c>
      <c r="M41" s="2">
        <f>H41*F41</f>
        <v>0</v>
      </c>
      <c r="N41" s="2">
        <f>M41-L41</f>
        <v>0</v>
      </c>
      <c r="O41" t="str">
        <f>IF(H41&lt;=0, "نفد من المخزن", IF(H41&lt;=I41, "قارب على النفاد", "متوفر بالمخزن"))</f>
        <v>نفد من المخزن</v>
      </c>
      <c r="P41">
        <v>0</v>
      </c>
      <c r="Q41" t="str">
        <v>SKU-0311</v>
      </c>
      <c r="R41" t="str">
        <v/>
      </c>
      <c r="S41" t="str">
        <v/>
      </c>
      <c r="T41" t="str">
        <v/>
      </c>
    </row>
    <row r="42">
      <c r="A42">
        <v>39</v>
      </c>
      <c r="B42" t="str">
        <v>ريد بول مشروب طاقة 250 مل</v>
      </c>
      <c r="C42" t="str">
        <v>9002490100070</v>
      </c>
      <c r="D42" t="str">
        <v/>
      </c>
      <c r="E42" t="str">
        <v>قطعة</v>
      </c>
      <c r="F42">
        <v>45</v>
      </c>
      <c r="G42">
        <v>36</v>
      </c>
      <c r="H42">
        <v>0</v>
      </c>
      <c r="I42">
        <v>4</v>
      </c>
      <c r="J42">
        <f>F42-G42</f>
        <v>9</v>
      </c>
      <c r="K42" s="1">
        <f>IF(G42&gt;0, (F42-G42)/G42, 0)</f>
        <v>0.25</v>
      </c>
      <c r="L42" s="2">
        <f>H42*G42</f>
        <v>0</v>
      </c>
      <c r="M42" s="2">
        <f>H42*F42</f>
        <v>0</v>
      </c>
      <c r="N42" s="2">
        <f>M42-L42</f>
        <v>0</v>
      </c>
      <c r="O42" t="str">
        <f>IF(H42&lt;=0, "نفد من المخزن", IF(H42&lt;=I42, "قارب على النفاد", "متوفر بالمخزن"))</f>
        <v>نفد من المخزن</v>
      </c>
      <c r="P42">
        <v>0</v>
      </c>
      <c r="Q42" t="str">
        <v>SKU-0312</v>
      </c>
      <c r="R42" t="str">
        <v/>
      </c>
      <c r="S42" t="str">
        <v/>
      </c>
      <c r="T42" t="str">
        <v/>
      </c>
    </row>
    <row r="43">
      <c r="A43">
        <v>40</v>
      </c>
      <c r="B43" t="str">
        <v>ستينج مشروب طاقة توت أحمر كانز 250 مل</v>
      </c>
      <c r="C43" t="str">
        <v>8901491101013</v>
      </c>
      <c r="D43" t="str">
        <v/>
      </c>
      <c r="E43" t="str">
        <v>قطعة</v>
      </c>
      <c r="F43">
        <v>15</v>
      </c>
      <c r="G43">
        <v>11.5</v>
      </c>
      <c r="H43">
        <v>0</v>
      </c>
      <c r="I43">
        <v>8</v>
      </c>
      <c r="J43">
        <f>F43-G43</f>
        <v>3.5</v>
      </c>
      <c r="K43" s="1">
        <f>IF(G43&gt;0, (F43-G43)/G43, 0)</f>
        <v>0.3043</v>
      </c>
      <c r="L43" s="2">
        <f>H43*G43</f>
        <v>0</v>
      </c>
      <c r="M43" s="2">
        <f>H43*F43</f>
        <v>0</v>
      </c>
      <c r="N43" s="2">
        <f>M43-L43</f>
        <v>0</v>
      </c>
      <c r="O43" t="str">
        <f>IF(H43&lt;=0, "نفد من المخزن", IF(H43&lt;=I43, "قارب على النفاد", "متوفر بالمخزن"))</f>
        <v>نفد من المخزن</v>
      </c>
      <c r="P43">
        <v>0</v>
      </c>
      <c r="Q43" t="str">
        <v>SKU-0313</v>
      </c>
      <c r="R43" t="str">
        <v/>
      </c>
      <c r="S43" t="str">
        <v/>
      </c>
      <c r="T43" t="str">
        <v/>
      </c>
    </row>
    <row r="44">
      <c r="A44">
        <v>41</v>
      </c>
      <c r="B44" t="str">
        <v>ستينج مشروب طاقة جولد أصفر كانز 250 مل</v>
      </c>
      <c r="C44" t="str">
        <v>8901491101020</v>
      </c>
      <c r="D44" t="str">
        <v/>
      </c>
      <c r="E44" t="str">
        <v>قطعة</v>
      </c>
      <c r="F44">
        <v>15</v>
      </c>
      <c r="G44">
        <v>11.5</v>
      </c>
      <c r="H44">
        <v>0</v>
      </c>
      <c r="I44">
        <v>8</v>
      </c>
      <c r="J44">
        <f>F44-G44</f>
        <v>3.5</v>
      </c>
      <c r="K44" s="1">
        <f>IF(G44&gt;0, (F44-G44)/G44, 0)</f>
        <v>0.3043</v>
      </c>
      <c r="L44" s="2">
        <f>H44*G44</f>
        <v>0</v>
      </c>
      <c r="M44" s="2">
        <f>H44*F44</f>
        <v>0</v>
      </c>
      <c r="N44" s="2">
        <f>M44-L44</f>
        <v>0</v>
      </c>
      <c r="O44" t="str">
        <f>IF(H44&lt;=0, "نفد من المخزن", IF(H44&lt;=I44, "قارب على النفاد", "متوفر بالمخزن"))</f>
        <v>نفد من المخزن</v>
      </c>
      <c r="P44">
        <v>0</v>
      </c>
      <c r="Q44" t="str">
        <v>SKU-0314</v>
      </c>
      <c r="R44" t="str">
        <v/>
      </c>
      <c r="S44" t="str">
        <v/>
      </c>
      <c r="T44" t="str">
        <v/>
      </c>
    </row>
    <row r="45">
      <c r="A45">
        <v>42</v>
      </c>
      <c r="B45" t="str">
        <v>عصير جهينة بيور برتقال بدون سكر 1 لتر</v>
      </c>
      <c r="C45" t="str">
        <v>6222014335532</v>
      </c>
      <c r="D45" t="str">
        <v/>
      </c>
      <c r="E45" t="str">
        <v>قطعة</v>
      </c>
      <c r="F45">
        <v>48</v>
      </c>
      <c r="G45">
        <v>39</v>
      </c>
      <c r="H45">
        <v>0</v>
      </c>
      <c r="I45">
        <v>6</v>
      </c>
      <c r="J45">
        <f>F45-G45</f>
        <v>9</v>
      </c>
      <c r="K45" s="1">
        <f>IF(G45&gt;0, (F45-G45)/G45, 0)</f>
        <v>0.2308</v>
      </c>
      <c r="L45" s="2">
        <f>H45*G45</f>
        <v>0</v>
      </c>
      <c r="M45" s="2">
        <f>H45*F45</f>
        <v>0</v>
      </c>
      <c r="N45" s="2">
        <f>M45-L45</f>
        <v>0</v>
      </c>
      <c r="O45" t="str">
        <f>IF(H45&lt;=0, "نفد من المخزن", IF(H45&lt;=I45, "قارب على النفاد", "متوفر بالمخزن"))</f>
        <v>نفد من المخزن</v>
      </c>
      <c r="P45">
        <v>0</v>
      </c>
      <c r="Q45" t="str">
        <v>SKU-0315</v>
      </c>
      <c r="R45" t="str">
        <v/>
      </c>
      <c r="S45" t="str">
        <v/>
      </c>
      <c r="T45" t="str">
        <v/>
      </c>
    </row>
    <row r="46">
      <c r="A46">
        <v>43</v>
      </c>
      <c r="B46" t="str">
        <v>عصير جهينة بيور تفاح بدون سكر 1 لتر</v>
      </c>
      <c r="C46" t="str">
        <v>6222014335549</v>
      </c>
      <c r="D46" t="str">
        <v/>
      </c>
      <c r="E46" t="str">
        <v>قطعة</v>
      </c>
      <c r="F46">
        <v>48</v>
      </c>
      <c r="G46">
        <v>39</v>
      </c>
      <c r="H46">
        <v>0</v>
      </c>
      <c r="I46">
        <v>6</v>
      </c>
      <c r="J46">
        <f>F46-G46</f>
        <v>9</v>
      </c>
      <c r="K46" s="1">
        <f>IF(G46&gt;0, (F46-G46)/G46, 0)</f>
        <v>0.2308</v>
      </c>
      <c r="L46" s="2">
        <f>H46*G46</f>
        <v>0</v>
      </c>
      <c r="M46" s="2">
        <f>H46*F46</f>
        <v>0</v>
      </c>
      <c r="N46" s="2">
        <f>M46-L46</f>
        <v>0</v>
      </c>
      <c r="O46" t="str">
        <f>IF(H46&lt;=0, "نفد من المخزن", IF(H46&lt;=I46, "قارب على النفاد", "متوفر بالمخزن"))</f>
        <v>نفد من المخزن</v>
      </c>
      <c r="P46">
        <v>0</v>
      </c>
      <c r="Q46" t="str">
        <v>SKU-0316</v>
      </c>
      <c r="R46" t="str">
        <v/>
      </c>
      <c r="S46" t="str">
        <v/>
      </c>
      <c r="T46" t="str">
        <v/>
      </c>
    </row>
    <row r="47">
      <c r="A47">
        <v>44</v>
      </c>
      <c r="B47" t="str">
        <v>عصير جهينة بيور أناناس بدون سكر 1 لتر</v>
      </c>
      <c r="C47" t="str">
        <v>6222014335617</v>
      </c>
      <c r="D47" t="str">
        <v/>
      </c>
      <c r="E47" t="str">
        <v>قطعة</v>
      </c>
      <c r="F47">
        <v>50</v>
      </c>
      <c r="G47">
        <v>41</v>
      </c>
      <c r="H47">
        <v>0</v>
      </c>
      <c r="I47">
        <v>5</v>
      </c>
      <c r="J47">
        <f>F47-G47</f>
        <v>9</v>
      </c>
      <c r="K47" s="1">
        <f>IF(G47&gt;0, (F47-G47)/G47, 0)</f>
        <v>0.2195</v>
      </c>
      <c r="L47" s="2">
        <f>H47*G47</f>
        <v>0</v>
      </c>
      <c r="M47" s="2">
        <f>H47*F47</f>
        <v>0</v>
      </c>
      <c r="N47" s="2">
        <f>M47-L47</f>
        <v>0</v>
      </c>
      <c r="O47" t="str">
        <f>IF(H47&lt;=0, "نفد من المخزن", IF(H47&lt;=I47, "قارب على النفاد", "متوفر بالمخزن"))</f>
        <v>نفد من المخزن</v>
      </c>
      <c r="P47">
        <v>0</v>
      </c>
      <c r="Q47" t="str">
        <v>SKU-0317</v>
      </c>
      <c r="R47" t="str">
        <v/>
      </c>
      <c r="S47" t="str">
        <v/>
      </c>
      <c r="T47" t="str">
        <v/>
      </c>
    </row>
    <row r="48">
      <c r="A48">
        <v>45</v>
      </c>
      <c r="B48" t="str">
        <v>عصير جهينة مانجو تتراباك 1 لتر</v>
      </c>
      <c r="C48" t="str">
        <v>6222014335556</v>
      </c>
      <c r="D48" t="str">
        <v/>
      </c>
      <c r="E48" t="str">
        <v>قطعة</v>
      </c>
      <c r="F48">
        <v>38</v>
      </c>
      <c r="G48">
        <v>30</v>
      </c>
      <c r="H48">
        <v>0</v>
      </c>
      <c r="I48">
        <v>8</v>
      </c>
      <c r="J48">
        <f>F48-G48</f>
        <v>8</v>
      </c>
      <c r="K48" s="1">
        <f>IF(G48&gt;0, (F48-G48)/G48, 0)</f>
        <v>0.2667</v>
      </c>
      <c r="L48" s="2">
        <f>H48*G48</f>
        <v>0</v>
      </c>
      <c r="M48" s="2">
        <f>H48*F48</f>
        <v>0</v>
      </c>
      <c r="N48" s="2">
        <f>M48-L48</f>
        <v>0</v>
      </c>
      <c r="O48" t="str">
        <f>IF(H48&lt;=0, "نفد من المخزن", IF(H48&lt;=I48, "قارب على النفاد", "متوفر بالمخزن"))</f>
        <v>نفد من المخزن</v>
      </c>
      <c r="P48">
        <v>0</v>
      </c>
      <c r="Q48" t="str">
        <v>SKU-0318</v>
      </c>
      <c r="R48" t="str">
        <v/>
      </c>
      <c r="S48" t="str">
        <v/>
      </c>
      <c r="T48" t="str">
        <v/>
      </c>
    </row>
    <row r="49">
      <c r="A49">
        <v>46</v>
      </c>
      <c r="B49" t="str">
        <v>عصير جهينة جوافة تتراباك 1 لتر</v>
      </c>
      <c r="C49" t="str">
        <v>6222014335563</v>
      </c>
      <c r="D49" t="str">
        <v/>
      </c>
      <c r="E49" t="str">
        <v>قطعة</v>
      </c>
      <c r="F49">
        <v>38</v>
      </c>
      <c r="G49">
        <v>30</v>
      </c>
      <c r="H49">
        <v>0</v>
      </c>
      <c r="I49">
        <v>8</v>
      </c>
      <c r="J49">
        <f>F49-G49</f>
        <v>8</v>
      </c>
      <c r="K49" s="1">
        <f>IF(G49&gt;0, (F49-G49)/G49, 0)</f>
        <v>0.2667</v>
      </c>
      <c r="L49" s="2">
        <f>H49*G49</f>
        <v>0</v>
      </c>
      <c r="M49" s="2">
        <f>H49*F49</f>
        <v>0</v>
      </c>
      <c r="N49" s="2">
        <f>M49-L49</f>
        <v>0</v>
      </c>
      <c r="O49" t="str">
        <f>IF(H49&lt;=0, "نفد من المخزن", IF(H49&lt;=I49, "قارب على النفاد", "متوفر بالمخزن"))</f>
        <v>نفد من المخزن</v>
      </c>
      <c r="P49">
        <v>0</v>
      </c>
      <c r="Q49" t="str">
        <v>SKU-0319</v>
      </c>
      <c r="R49" t="str">
        <v/>
      </c>
      <c r="S49" t="str">
        <v/>
      </c>
      <c r="T49" t="str">
        <v/>
      </c>
    </row>
    <row r="50">
      <c r="A50">
        <v>47</v>
      </c>
      <c r="B50" t="str">
        <v>عصير جهينة كوكتيل تتراباك 1 لتر</v>
      </c>
      <c r="C50" t="str">
        <v>6222014335570</v>
      </c>
      <c r="D50" t="str">
        <v/>
      </c>
      <c r="E50" t="str">
        <v>قطعة</v>
      </c>
      <c r="F50">
        <v>38</v>
      </c>
      <c r="G50">
        <v>30</v>
      </c>
      <c r="H50">
        <v>0</v>
      </c>
      <c r="I50">
        <v>6</v>
      </c>
      <c r="J50">
        <f>F50-G50</f>
        <v>8</v>
      </c>
      <c r="K50" s="1">
        <f>IF(G50&gt;0, (F50-G50)/G50, 0)</f>
        <v>0.2667</v>
      </c>
      <c r="L50" s="2">
        <f>H50*G50</f>
        <v>0</v>
      </c>
      <c r="M50" s="2">
        <f>H50*F50</f>
        <v>0</v>
      </c>
      <c r="N50" s="2">
        <f>M50-L50</f>
        <v>0</v>
      </c>
      <c r="O50" t="str">
        <f>IF(H50&lt;=0, "نفد من المخزن", IF(H50&lt;=I50, "قارب على النفاد", "متوفر بالمخزن"))</f>
        <v>نفد من المخزن</v>
      </c>
      <c r="P50">
        <v>0</v>
      </c>
      <c r="Q50" t="str">
        <v>SKU-0320</v>
      </c>
      <c r="R50" t="str">
        <v/>
      </c>
      <c r="S50" t="str">
        <v/>
      </c>
      <c r="T50" t="str">
        <v/>
      </c>
    </row>
    <row r="51">
      <c r="A51">
        <v>48</v>
      </c>
      <c r="B51" t="str">
        <v>عصير جهينة تفاح 200 مل شاليموه</v>
      </c>
      <c r="C51" t="str">
        <v>6222014335587</v>
      </c>
      <c r="D51" t="str">
        <v/>
      </c>
      <c r="E51" t="str">
        <v>قطعة</v>
      </c>
      <c r="F51">
        <v>9</v>
      </c>
      <c r="G51">
        <v>6.8</v>
      </c>
      <c r="H51">
        <v>0</v>
      </c>
      <c r="I51">
        <v>12</v>
      </c>
      <c r="J51">
        <f>F51-G51</f>
        <v>2.2</v>
      </c>
      <c r="K51" s="1">
        <f>IF(G51&gt;0, (F51-G51)/G51, 0)</f>
        <v>0.3235</v>
      </c>
      <c r="L51" s="2">
        <f>H51*G51</f>
        <v>0</v>
      </c>
      <c r="M51" s="2">
        <f>H51*F51</f>
        <v>0</v>
      </c>
      <c r="N51" s="2">
        <f>M51-L51</f>
        <v>0</v>
      </c>
      <c r="O51" t="str">
        <f>IF(H51&lt;=0, "نفد من المخزن", IF(H51&lt;=I51, "قارب على النفاد", "متوفر بالمخزن"))</f>
        <v>نفد من المخزن</v>
      </c>
      <c r="P51">
        <v>0</v>
      </c>
      <c r="Q51" t="str">
        <v>SKU-0321</v>
      </c>
      <c r="R51" t="str">
        <v/>
      </c>
      <c r="S51" t="str">
        <v/>
      </c>
      <c r="T51" t="str">
        <v/>
      </c>
    </row>
    <row r="52">
      <c r="A52">
        <v>49</v>
      </c>
      <c r="B52" t="str">
        <v>عصير جهينة مانجو 200 مل شاليموه</v>
      </c>
      <c r="C52" t="str">
        <v>6222014335594</v>
      </c>
      <c r="D52" t="str">
        <v/>
      </c>
      <c r="E52" t="str">
        <v>قطعة</v>
      </c>
      <c r="F52">
        <v>9</v>
      </c>
      <c r="G52">
        <v>6.8</v>
      </c>
      <c r="H52">
        <v>0</v>
      </c>
      <c r="I52">
        <v>12</v>
      </c>
      <c r="J52">
        <f>F52-G52</f>
        <v>2.2</v>
      </c>
      <c r="K52" s="1">
        <f>IF(G52&gt;0, (F52-G52)/G52, 0)</f>
        <v>0.3235</v>
      </c>
      <c r="L52" s="2">
        <f>H52*G52</f>
        <v>0</v>
      </c>
      <c r="M52" s="2">
        <f>H52*F52</f>
        <v>0</v>
      </c>
      <c r="N52" s="2">
        <f>M52-L52</f>
        <v>0</v>
      </c>
      <c r="O52" t="str">
        <f>IF(H52&lt;=0, "نفد من المخزن", IF(H52&lt;=I52, "قارب على النفاد", "متوفر بالمخزن"))</f>
        <v>نفد من المخزن</v>
      </c>
      <c r="P52">
        <v>0</v>
      </c>
      <c r="Q52" t="str">
        <v>SKU-0322</v>
      </c>
      <c r="R52" t="str">
        <v/>
      </c>
      <c r="S52" t="str">
        <v/>
      </c>
      <c r="T52" t="str">
        <v/>
      </c>
    </row>
    <row r="53">
      <c r="A53">
        <v>50</v>
      </c>
      <c r="B53" t="str">
        <v>عصير جهينة جوافة 200 مل شاليموه</v>
      </c>
      <c r="C53" t="str">
        <v>6222014335600</v>
      </c>
      <c r="D53" t="str">
        <v/>
      </c>
      <c r="E53" t="str">
        <v>قطعة</v>
      </c>
      <c r="F53">
        <v>9</v>
      </c>
      <c r="G53">
        <v>6.8</v>
      </c>
      <c r="H53">
        <v>0</v>
      </c>
      <c r="I53">
        <v>10</v>
      </c>
      <c r="J53">
        <f>F53-G53</f>
        <v>2.2</v>
      </c>
      <c r="K53" s="1">
        <f>IF(G53&gt;0, (F53-G53)/G53, 0)</f>
        <v>0.3235</v>
      </c>
      <c r="L53" s="2">
        <f>H53*G53</f>
        <v>0</v>
      </c>
      <c r="M53" s="2">
        <f>H53*F53</f>
        <v>0</v>
      </c>
      <c r="N53" s="2">
        <f>M53-L53</f>
        <v>0</v>
      </c>
      <c r="O53" t="str">
        <f>IF(H53&lt;=0, "نفد من المخزن", IF(H53&lt;=I53, "قارب على النفاد", "متوفر بالمخزن"))</f>
        <v>نفد من المخزن</v>
      </c>
      <c r="P53">
        <v>0</v>
      </c>
      <c r="Q53" t="str">
        <v>SKU-0323</v>
      </c>
      <c r="R53" t="str">
        <v/>
      </c>
      <c r="S53" t="str">
        <v/>
      </c>
      <c r="T53" t="str">
        <v/>
      </c>
    </row>
    <row r="54">
      <c r="A54">
        <v>51</v>
      </c>
      <c r="B54" t="str">
        <v>عصير جهينة برتقال 200 مل شاليموه</v>
      </c>
      <c r="C54" t="str">
        <v>6222014335624</v>
      </c>
      <c r="D54" t="str">
        <v/>
      </c>
      <c r="E54" t="str">
        <v>قطعة</v>
      </c>
      <c r="F54">
        <v>9</v>
      </c>
      <c r="G54">
        <v>6.8</v>
      </c>
      <c r="H54">
        <v>0</v>
      </c>
      <c r="I54">
        <v>10</v>
      </c>
      <c r="J54">
        <f>F54-G54</f>
        <v>2.2</v>
      </c>
      <c r="K54" s="1">
        <f>IF(G54&gt;0, (F54-G54)/G54, 0)</f>
        <v>0.3235</v>
      </c>
      <c r="L54" s="2">
        <f>H54*G54</f>
        <v>0</v>
      </c>
      <c r="M54" s="2">
        <f>H54*F54</f>
        <v>0</v>
      </c>
      <c r="N54" s="2">
        <f>M54-L54</f>
        <v>0</v>
      </c>
      <c r="O54" t="str">
        <f>IF(H54&lt;=0, "نفد من المخزن", IF(H54&lt;=I54, "قارب على النفاد", "متوفر بالمخزن"))</f>
        <v>نفد من المخزن</v>
      </c>
      <c r="P54">
        <v>0</v>
      </c>
      <c r="Q54" t="str">
        <v>SKU-0324</v>
      </c>
      <c r="R54" t="str">
        <v/>
      </c>
      <c r="S54" t="str">
        <v/>
      </c>
      <c r="T54" t="str">
        <v/>
      </c>
    </row>
    <row r="55">
      <c r="A55">
        <v>52</v>
      </c>
      <c r="B55" t="str">
        <v>عصير بيتي مانجو 200 مل</v>
      </c>
      <c r="C55" t="str">
        <v>6222004001010</v>
      </c>
      <c r="D55" t="str">
        <v/>
      </c>
      <c r="E55" t="str">
        <v>قطعة</v>
      </c>
      <c r="F55">
        <v>8</v>
      </c>
      <c r="G55">
        <v>5.8</v>
      </c>
      <c r="H55">
        <v>0</v>
      </c>
      <c r="I55">
        <v>12</v>
      </c>
      <c r="J55">
        <f>F55-G55</f>
        <v>2.2</v>
      </c>
      <c r="K55" s="1">
        <f>IF(G55&gt;0, (F55-G55)/G55, 0)</f>
        <v>0.3793</v>
      </c>
      <c r="L55" s="2">
        <f>H55*G55</f>
        <v>0</v>
      </c>
      <c r="M55" s="2">
        <f>H55*F55</f>
        <v>0</v>
      </c>
      <c r="N55" s="2">
        <f>M55-L55</f>
        <v>0</v>
      </c>
      <c r="O55" t="str">
        <f>IF(H55&lt;=0, "نفد من المخزن", IF(H55&lt;=I55, "قارب على النفاد", "متوفر بالمخزن"))</f>
        <v>نفد من المخزن</v>
      </c>
      <c r="P55">
        <v>0</v>
      </c>
      <c r="Q55" t="str">
        <v>SKU-0325</v>
      </c>
      <c r="R55" t="str">
        <v/>
      </c>
      <c r="S55" t="str">
        <v/>
      </c>
      <c r="T55" t="str">
        <v/>
      </c>
    </row>
    <row r="56">
      <c r="A56">
        <v>53</v>
      </c>
      <c r="B56" t="str">
        <v>عصير بيتي جوافة 200 مل</v>
      </c>
      <c r="C56" t="str">
        <v>6222004001027</v>
      </c>
      <c r="D56" t="str">
        <v/>
      </c>
      <c r="E56" t="str">
        <v>قطعة</v>
      </c>
      <c r="F56">
        <v>8</v>
      </c>
      <c r="G56">
        <v>5.8</v>
      </c>
      <c r="H56">
        <v>0</v>
      </c>
      <c r="I56">
        <v>12</v>
      </c>
      <c r="J56">
        <f>F56-G56</f>
        <v>2.2</v>
      </c>
      <c r="K56" s="1">
        <f>IF(G56&gt;0, (F56-G56)/G56, 0)</f>
        <v>0.3793</v>
      </c>
      <c r="L56" s="2">
        <f>H56*G56</f>
        <v>0</v>
      </c>
      <c r="M56" s="2">
        <f>H56*F56</f>
        <v>0</v>
      </c>
      <c r="N56" s="2">
        <f>M56-L56</f>
        <v>0</v>
      </c>
      <c r="O56" t="str">
        <f>IF(H56&lt;=0, "نفد من المخزن", IF(H56&lt;=I56, "قارب على النفاد", "متوفر بالمخزن"))</f>
        <v>نفد من المخزن</v>
      </c>
      <c r="P56">
        <v>0</v>
      </c>
      <c r="Q56" t="str">
        <v>SKU-0326</v>
      </c>
      <c r="R56" t="str">
        <v/>
      </c>
      <c r="S56" t="str">
        <v/>
      </c>
      <c r="T56" t="str">
        <v/>
      </c>
    </row>
    <row r="57">
      <c r="A57">
        <v>54</v>
      </c>
      <c r="B57" t="str">
        <v>عصير بيتي برتقال 200 مل</v>
      </c>
      <c r="C57" t="str">
        <v>6222004001041</v>
      </c>
      <c r="D57" t="str">
        <v/>
      </c>
      <c r="E57" t="str">
        <v>قطعة</v>
      </c>
      <c r="F57">
        <v>8</v>
      </c>
      <c r="G57">
        <v>5.8</v>
      </c>
      <c r="H57">
        <v>0</v>
      </c>
      <c r="I57">
        <v>10</v>
      </c>
      <c r="J57">
        <f>F57-G57</f>
        <v>2.2</v>
      </c>
      <c r="K57" s="1">
        <f>IF(G57&gt;0, (F57-G57)/G57, 0)</f>
        <v>0.3793</v>
      </c>
      <c r="L57" s="2">
        <f>H57*G57</f>
        <v>0</v>
      </c>
      <c r="M57" s="2">
        <f>H57*F57</f>
        <v>0</v>
      </c>
      <c r="N57" s="2">
        <f>M57-L57</f>
        <v>0</v>
      </c>
      <c r="O57" t="str">
        <f>IF(H57&lt;=0, "نفد من المخزن", IF(H57&lt;=I57, "قارب على النفاد", "متوفر بالمخزن"))</f>
        <v>نفد من المخزن</v>
      </c>
      <c r="P57">
        <v>0</v>
      </c>
      <c r="Q57" t="str">
        <v>SKU-0327</v>
      </c>
      <c r="R57" t="str">
        <v/>
      </c>
      <c r="S57" t="str">
        <v/>
      </c>
      <c r="T57" t="str">
        <v/>
      </c>
    </row>
    <row r="58">
      <c r="A58">
        <v>55</v>
      </c>
      <c r="B58" t="str">
        <v>عصير بيتي تروبيكانا كوكتيل 1 لتر</v>
      </c>
      <c r="C58" t="str">
        <v>6222004001034</v>
      </c>
      <c r="D58" t="str">
        <v/>
      </c>
      <c r="E58" t="str">
        <v>قطعة</v>
      </c>
      <c r="F58">
        <v>35</v>
      </c>
      <c r="G58">
        <v>27.5</v>
      </c>
      <c r="H58">
        <v>0</v>
      </c>
      <c r="I58">
        <v>6</v>
      </c>
      <c r="J58">
        <f>F58-G58</f>
        <v>7.5</v>
      </c>
      <c r="K58" s="1">
        <f>IF(G58&gt;0, (F58-G58)/G58, 0)</f>
        <v>0.2727</v>
      </c>
      <c r="L58" s="2">
        <f>H58*G58</f>
        <v>0</v>
      </c>
      <c r="M58" s="2">
        <f>H58*F58</f>
        <v>0</v>
      </c>
      <c r="N58" s="2">
        <f>M58-L58</f>
        <v>0</v>
      </c>
      <c r="O58" t="str">
        <f>IF(H58&lt;=0, "نفد من المخزن", IF(H58&lt;=I58, "قارب على النفاد", "متوفر بالمخزن"))</f>
        <v>نفد من المخزن</v>
      </c>
      <c r="P58">
        <v>0</v>
      </c>
      <c r="Q58" t="str">
        <v>SKU-0328</v>
      </c>
      <c r="R58" t="str">
        <v/>
      </c>
      <c r="S58" t="str">
        <v/>
      </c>
      <c r="T58" t="str">
        <v/>
      </c>
    </row>
    <row r="59">
      <c r="A59">
        <v>56</v>
      </c>
      <c r="B59" t="str">
        <v>عصير بيتي تروبيكانا مانجو 1 لتر</v>
      </c>
      <c r="C59" t="str">
        <v>6222004001058</v>
      </c>
      <c r="D59" t="str">
        <v/>
      </c>
      <c r="E59" t="str">
        <v>قطعة</v>
      </c>
      <c r="F59">
        <v>35</v>
      </c>
      <c r="G59">
        <v>27.5</v>
      </c>
      <c r="H59">
        <v>0</v>
      </c>
      <c r="I59">
        <v>6</v>
      </c>
      <c r="J59">
        <f>F59-G59</f>
        <v>7.5</v>
      </c>
      <c r="K59" s="1">
        <f>IF(G59&gt;0, (F59-G59)/G59, 0)</f>
        <v>0.2727</v>
      </c>
      <c r="L59" s="2">
        <f>H59*G59</f>
        <v>0</v>
      </c>
      <c r="M59" s="2">
        <f>H59*F59</f>
        <v>0</v>
      </c>
      <c r="N59" s="2">
        <f>M59-L59</f>
        <v>0</v>
      </c>
      <c r="O59" t="str">
        <f>IF(H59&lt;=0, "نفد من المخزن", IF(H59&lt;=I59, "قارب على النفاد", "متوفر بالمخزن"))</f>
        <v>نفد من المخزن</v>
      </c>
      <c r="P59">
        <v>0</v>
      </c>
      <c r="Q59" t="str">
        <v>SKU-0329</v>
      </c>
      <c r="R59" t="str">
        <v/>
      </c>
      <c r="S59" t="str">
        <v/>
      </c>
      <c r="T59" t="str">
        <v/>
      </c>
    </row>
    <row r="60">
      <c r="A60">
        <v>57</v>
      </c>
      <c r="B60" t="str">
        <v>عصير لمار تفاح 1 لتر</v>
      </c>
      <c r="C60" t="str">
        <v>6224000301019</v>
      </c>
      <c r="D60" t="str">
        <v/>
      </c>
      <c r="E60" t="str">
        <v>قطعة</v>
      </c>
      <c r="F60">
        <v>45</v>
      </c>
      <c r="G60">
        <v>37</v>
      </c>
      <c r="H60">
        <v>0</v>
      </c>
      <c r="I60">
        <v>5</v>
      </c>
      <c r="J60">
        <f>F60-G60</f>
        <v>8</v>
      </c>
      <c r="K60" s="1">
        <f>IF(G60&gt;0, (F60-G60)/G60, 0)</f>
        <v>0.2162</v>
      </c>
      <c r="L60" s="2">
        <f>H60*G60</f>
        <v>0</v>
      </c>
      <c r="M60" s="2">
        <f>H60*F60</f>
        <v>0</v>
      </c>
      <c r="N60" s="2">
        <f>M60-L60</f>
        <v>0</v>
      </c>
      <c r="O60" t="str">
        <f>IF(H60&lt;=0, "نفد من المخزن", IF(H60&lt;=I60, "قارب على النفاد", "متوفر بالمخزن"))</f>
        <v>نفد من المخزن</v>
      </c>
      <c r="P60">
        <v>0</v>
      </c>
      <c r="Q60" t="str">
        <v>SKU-0330</v>
      </c>
      <c r="R60" t="str">
        <v/>
      </c>
      <c r="S60" t="str">
        <v/>
      </c>
      <c r="T60" t="str">
        <v/>
      </c>
    </row>
    <row r="61">
      <c r="A61">
        <v>58</v>
      </c>
      <c r="B61" t="str">
        <v>عصير لمار برتقال 1 لتر</v>
      </c>
      <c r="C61" t="str">
        <v>6224000301026</v>
      </c>
      <c r="D61" t="str">
        <v/>
      </c>
      <c r="E61" t="str">
        <v>قطعة</v>
      </c>
      <c r="F61">
        <v>45</v>
      </c>
      <c r="G61">
        <v>37</v>
      </c>
      <c r="H61">
        <v>0</v>
      </c>
      <c r="I61">
        <v>5</v>
      </c>
      <c r="J61">
        <f>F61-G61</f>
        <v>8</v>
      </c>
      <c r="K61" s="1">
        <f>IF(G61&gt;0, (F61-G61)/G61, 0)</f>
        <v>0.2162</v>
      </c>
      <c r="L61" s="2">
        <f>H61*G61</f>
        <v>0</v>
      </c>
      <c r="M61" s="2">
        <f>H61*F61</f>
        <v>0</v>
      </c>
      <c r="N61" s="2">
        <f>M61-L61</f>
        <v>0</v>
      </c>
      <c r="O61" t="str">
        <f>IF(H61&lt;=0, "نفد من المخزن", IF(H61&lt;=I61, "قارب على النفاد", "متوفر بالمخزن"))</f>
        <v>نفد من المخزن</v>
      </c>
      <c r="P61">
        <v>0</v>
      </c>
      <c r="Q61" t="str">
        <v>SKU-0331</v>
      </c>
      <c r="R61" t="str">
        <v/>
      </c>
      <c r="S61" t="str">
        <v/>
      </c>
      <c r="T61" t="str">
        <v/>
      </c>
    </row>
    <row r="62">
      <c r="A62">
        <v>59</v>
      </c>
      <c r="B62" t="str">
        <v>عصير لمار مانجو 1 لتر</v>
      </c>
      <c r="C62" t="str">
        <v>6224000301033</v>
      </c>
      <c r="D62" t="str">
        <v/>
      </c>
      <c r="E62" t="str">
        <v>قطعة</v>
      </c>
      <c r="F62">
        <v>45</v>
      </c>
      <c r="G62">
        <v>37</v>
      </c>
      <c r="H62">
        <v>0</v>
      </c>
      <c r="I62">
        <v>5</v>
      </c>
      <c r="J62">
        <f>F62-G62</f>
        <v>8</v>
      </c>
      <c r="K62" s="1">
        <f>IF(G62&gt;0, (F62-G62)/G62, 0)</f>
        <v>0.2162</v>
      </c>
      <c r="L62" s="2">
        <f>H62*G62</f>
        <v>0</v>
      </c>
      <c r="M62" s="2">
        <f>H62*F62</f>
        <v>0</v>
      </c>
      <c r="N62" s="2">
        <f>M62-L62</f>
        <v>0</v>
      </c>
      <c r="O62" t="str">
        <f>IF(H62&lt;=0, "نفد من المخزن", IF(H62&lt;=I62, "قارب على النفاد", "متوفر بالمخزن"))</f>
        <v>نفد من المخزن</v>
      </c>
      <c r="P62">
        <v>0</v>
      </c>
      <c r="Q62" t="str">
        <v>SKU-0332</v>
      </c>
      <c r="R62" t="str">
        <v/>
      </c>
      <c r="S62" t="str">
        <v/>
      </c>
      <c r="T62" t="str">
        <v/>
      </c>
    </row>
    <row r="63">
      <c r="A63">
        <v>60</v>
      </c>
      <c r="B63" t="str">
        <v>عصير لمار رمان 1 لتر</v>
      </c>
      <c r="C63" t="str">
        <v>6224000301040</v>
      </c>
      <c r="D63" t="str">
        <v/>
      </c>
      <c r="E63" t="str">
        <v>قطعة</v>
      </c>
      <c r="F63">
        <v>45</v>
      </c>
      <c r="G63">
        <v>37</v>
      </c>
      <c r="H63">
        <v>0</v>
      </c>
      <c r="I63">
        <v>4</v>
      </c>
      <c r="J63">
        <f>F63-G63</f>
        <v>8</v>
      </c>
      <c r="K63" s="1">
        <f>IF(G63&gt;0, (F63-G63)/G63, 0)</f>
        <v>0.2162</v>
      </c>
      <c r="L63" s="2">
        <f>H63*G63</f>
        <v>0</v>
      </c>
      <c r="M63" s="2">
        <f>H63*F63</f>
        <v>0</v>
      </c>
      <c r="N63" s="2">
        <f>M63-L63</f>
        <v>0</v>
      </c>
      <c r="O63" t="str">
        <f>IF(H63&lt;=0, "نفد من المخزن", IF(H63&lt;=I63, "قارب على النفاد", "متوفر بالمخزن"))</f>
        <v>نفد من المخزن</v>
      </c>
      <c r="P63">
        <v>0</v>
      </c>
      <c r="Q63" t="str">
        <v>SKU-0333</v>
      </c>
      <c r="R63" t="str">
        <v/>
      </c>
      <c r="S63" t="str">
        <v/>
      </c>
      <c r="T63" t="str">
        <v/>
      </c>
    </row>
    <row r="64">
      <c r="A64">
        <v>61</v>
      </c>
      <c r="B64" t="str">
        <v>عصير المراعي برتقال 1 لتر</v>
      </c>
      <c r="C64" t="str">
        <v>6221008004010</v>
      </c>
      <c r="D64" t="str">
        <v/>
      </c>
      <c r="E64" t="str">
        <v>قطعة</v>
      </c>
      <c r="F64">
        <v>42</v>
      </c>
      <c r="G64">
        <v>34</v>
      </c>
      <c r="H64">
        <v>0</v>
      </c>
      <c r="I64">
        <v>6</v>
      </c>
      <c r="J64">
        <f>F64-G64</f>
        <v>8</v>
      </c>
      <c r="K64" s="1">
        <f>IF(G64&gt;0, (F64-G64)/G64, 0)</f>
        <v>0.2353</v>
      </c>
      <c r="L64" s="2">
        <f>H64*G64</f>
        <v>0</v>
      </c>
      <c r="M64" s="2">
        <f>H64*F64</f>
        <v>0</v>
      </c>
      <c r="N64" s="2">
        <f>M64-L64</f>
        <v>0</v>
      </c>
      <c r="O64" t="str">
        <f>IF(H64&lt;=0, "نفد من المخزن", IF(H64&lt;=I64, "قارب على النفاد", "متوفر بالمخزن"))</f>
        <v>نفد من المخزن</v>
      </c>
      <c r="P64">
        <v>0</v>
      </c>
      <c r="Q64" t="str">
        <v>SKU-0334</v>
      </c>
      <c r="R64" t="str">
        <v/>
      </c>
      <c r="S64" t="str">
        <v/>
      </c>
      <c r="T64" t="str">
        <v/>
      </c>
    </row>
    <row r="65">
      <c r="A65">
        <v>62</v>
      </c>
      <c r="B65" t="str">
        <v>عصير المراعي مانجو 1 لتر</v>
      </c>
      <c r="C65" t="str">
        <v>6221008004027</v>
      </c>
      <c r="D65" t="str">
        <v/>
      </c>
      <c r="E65" t="str">
        <v>قطعة</v>
      </c>
      <c r="F65">
        <v>42</v>
      </c>
      <c r="G65">
        <v>34</v>
      </c>
      <c r="H65">
        <v>0</v>
      </c>
      <c r="I65">
        <v>6</v>
      </c>
      <c r="J65">
        <f>F65-G65</f>
        <v>8</v>
      </c>
      <c r="K65" s="1">
        <f>IF(G65&gt;0, (F65-G65)/G65, 0)</f>
        <v>0.2353</v>
      </c>
      <c r="L65" s="2">
        <f>H65*G65</f>
        <v>0</v>
      </c>
      <c r="M65" s="2">
        <f>H65*F65</f>
        <v>0</v>
      </c>
      <c r="N65" s="2">
        <f>M65-L65</f>
        <v>0</v>
      </c>
      <c r="O65" t="str">
        <f>IF(H65&lt;=0, "نفد من المخزن", IF(H65&lt;=I65, "قارب على النفاد", "متوفر بالمخزن"))</f>
        <v>نفد من المخزن</v>
      </c>
      <c r="P65">
        <v>0</v>
      </c>
      <c r="Q65" t="str">
        <v>SKU-0335</v>
      </c>
      <c r="R65" t="str">
        <v/>
      </c>
      <c r="S65" t="str">
        <v/>
      </c>
      <c r="T65" t="str">
        <v/>
      </c>
    </row>
    <row r="66">
      <c r="A66">
        <v>63</v>
      </c>
      <c r="B66" t="str">
        <v>عصير المراعي تفاح 1 لتر</v>
      </c>
      <c r="C66" t="str">
        <v>6221008004034</v>
      </c>
      <c r="D66" t="str">
        <v/>
      </c>
      <c r="E66" t="str">
        <v>قطعة</v>
      </c>
      <c r="F66">
        <v>42</v>
      </c>
      <c r="G66">
        <v>34</v>
      </c>
      <c r="H66">
        <v>0</v>
      </c>
      <c r="I66">
        <v>5</v>
      </c>
      <c r="J66">
        <f>F66-G66</f>
        <v>8</v>
      </c>
      <c r="K66" s="1">
        <f>IF(G66&gt;0, (F66-G66)/G66, 0)</f>
        <v>0.2353</v>
      </c>
      <c r="L66" s="2">
        <f>H66*G66</f>
        <v>0</v>
      </c>
      <c r="M66" s="2">
        <f>H66*F66</f>
        <v>0</v>
      </c>
      <c r="N66" s="2">
        <f>M66-L66</f>
        <v>0</v>
      </c>
      <c r="O66" t="str">
        <f>IF(H66&lt;=0, "نفد من المخزن", IF(H66&lt;=I66, "قارب على النفاد", "متوفر بالمخزن"))</f>
        <v>نفد من المخزن</v>
      </c>
      <c r="P66">
        <v>0</v>
      </c>
      <c r="Q66" t="str">
        <v>SKU-0336</v>
      </c>
      <c r="R66" t="str">
        <v/>
      </c>
      <c r="S66" t="str">
        <v/>
      </c>
      <c r="T66" t="str">
        <v/>
      </c>
    </row>
    <row r="67">
      <c r="A67">
        <v>64</v>
      </c>
      <c r="B67" t="str">
        <v>عصير راني خوخ حبيبات كانز 240 مل</v>
      </c>
      <c r="C67" t="str">
        <v>6281007001014</v>
      </c>
      <c r="D67" t="str">
        <v/>
      </c>
      <c r="E67" t="str">
        <v>قطعة</v>
      </c>
      <c r="F67">
        <v>18</v>
      </c>
      <c r="G67">
        <v>14</v>
      </c>
      <c r="H67">
        <v>0</v>
      </c>
      <c r="I67">
        <v>7</v>
      </c>
      <c r="J67">
        <f>F67-G67</f>
        <v>4</v>
      </c>
      <c r="K67" s="1">
        <f>IF(G67&gt;0, (F67-G67)/G67, 0)</f>
        <v>0.2857</v>
      </c>
      <c r="L67" s="2">
        <f>H67*G67</f>
        <v>0</v>
      </c>
      <c r="M67" s="2">
        <f>H67*F67</f>
        <v>0</v>
      </c>
      <c r="N67" s="2">
        <f>M67-L67</f>
        <v>0</v>
      </c>
      <c r="O67" t="str">
        <f>IF(H67&lt;=0, "نفد من المخزن", IF(H67&lt;=I67, "قارب على النفاد", "متوفر بالمخزن"))</f>
        <v>نفد من المخزن</v>
      </c>
      <c r="P67">
        <v>0</v>
      </c>
      <c r="Q67" t="str">
        <v>SKU-0337</v>
      </c>
      <c r="R67" t="str">
        <v/>
      </c>
      <c r="S67" t="str">
        <v/>
      </c>
      <c r="T67" t="str">
        <v/>
      </c>
    </row>
    <row r="68">
      <c r="A68">
        <v>65</v>
      </c>
      <c r="B68" t="str">
        <v>عصير راني برتقال حبيبات كانز 240 مل</v>
      </c>
      <c r="C68" t="str">
        <v>6281007001021</v>
      </c>
      <c r="D68" t="str">
        <v/>
      </c>
      <c r="E68" t="str">
        <v>قطعة</v>
      </c>
      <c r="F68">
        <v>18</v>
      </c>
      <c r="G68">
        <v>14</v>
      </c>
      <c r="H68">
        <v>0</v>
      </c>
      <c r="I68">
        <v>6</v>
      </c>
      <c r="J68">
        <f>F68-G68</f>
        <v>4</v>
      </c>
      <c r="K68" s="1">
        <f>IF(G68&gt;0, (F68-G68)/G68, 0)</f>
        <v>0.2857</v>
      </c>
      <c r="L68" s="2">
        <f>H68*G68</f>
        <v>0</v>
      </c>
      <c r="M68" s="2">
        <f>H68*F68</f>
        <v>0</v>
      </c>
      <c r="N68" s="2">
        <f>M68-L68</f>
        <v>0</v>
      </c>
      <c r="O68" t="str">
        <f>IF(H68&lt;=0, "نفد من المخزن", IF(H68&lt;=I68, "قارب على النفاد", "متوفر بالمخزن"))</f>
        <v>نفد من المخزن</v>
      </c>
      <c r="P68">
        <v>0</v>
      </c>
      <c r="Q68" t="str">
        <v>SKU-0338</v>
      </c>
      <c r="R68" t="str">
        <v/>
      </c>
      <c r="S68" t="str">
        <v/>
      </c>
      <c r="T68" t="str">
        <v/>
      </c>
    </row>
    <row r="69">
      <c r="A69" t="str">
        <v>الإجمالي</v>
      </c>
      <c r="B69" t="str">
        <v>إجمالي 65 صنف مسجل</v>
      </c>
      <c r="C69" t="str">
        <v/>
      </c>
      <c r="D69" t="str">
        <v/>
      </c>
      <c r="E69" t="str">
        <v/>
      </c>
      <c r="F69" s="2">
        <f>AVERAGE(F4:F68)</f>
      </c>
      <c r="G69" s="2">
        <f>AVERAGE(G4:G68)</f>
      </c>
      <c r="H69" s="3">
        <f>SUM(H4:H68)</f>
      </c>
      <c r="I69" t="str">
        <v/>
      </c>
      <c r="J69" s="2">
        <f>AVERAGE(J4:J68)</f>
      </c>
      <c r="K69" s="1">
        <f>IF(L69&gt;0, N69/L69, 0)</f>
      </c>
      <c r="L69" s="2">
        <f>SUM(L4:L68)</f>
      </c>
      <c r="M69" s="2">
        <f>SUM(M4:M68)</f>
      </c>
      <c r="N69" s="2">
        <f>SUM(N4:N68)</f>
      </c>
      <c r="O69" t="str">
        <v>محسوب بمعادلات إكسل</v>
      </c>
      <c r="P69" t="str">
        <v/>
      </c>
      <c r="Q69" t="str">
        <v/>
      </c>
      <c r="R69" t="str">
        <v/>
      </c>
      <c r="S69" t="str">
        <v/>
      </c>
      <c r="T69" t="str">
        <v/>
      </c>
    </row>
  </sheetData>
  <mergeCells count="2">
    <mergeCell ref="A1:T1"/>
    <mergeCell ref="A2:T2"/>
  </mergeCells>
  <ignoredErrors>
    <ignoredError numberStoredAsText="1" sqref="A1:T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[بسكويت وحلويات]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شيبسي بطاطس عائلي طماطم 85 جم</v>
      </c>
      <c r="C4" t="str">
        <v>6221044001011</v>
      </c>
      <c r="D4" t="str">
        <v/>
      </c>
      <c r="E4" t="str">
        <v>قطعة</v>
      </c>
      <c r="F4">
        <v>15</v>
      </c>
      <c r="G4">
        <v>11.8</v>
      </c>
      <c r="H4">
        <v>0</v>
      </c>
      <c r="I4">
        <v>12</v>
      </c>
      <c r="J4">
        <f>F4-G4</f>
        <v>3.2</v>
      </c>
      <c r="K4" s="1">
        <f>IF(G4&gt;0, (F4-G4)/G4, 0)</f>
        <v>0.2712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SKU-0339</v>
      </c>
      <c r="R4" t="str">
        <v/>
      </c>
      <c r="S4" t="str">
        <v/>
      </c>
      <c r="T4" t="str">
        <v/>
      </c>
    </row>
    <row r="5">
      <c r="A5">
        <v>2</v>
      </c>
      <c r="B5" t="str">
        <v>شيبسي بطاطس عائلي جبنة متبلة 85 جم</v>
      </c>
      <c r="C5" t="str">
        <v>6221044001028</v>
      </c>
      <c r="D5" t="str">
        <v/>
      </c>
      <c r="E5" t="str">
        <v>قطعة</v>
      </c>
      <c r="F5">
        <v>15</v>
      </c>
      <c r="G5">
        <v>11.8</v>
      </c>
      <c r="H5">
        <v>0</v>
      </c>
      <c r="I5">
        <v>12</v>
      </c>
      <c r="J5">
        <f>F5-G5</f>
        <v>3.2</v>
      </c>
      <c r="K5" s="1">
        <f>IF(G5&gt;0, (F5-G5)/G5, 0)</f>
        <v>0.2712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SKU-0340</v>
      </c>
      <c r="R5" t="str">
        <v/>
      </c>
      <c r="S5" t="str">
        <v/>
      </c>
      <c r="T5" t="str">
        <v/>
      </c>
    </row>
    <row r="6">
      <c r="A6">
        <v>3</v>
      </c>
      <c r="B6" t="str">
        <v>شيبسي بطاطس عائلي شطة وليمون 85 جم</v>
      </c>
      <c r="C6" t="str">
        <v>6221044001035</v>
      </c>
      <c r="D6" t="str">
        <v/>
      </c>
      <c r="E6" t="str">
        <v>قطعة</v>
      </c>
      <c r="F6">
        <v>15</v>
      </c>
      <c r="G6">
        <v>11.8</v>
      </c>
      <c r="H6">
        <v>0</v>
      </c>
      <c r="I6">
        <v>12</v>
      </c>
      <c r="J6">
        <f>F6-G6</f>
        <v>3.2</v>
      </c>
      <c r="K6" s="1">
        <f>IF(G6&gt;0, (F6-G6)/G6, 0)</f>
        <v>0.2712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SKU-0341</v>
      </c>
      <c r="R6" t="str">
        <v/>
      </c>
      <c r="S6" t="str">
        <v/>
      </c>
      <c r="T6" t="str">
        <v/>
      </c>
    </row>
    <row r="7">
      <c r="A7">
        <v>4</v>
      </c>
      <c r="B7" t="str">
        <v>شيبسي بطاطس عائلي فلفل حلو 85 جم</v>
      </c>
      <c r="C7" t="str">
        <v>6221044001042</v>
      </c>
      <c r="D7" t="str">
        <v/>
      </c>
      <c r="E7" t="str">
        <v>قطعة</v>
      </c>
      <c r="F7">
        <v>15</v>
      </c>
      <c r="G7">
        <v>11.8</v>
      </c>
      <c r="H7">
        <v>0</v>
      </c>
      <c r="I7">
        <v>10</v>
      </c>
      <c r="J7">
        <f>F7-G7</f>
        <v>3.2</v>
      </c>
      <c r="K7" s="1">
        <f>IF(G7&gt;0, (F7-G7)/G7, 0)</f>
        <v>0.2712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SKU-0342</v>
      </c>
      <c r="R7" t="str">
        <v/>
      </c>
      <c r="S7" t="str">
        <v/>
      </c>
      <c r="T7" t="str">
        <v/>
      </c>
    </row>
    <row r="8">
      <c r="A8">
        <v>5</v>
      </c>
      <c r="B8" t="str">
        <v>شيبسي بطاطس عائلي بالملح 85 جم</v>
      </c>
      <c r="C8" t="str">
        <v>6221044001059</v>
      </c>
      <c r="D8" t="str">
        <v/>
      </c>
      <c r="E8" t="str">
        <v>قطعة</v>
      </c>
      <c r="F8">
        <v>15</v>
      </c>
      <c r="G8">
        <v>11.8</v>
      </c>
      <c r="H8">
        <v>0</v>
      </c>
      <c r="I8">
        <v>10</v>
      </c>
      <c r="J8">
        <f>F8-G8</f>
        <v>3.2</v>
      </c>
      <c r="K8" s="1">
        <f>IF(G8&gt;0, (F8-G8)/G8, 0)</f>
        <v>0.2712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SKU-0343</v>
      </c>
      <c r="R8" t="str">
        <v/>
      </c>
      <c r="S8" t="str">
        <v/>
      </c>
      <c r="T8" t="str">
        <v/>
      </c>
    </row>
    <row r="9">
      <c r="A9">
        <v>6</v>
      </c>
      <c r="B9" t="str">
        <v>شيبسي بطاطس حجم وسط جبنة متبلة 50 جم</v>
      </c>
      <c r="C9" t="str">
        <v>6221044001066</v>
      </c>
      <c r="D9" t="str">
        <v/>
      </c>
      <c r="E9" t="str">
        <v>قطعة</v>
      </c>
      <c r="F9">
        <v>10</v>
      </c>
      <c r="G9">
        <v>7.8</v>
      </c>
      <c r="H9">
        <v>0</v>
      </c>
      <c r="I9">
        <v>12</v>
      </c>
      <c r="J9">
        <f>F9-G9</f>
        <v>2.2</v>
      </c>
      <c r="K9" s="1">
        <f>IF(G9&gt;0, (F9-G9)/G9, 0)</f>
        <v>0.2821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SKU-0344</v>
      </c>
      <c r="R9" t="str">
        <v/>
      </c>
      <c r="S9" t="str">
        <v/>
      </c>
      <c r="T9" t="str">
        <v/>
      </c>
    </row>
    <row r="10">
      <c r="A10">
        <v>7</v>
      </c>
      <c r="B10" t="str">
        <v>شيبسي بطاطس حجم وسط شطة وليمون 50 جم</v>
      </c>
      <c r="C10" t="str">
        <v>6221044001073</v>
      </c>
      <c r="D10" t="str">
        <v/>
      </c>
      <c r="E10" t="str">
        <v>قطعة</v>
      </c>
      <c r="F10">
        <v>10</v>
      </c>
      <c r="G10">
        <v>7.8</v>
      </c>
      <c r="H10">
        <v>0</v>
      </c>
      <c r="I10">
        <v>12</v>
      </c>
      <c r="J10">
        <f>F10-G10</f>
        <v>2.2</v>
      </c>
      <c r="K10" s="1">
        <f>IF(G10&gt;0, (F10-G10)/G10, 0)</f>
        <v>0.2821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SKU-0345</v>
      </c>
      <c r="R10" t="str">
        <v/>
      </c>
      <c r="S10" t="str">
        <v/>
      </c>
      <c r="T10" t="str">
        <v/>
      </c>
    </row>
    <row r="11">
      <c r="A11">
        <v>8</v>
      </c>
      <c r="B11" t="str">
        <v>شيبسي بطاطس حجم وسط طماطم 50 جم</v>
      </c>
      <c r="C11" t="str">
        <v>6221044001080</v>
      </c>
      <c r="D11" t="str">
        <v/>
      </c>
      <c r="E11" t="str">
        <v>قطعة</v>
      </c>
      <c r="F11">
        <v>10</v>
      </c>
      <c r="G11">
        <v>7.8</v>
      </c>
      <c r="H11">
        <v>0</v>
      </c>
      <c r="I11">
        <v>10</v>
      </c>
      <c r="J11">
        <f>F11-G11</f>
        <v>2.2</v>
      </c>
      <c r="K11" s="1">
        <f>IF(G11&gt;0, (F11-G11)/G11, 0)</f>
        <v>0.2821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SKU-0346</v>
      </c>
      <c r="R11" t="str">
        <v/>
      </c>
      <c r="S11" t="str">
        <v/>
      </c>
      <c r="T11" t="str">
        <v/>
      </c>
    </row>
    <row r="12">
      <c r="A12">
        <v>9</v>
      </c>
      <c r="B12" t="str">
        <v>دوريتوس جبنة ناتشو 75 جم</v>
      </c>
      <c r="C12" t="str">
        <v>6221044002018</v>
      </c>
      <c r="D12" t="str">
        <v/>
      </c>
      <c r="E12" t="str">
        <v>قطعة</v>
      </c>
      <c r="F12">
        <v>15</v>
      </c>
      <c r="G12">
        <v>11.8</v>
      </c>
      <c r="H12">
        <v>0</v>
      </c>
      <c r="I12">
        <v>10</v>
      </c>
      <c r="J12">
        <f>F12-G12</f>
        <v>3.2</v>
      </c>
      <c r="K12" s="1">
        <f>IF(G12&gt;0, (F12-G12)/G12, 0)</f>
        <v>0.2712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SKU-0347</v>
      </c>
      <c r="R12" t="str">
        <v/>
      </c>
      <c r="S12" t="str">
        <v/>
      </c>
      <c r="T12" t="str">
        <v/>
      </c>
    </row>
    <row r="13">
      <c r="A13">
        <v>10</v>
      </c>
      <c r="B13" t="str">
        <v>دوريتوس حار حلو 75 جم</v>
      </c>
      <c r="C13" t="str">
        <v>6221044002025</v>
      </c>
      <c r="D13" t="str">
        <v/>
      </c>
      <c r="E13" t="str">
        <v>قطعة</v>
      </c>
      <c r="F13">
        <v>15</v>
      </c>
      <c r="G13">
        <v>11.8</v>
      </c>
      <c r="H13">
        <v>0</v>
      </c>
      <c r="I13">
        <v>10</v>
      </c>
      <c r="J13">
        <f>F13-G13</f>
        <v>3.2</v>
      </c>
      <c r="K13" s="1">
        <f>IF(G13&gt;0, (F13-G13)/G13, 0)</f>
        <v>0.2712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SKU-0348</v>
      </c>
      <c r="R13" t="str">
        <v/>
      </c>
      <c r="S13" t="str">
        <v/>
      </c>
      <c r="T13" t="str">
        <v/>
      </c>
    </row>
    <row r="14">
      <c r="A14">
        <v>11</v>
      </c>
      <c r="B14" t="str">
        <v>دوريتوس جبنة ناتشو حجم صغير 45 جم</v>
      </c>
      <c r="C14" t="str">
        <v>6221044002032</v>
      </c>
      <c r="D14" t="str">
        <v/>
      </c>
      <c r="E14" t="str">
        <v>قطعة</v>
      </c>
      <c r="F14">
        <v>10</v>
      </c>
      <c r="G14">
        <v>7.8</v>
      </c>
      <c r="H14">
        <v>0</v>
      </c>
      <c r="I14">
        <v>10</v>
      </c>
      <c r="J14">
        <f>F14-G14</f>
        <v>2.2</v>
      </c>
      <c r="K14" s="1">
        <f>IF(G14&gt;0, (F14-G14)/G14, 0)</f>
        <v>0.2821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SKU-0349</v>
      </c>
      <c r="R14" t="str">
        <v/>
      </c>
      <c r="S14" t="str">
        <v/>
      </c>
      <c r="T14" t="str">
        <v/>
      </c>
    </row>
    <row r="15">
      <c r="A15">
        <v>12</v>
      </c>
      <c r="B15" t="str">
        <v>شيتوس كاتشب 55 جم</v>
      </c>
      <c r="C15" t="str">
        <v>6221044003015</v>
      </c>
      <c r="D15" t="str">
        <v/>
      </c>
      <c r="E15" t="str">
        <v>قطعة</v>
      </c>
      <c r="F15">
        <v>10</v>
      </c>
      <c r="G15">
        <v>7.6</v>
      </c>
      <c r="H15">
        <v>0</v>
      </c>
      <c r="I15">
        <v>10</v>
      </c>
      <c r="J15">
        <f>F15-G15</f>
        <v>2.4</v>
      </c>
      <c r="K15" s="1">
        <f>IF(G15&gt;0, (F15-G15)/G15, 0)</f>
        <v>0.3158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SKU-0350</v>
      </c>
      <c r="R15" t="str">
        <v/>
      </c>
      <c r="S15" t="str">
        <v/>
      </c>
      <c r="T15" t="str">
        <v/>
      </c>
    </row>
    <row r="16">
      <c r="A16">
        <v>13</v>
      </c>
      <c r="B16" t="str">
        <v>شيتوس جبنة كرانشي 55 جم</v>
      </c>
      <c r="C16" t="str">
        <v>6221044003022</v>
      </c>
      <c r="D16" t="str">
        <v/>
      </c>
      <c r="E16" t="str">
        <v>قطعة</v>
      </c>
      <c r="F16">
        <v>10</v>
      </c>
      <c r="G16">
        <v>7.6</v>
      </c>
      <c r="H16">
        <v>0</v>
      </c>
      <c r="I16">
        <v>10</v>
      </c>
      <c r="J16">
        <f>F16-G16</f>
        <v>2.4</v>
      </c>
      <c r="K16" s="1">
        <f>IF(G16&gt;0, (F16-G16)/G16, 0)</f>
        <v>0.3158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SKU-0351</v>
      </c>
      <c r="R16" t="str">
        <v/>
      </c>
      <c r="S16" t="str">
        <v/>
      </c>
      <c r="T16" t="str">
        <v/>
      </c>
    </row>
    <row r="17">
      <c r="A17">
        <v>14</v>
      </c>
      <c r="B17" t="str">
        <v>شيتوس فلامينج هوت حار نار 55 جم</v>
      </c>
      <c r="C17" t="str">
        <v>6221044003039</v>
      </c>
      <c r="D17" t="str">
        <v/>
      </c>
      <c r="E17" t="str">
        <v>قطعة</v>
      </c>
      <c r="F17">
        <v>10</v>
      </c>
      <c r="G17">
        <v>7.6</v>
      </c>
      <c r="H17">
        <v>0</v>
      </c>
      <c r="I17">
        <v>10</v>
      </c>
      <c r="J17">
        <f>F17-G17</f>
        <v>2.4</v>
      </c>
      <c r="K17" s="1">
        <f>IF(G17&gt;0, (F17-G17)/G17, 0)</f>
        <v>0.3158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SKU-0352</v>
      </c>
      <c r="R17" t="str">
        <v/>
      </c>
      <c r="S17" t="str">
        <v/>
      </c>
      <c r="T17" t="str">
        <v/>
      </c>
    </row>
    <row r="18">
      <c r="A18">
        <v>15</v>
      </c>
      <c r="B18" t="str">
        <v>كرانشي جبنة 60 جم</v>
      </c>
      <c r="C18" t="str">
        <v>6221044004012</v>
      </c>
      <c r="D18" t="str">
        <v/>
      </c>
      <c r="E18" t="str">
        <v>قطعة</v>
      </c>
      <c r="F18">
        <v>10</v>
      </c>
      <c r="G18">
        <v>7.6</v>
      </c>
      <c r="H18">
        <v>0</v>
      </c>
      <c r="I18">
        <v>10</v>
      </c>
      <c r="J18">
        <f>F18-G18</f>
        <v>2.4</v>
      </c>
      <c r="K18" s="1">
        <f>IF(G18&gt;0, (F18-G18)/G18, 0)</f>
        <v>0.3158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SKU-0353</v>
      </c>
      <c r="R18" t="str">
        <v/>
      </c>
      <c r="S18" t="str">
        <v/>
      </c>
      <c r="T18" t="str">
        <v/>
      </c>
    </row>
    <row r="19">
      <c r="A19">
        <v>16</v>
      </c>
      <c r="B19" t="str">
        <v>تايجر بطاطس شطة وليمون 60 جم</v>
      </c>
      <c r="C19" t="str">
        <v>6221044005019</v>
      </c>
      <c r="D19" t="str">
        <v/>
      </c>
      <c r="E19" t="str">
        <v>قطعة</v>
      </c>
      <c r="F19">
        <v>10</v>
      </c>
      <c r="G19">
        <v>7.6</v>
      </c>
      <c r="H19">
        <v>0</v>
      </c>
      <c r="I19">
        <v>10</v>
      </c>
      <c r="J19">
        <f>F19-G19</f>
        <v>2.4</v>
      </c>
      <c r="K19" s="1">
        <f>IF(G19&gt;0, (F19-G19)/G19, 0)</f>
        <v>0.3158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SKU-0354</v>
      </c>
      <c r="R19" t="str">
        <v/>
      </c>
      <c r="S19" t="str">
        <v/>
      </c>
      <c r="T19" t="str">
        <v/>
      </c>
    </row>
    <row r="20">
      <c r="A20">
        <v>17</v>
      </c>
      <c r="B20" t="str">
        <v>تايجر بطاطس جبنة متبلة 60 جم</v>
      </c>
      <c r="C20" t="str">
        <v>6221044005026</v>
      </c>
      <c r="D20" t="str">
        <v/>
      </c>
      <c r="E20" t="str">
        <v>قطعة</v>
      </c>
      <c r="F20">
        <v>10</v>
      </c>
      <c r="G20">
        <v>7.6</v>
      </c>
      <c r="H20">
        <v>0</v>
      </c>
      <c r="I20">
        <v>10</v>
      </c>
      <c r="J20">
        <f>F20-G20</f>
        <v>2.4</v>
      </c>
      <c r="K20" s="1">
        <f>IF(G20&gt;0, (F20-G20)/G20, 0)</f>
        <v>0.3158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SKU-0355</v>
      </c>
      <c r="R20" t="str">
        <v/>
      </c>
      <c r="S20" t="str">
        <v/>
      </c>
      <c r="T20" t="str">
        <v/>
      </c>
    </row>
    <row r="21">
      <c r="A21">
        <v>18</v>
      </c>
      <c r="B21" t="str">
        <v>تايجر بطاطس حجم كبير جبنة متبلة 90 جم</v>
      </c>
      <c r="C21" t="str">
        <v>6221044005033</v>
      </c>
      <c r="D21" t="str">
        <v/>
      </c>
      <c r="E21" t="str">
        <v>قطعة</v>
      </c>
      <c r="F21">
        <v>15</v>
      </c>
      <c r="G21">
        <v>11.8</v>
      </c>
      <c r="H21">
        <v>0</v>
      </c>
      <c r="I21">
        <v>8</v>
      </c>
      <c r="J21">
        <f>F21-G21</f>
        <v>3.2</v>
      </c>
      <c r="K21" s="1">
        <f>IF(G21&gt;0, (F21-G21)/G21, 0)</f>
        <v>0.2712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SKU-0356</v>
      </c>
      <c r="R21" t="str">
        <v/>
      </c>
      <c r="S21" t="str">
        <v/>
      </c>
      <c r="T21" t="str">
        <v/>
      </c>
    </row>
    <row r="22">
      <c r="A22">
        <v>19</v>
      </c>
      <c r="B22" t="str">
        <v>بيك رولز زعتر 65 جم</v>
      </c>
      <c r="C22" t="str">
        <v>6223000551011</v>
      </c>
      <c r="D22" t="str">
        <v/>
      </c>
      <c r="E22" t="str">
        <v>قطعة</v>
      </c>
      <c r="F22">
        <v>10</v>
      </c>
      <c r="G22">
        <v>7.8</v>
      </c>
      <c r="H22">
        <v>0</v>
      </c>
      <c r="I22">
        <v>8</v>
      </c>
      <c r="J22">
        <f>F22-G22</f>
        <v>2.2</v>
      </c>
      <c r="K22" s="1">
        <f>IF(G22&gt;0, (F22-G22)/G22, 0)</f>
        <v>0.2821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SKU-0357</v>
      </c>
      <c r="R22" t="str">
        <v/>
      </c>
      <c r="S22" t="str">
        <v/>
      </c>
      <c r="T22" t="str">
        <v/>
      </c>
    </row>
    <row r="23">
      <c r="A23">
        <v>20</v>
      </c>
      <c r="B23" t="str">
        <v>بيك رولز جبنة متبلة 65 جم</v>
      </c>
      <c r="C23" t="str">
        <v>6223000551028</v>
      </c>
      <c r="D23" t="str">
        <v/>
      </c>
      <c r="E23" t="str">
        <v>قطعة</v>
      </c>
      <c r="F23">
        <v>10</v>
      </c>
      <c r="G23">
        <v>7.8</v>
      </c>
      <c r="H23">
        <v>0</v>
      </c>
      <c r="I23">
        <v>8</v>
      </c>
      <c r="J23">
        <f>F23-G23</f>
        <v>2.2</v>
      </c>
      <c r="K23" s="1">
        <f>IF(G23&gt;0, (F23-G23)/G23, 0)</f>
        <v>0.2821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SKU-0358</v>
      </c>
      <c r="R23" t="str">
        <v/>
      </c>
      <c r="S23" t="str">
        <v/>
      </c>
      <c r="T23" t="str">
        <v/>
      </c>
    </row>
    <row r="24">
      <c r="A24">
        <v>21</v>
      </c>
      <c r="B24" t="str">
        <v>بيك رولز بيتزا 65 جم</v>
      </c>
      <c r="C24" t="str">
        <v>6223000551035</v>
      </c>
      <c r="D24" t="str">
        <v/>
      </c>
      <c r="E24" t="str">
        <v>قطعة</v>
      </c>
      <c r="F24">
        <v>10</v>
      </c>
      <c r="G24">
        <v>7.8</v>
      </c>
      <c r="H24">
        <v>0</v>
      </c>
      <c r="I24">
        <v>8</v>
      </c>
      <c r="J24">
        <f>F24-G24</f>
        <v>2.2</v>
      </c>
      <c r="K24" s="1">
        <f>IF(G24&gt;0, (F24-G24)/G24, 0)</f>
        <v>0.2821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SKU-0359</v>
      </c>
      <c r="R24" t="str">
        <v/>
      </c>
      <c r="S24" t="str">
        <v/>
      </c>
      <c r="T24" t="str">
        <v/>
      </c>
    </row>
    <row r="25">
      <c r="A25">
        <v>22</v>
      </c>
      <c r="B25" t="str">
        <v>صن بايتس خبز محمص جبنة متبلة 50 جم</v>
      </c>
      <c r="C25" t="str">
        <v>6221044006016</v>
      </c>
      <c r="D25" t="str">
        <v/>
      </c>
      <c r="E25" t="str">
        <v>قطعة</v>
      </c>
      <c r="F25">
        <v>10</v>
      </c>
      <c r="G25">
        <v>7.8</v>
      </c>
      <c r="H25">
        <v>0</v>
      </c>
      <c r="I25">
        <v>8</v>
      </c>
      <c r="J25">
        <f>F25-G25</f>
        <v>2.2</v>
      </c>
      <c r="K25" s="1">
        <f>IF(G25&gt;0, (F25-G25)/G25, 0)</f>
        <v>0.2821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SKU-0360</v>
      </c>
      <c r="R25" t="str">
        <v/>
      </c>
      <c r="S25" t="str">
        <v/>
      </c>
      <c r="T25" t="str">
        <v/>
      </c>
    </row>
    <row r="26">
      <c r="A26">
        <v>23</v>
      </c>
      <c r="B26" t="str">
        <v>صن بايتس خبز محمص أعشاب وتوابل 50 جم</v>
      </c>
      <c r="C26" t="str">
        <v>6221044006023</v>
      </c>
      <c r="D26" t="str">
        <v/>
      </c>
      <c r="E26" t="str">
        <v>قطعة</v>
      </c>
      <c r="F26">
        <v>10</v>
      </c>
      <c r="G26">
        <v>7.8</v>
      </c>
      <c r="H26">
        <v>0</v>
      </c>
      <c r="I26">
        <v>8</v>
      </c>
      <c r="J26">
        <f>F26-G26</f>
        <v>2.2</v>
      </c>
      <c r="K26" s="1">
        <f>IF(G26&gt;0, (F26-G26)/G26, 0)</f>
        <v>0.2821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SKU-0361</v>
      </c>
      <c r="R26" t="str">
        <v/>
      </c>
      <c r="S26" t="str">
        <v/>
      </c>
      <c r="T26" t="str">
        <v/>
      </c>
    </row>
    <row r="27">
      <c r="A27">
        <v>24</v>
      </c>
      <c r="B27" t="str">
        <v>ويندوز مقرمشات ذرة بطعم الجبنة</v>
      </c>
      <c r="C27" t="str">
        <v>6221044007013</v>
      </c>
      <c r="D27" t="str">
        <v/>
      </c>
      <c r="E27" t="str">
        <v>قطعة</v>
      </c>
      <c r="F27">
        <v>7</v>
      </c>
      <c r="G27">
        <v>5.2</v>
      </c>
      <c r="H27">
        <v>0</v>
      </c>
      <c r="I27">
        <v>10</v>
      </c>
      <c r="J27">
        <f>F27-G27</f>
        <v>1.8</v>
      </c>
      <c r="K27" s="1">
        <f>IF(G27&gt;0, (F27-G27)/G27, 0)</f>
        <v>0.3462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SKU-0362</v>
      </c>
      <c r="R27" t="str">
        <v/>
      </c>
      <c r="S27" t="str">
        <v/>
      </c>
      <c r="T27" t="str">
        <v/>
      </c>
    </row>
    <row r="28">
      <c r="A28">
        <v>25</v>
      </c>
      <c r="B28" t="str">
        <v>كاراتيه مقرمشات ذرة بالجبنة</v>
      </c>
      <c r="C28" t="str">
        <v>6221044008010</v>
      </c>
      <c r="D28" t="str">
        <v/>
      </c>
      <c r="E28" t="str">
        <v>قطعة</v>
      </c>
      <c r="F28">
        <v>7</v>
      </c>
      <c r="G28">
        <v>5.2</v>
      </c>
      <c r="H28">
        <v>0</v>
      </c>
      <c r="I28">
        <v>10</v>
      </c>
      <c r="J28">
        <f>F28-G28</f>
        <v>1.8</v>
      </c>
      <c r="K28" s="1">
        <f>IF(G28&gt;0, (F28-G28)/G28, 0)</f>
        <v>0.3462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SKU-0363</v>
      </c>
      <c r="R28" t="str">
        <v/>
      </c>
      <c r="S28" t="str">
        <v/>
      </c>
      <c r="T28" t="str">
        <v/>
      </c>
    </row>
    <row r="29">
      <c r="A29">
        <v>26</v>
      </c>
      <c r="B29" t="str">
        <v>بسكويت أوريو كلاسيك 6 قطع</v>
      </c>
      <c r="C29" t="str">
        <v>7622210010018</v>
      </c>
      <c r="D29" t="str">
        <v/>
      </c>
      <c r="E29" t="str">
        <v>قطعة</v>
      </c>
      <c r="F29">
        <v>10</v>
      </c>
      <c r="G29">
        <v>7.8</v>
      </c>
      <c r="H29">
        <v>0</v>
      </c>
      <c r="I29">
        <v>15</v>
      </c>
      <c r="J29">
        <f>F29-G29</f>
        <v>2.2</v>
      </c>
      <c r="K29" s="1">
        <f>IF(G29&gt;0, (F29-G29)/G29, 0)</f>
        <v>0.2821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SKU-0364</v>
      </c>
      <c r="R29" t="str">
        <v/>
      </c>
      <c r="S29" t="str">
        <v/>
      </c>
      <c r="T29" t="str">
        <v/>
      </c>
    </row>
    <row r="30">
      <c r="A30">
        <v>27</v>
      </c>
      <c r="B30" t="str">
        <v>بسكويت أوريو كلاسيك 3 قطع</v>
      </c>
      <c r="C30" t="str">
        <v>7622210010025</v>
      </c>
      <c r="D30" t="str">
        <v/>
      </c>
      <c r="E30" t="str">
        <v>قطعة</v>
      </c>
      <c r="F30">
        <v>6</v>
      </c>
      <c r="G30">
        <v>4.5</v>
      </c>
      <c r="H30">
        <v>0</v>
      </c>
      <c r="I30">
        <v>12</v>
      </c>
      <c r="J30">
        <f>F30-G30</f>
        <v>1.5</v>
      </c>
      <c r="K30" s="1">
        <f>IF(G30&gt;0, (F30-G30)/G30, 0)</f>
        <v>0.3333</v>
      </c>
      <c r="L30" s="2">
        <f>H30*G30</f>
        <v>0</v>
      </c>
      <c r="M30" s="2">
        <f>H30*F30</f>
        <v>0</v>
      </c>
      <c r="N30" s="2">
        <f>M30-L30</f>
        <v>0</v>
      </c>
      <c r="O30" t="str">
        <f>IF(H30&lt;=0, "نفد من المخزن", IF(H30&lt;=I30, "قارب على النفاد", "متوفر بالمخزن"))</f>
        <v>نفد من المخزن</v>
      </c>
      <c r="P30">
        <v>0</v>
      </c>
      <c r="Q30" t="str">
        <v>SKU-0365</v>
      </c>
      <c r="R30" t="str">
        <v/>
      </c>
      <c r="S30" t="str">
        <v/>
      </c>
      <c r="T30" t="str">
        <v/>
      </c>
    </row>
    <row r="31">
      <c r="A31">
        <v>28</v>
      </c>
      <c r="B31" t="str">
        <v>بسكويت أوريو جولدن فانيليا 6 قطع</v>
      </c>
      <c r="C31" t="str">
        <v>7622210010032</v>
      </c>
      <c r="D31" t="str">
        <v/>
      </c>
      <c r="E31" t="str">
        <v>قطعة</v>
      </c>
      <c r="F31">
        <v>10</v>
      </c>
      <c r="G31">
        <v>7.8</v>
      </c>
      <c r="H31">
        <v>0</v>
      </c>
      <c r="I31">
        <v>10</v>
      </c>
      <c r="J31">
        <f>F31-G31</f>
        <v>2.2</v>
      </c>
      <c r="K31" s="1">
        <f>IF(G31&gt;0, (F31-G31)/G31, 0)</f>
        <v>0.2821</v>
      </c>
      <c r="L31" s="2">
        <f>H31*G31</f>
        <v>0</v>
      </c>
      <c r="M31" s="2">
        <f>H31*F31</f>
        <v>0</v>
      </c>
      <c r="N31" s="2">
        <f>M31-L31</f>
        <v>0</v>
      </c>
      <c r="O31" t="str">
        <f>IF(H31&lt;=0, "نفد من المخزن", IF(H31&lt;=I31, "قارب على النفاد", "متوفر بالمخزن"))</f>
        <v>نفد من المخزن</v>
      </c>
      <c r="P31">
        <v>0</v>
      </c>
      <c r="Q31" t="str">
        <v>SKU-0366</v>
      </c>
      <c r="R31" t="str">
        <v/>
      </c>
      <c r="S31" t="str">
        <v/>
      </c>
      <c r="T31" t="str">
        <v/>
      </c>
    </row>
    <row r="32">
      <c r="A32">
        <v>29</v>
      </c>
      <c r="B32" t="str">
        <v>بسكويت بوريو كلاسيك 6 قطع</v>
      </c>
      <c r="C32" t="str">
        <v>6221155030016</v>
      </c>
      <c r="D32" t="str">
        <v/>
      </c>
      <c r="E32" t="str">
        <v>قطعة</v>
      </c>
      <c r="F32">
        <v>10</v>
      </c>
      <c r="G32">
        <v>7.8</v>
      </c>
      <c r="H32">
        <v>0</v>
      </c>
      <c r="I32">
        <v>12</v>
      </c>
      <c r="J32">
        <f>F32-G32</f>
        <v>2.2</v>
      </c>
      <c r="K32" s="1">
        <f>IF(G32&gt;0, (F32-G32)/G32, 0)</f>
        <v>0.2821</v>
      </c>
      <c r="L32" s="2">
        <f>H32*G32</f>
        <v>0</v>
      </c>
      <c r="M32" s="2">
        <f>H32*F32</f>
        <v>0</v>
      </c>
      <c r="N32" s="2">
        <f>M32-L32</f>
        <v>0</v>
      </c>
      <c r="O32" t="str">
        <f>IF(H32&lt;=0, "نفد من المخزن", IF(H32&lt;=I32, "قارب على النفاد", "متوفر بالمخزن"))</f>
        <v>نفد من المخزن</v>
      </c>
      <c r="P32">
        <v>0</v>
      </c>
      <c r="Q32" t="str">
        <v>SKU-0367</v>
      </c>
      <c r="R32" t="str">
        <v/>
      </c>
      <c r="S32" t="str">
        <v/>
      </c>
      <c r="T32" t="str">
        <v/>
      </c>
    </row>
    <row r="33">
      <c r="A33">
        <v>30</v>
      </c>
      <c r="B33" t="str">
        <v>بسكويت بوريو كلاسيك 3 قطع</v>
      </c>
      <c r="C33" t="str">
        <v>6221155030023</v>
      </c>
      <c r="D33" t="str">
        <v/>
      </c>
      <c r="E33" t="str">
        <v>قطعة</v>
      </c>
      <c r="F33">
        <v>5</v>
      </c>
      <c r="G33">
        <v>3.8</v>
      </c>
      <c r="H33">
        <v>0</v>
      </c>
      <c r="I33">
        <v>12</v>
      </c>
      <c r="J33">
        <f>F33-G33</f>
        <v>1.2</v>
      </c>
      <c r="K33" s="1">
        <f>IF(G33&gt;0, (F33-G33)/G33, 0)</f>
        <v>0.3158</v>
      </c>
      <c r="L33" s="2">
        <f>H33*G33</f>
        <v>0</v>
      </c>
      <c r="M33" s="2">
        <f>H33*F33</f>
        <v>0</v>
      </c>
      <c r="N33" s="2">
        <f>M33-L33</f>
        <v>0</v>
      </c>
      <c r="O33" t="str">
        <f>IF(H33&lt;=0, "نفد من المخزن", IF(H33&lt;=I33, "قارب على النفاد", "متوفر بالمخزن"))</f>
        <v>نفد من المخزن</v>
      </c>
      <c r="P33">
        <v>0</v>
      </c>
      <c r="Q33" t="str">
        <v>SKU-0368</v>
      </c>
      <c r="R33" t="str">
        <v/>
      </c>
      <c r="S33" t="str">
        <v/>
      </c>
      <c r="T33" t="str">
        <v/>
      </c>
    </row>
    <row r="34">
      <c r="A34">
        <v>31</v>
      </c>
      <c r="B34" t="str">
        <v>بسكويت أولكر شاي سادة 12 قطعة</v>
      </c>
      <c r="C34" t="str">
        <v>6221060001019</v>
      </c>
      <c r="D34" t="str">
        <v/>
      </c>
      <c r="E34" t="str">
        <v>قطعة</v>
      </c>
      <c r="F34">
        <v>7</v>
      </c>
      <c r="G34">
        <v>5.2</v>
      </c>
      <c r="H34">
        <v>0</v>
      </c>
      <c r="I34">
        <v>15</v>
      </c>
      <c r="J34">
        <f>F34-G34</f>
        <v>1.8</v>
      </c>
      <c r="K34" s="1">
        <f>IF(G34&gt;0, (F34-G34)/G34, 0)</f>
        <v>0.3462</v>
      </c>
      <c r="L34" s="2">
        <f>H34*G34</f>
        <v>0</v>
      </c>
      <c r="M34" s="2">
        <f>H34*F34</f>
        <v>0</v>
      </c>
      <c r="N34" s="2">
        <f>M34-L34</f>
        <v>0</v>
      </c>
      <c r="O34" t="str">
        <f>IF(H34&lt;=0, "نفد من المخزن", IF(H34&lt;=I34, "قارب على النفاد", "متوفر بالمخزن"))</f>
        <v>نفد من المخزن</v>
      </c>
      <c r="P34">
        <v>0</v>
      </c>
      <c r="Q34" t="str">
        <v>SKU-0369</v>
      </c>
      <c r="R34" t="str">
        <v/>
      </c>
      <c r="S34" t="str">
        <v/>
      </c>
      <c r="T34" t="str">
        <v/>
      </c>
    </row>
    <row r="35">
      <c r="A35">
        <v>32</v>
      </c>
      <c r="B35" t="str">
        <v>بسكويت أولكر بالسمسم فينجر</v>
      </c>
      <c r="C35" t="str">
        <v>6221060001026</v>
      </c>
      <c r="D35" t="str">
        <v/>
      </c>
      <c r="E35" t="str">
        <v>قطعة</v>
      </c>
      <c r="F35">
        <v>7</v>
      </c>
      <c r="G35">
        <v>5.2</v>
      </c>
      <c r="H35">
        <v>0</v>
      </c>
      <c r="I35">
        <v>12</v>
      </c>
      <c r="J35">
        <f>F35-G35</f>
        <v>1.8</v>
      </c>
      <c r="K35" s="1">
        <f>IF(G35&gt;0, (F35-G35)/G35, 0)</f>
        <v>0.3462</v>
      </c>
      <c r="L35" s="2">
        <f>H35*G35</f>
        <v>0</v>
      </c>
      <c r="M35" s="2">
        <f>H35*F35</f>
        <v>0</v>
      </c>
      <c r="N35" s="2">
        <f>M35-L35</f>
        <v>0</v>
      </c>
      <c r="O35" t="str">
        <f>IF(H35&lt;=0, "نفد من المخزن", IF(H35&lt;=I35, "قارب على النفاد", "متوفر بالمخزن"))</f>
        <v>نفد من المخزن</v>
      </c>
      <c r="P35">
        <v>0</v>
      </c>
      <c r="Q35" t="str">
        <v>SKU-0370</v>
      </c>
      <c r="R35" t="str">
        <v/>
      </c>
      <c r="S35" t="str">
        <v/>
      </c>
      <c r="T35" t="str">
        <v/>
      </c>
    </row>
    <row r="36">
      <c r="A36">
        <v>33</v>
      </c>
      <c r="B36" t="str">
        <v>بسكويت لوكس شاي 12 قطعة</v>
      </c>
      <c r="C36" t="str">
        <v>6221155040015</v>
      </c>
      <c r="D36" t="str">
        <v/>
      </c>
      <c r="E36" t="str">
        <v>قطعة</v>
      </c>
      <c r="F36">
        <v>6</v>
      </c>
      <c r="G36">
        <v>4.4</v>
      </c>
      <c r="H36">
        <v>0</v>
      </c>
      <c r="I36">
        <v>15</v>
      </c>
      <c r="J36">
        <f>F36-G36</f>
        <v>1.6</v>
      </c>
      <c r="K36" s="1">
        <f>IF(G36&gt;0, (F36-G36)/G36, 0)</f>
        <v>0.3636</v>
      </c>
      <c r="L36" s="2">
        <f>H36*G36</f>
        <v>0</v>
      </c>
      <c r="M36" s="2">
        <f>H36*F36</f>
        <v>0</v>
      </c>
      <c r="N36" s="2">
        <f>M36-L36</f>
        <v>0</v>
      </c>
      <c r="O36" t="str">
        <f>IF(H36&lt;=0, "نفد من المخزن", IF(H36&lt;=I36, "قارب على النفاد", "متوفر بالمخزن"))</f>
        <v>نفد من المخزن</v>
      </c>
      <c r="P36">
        <v>0</v>
      </c>
      <c r="Q36" t="str">
        <v>SKU-0371</v>
      </c>
      <c r="R36" t="str">
        <v/>
      </c>
      <c r="S36" t="str">
        <v/>
      </c>
      <c r="T36" t="str">
        <v/>
      </c>
    </row>
    <row r="37">
      <c r="A37">
        <v>34</v>
      </c>
      <c r="B37" t="str">
        <v>بسكويت ماري الشمعدان 12 قطعة</v>
      </c>
      <c r="C37" t="str">
        <v>6221010002011</v>
      </c>
      <c r="D37" t="str">
        <v/>
      </c>
      <c r="E37" t="str">
        <v>قطعة</v>
      </c>
      <c r="F37">
        <v>6</v>
      </c>
      <c r="G37">
        <v>4.4</v>
      </c>
      <c r="H37">
        <v>0</v>
      </c>
      <c r="I37">
        <v>12</v>
      </c>
      <c r="J37">
        <f>F37-G37</f>
        <v>1.6</v>
      </c>
      <c r="K37" s="1">
        <f>IF(G37&gt;0, (F37-G37)/G37, 0)</f>
        <v>0.3636</v>
      </c>
      <c r="L37" s="2">
        <f>H37*G37</f>
        <v>0</v>
      </c>
      <c r="M37" s="2">
        <f>H37*F37</f>
        <v>0</v>
      </c>
      <c r="N37" s="2">
        <f>M37-L37</f>
        <v>0</v>
      </c>
      <c r="O37" t="str">
        <f>IF(H37&lt;=0, "نفد من المخزن", IF(H37&lt;=I37, "قارب على النفاد", "متوفر بالمخزن"))</f>
        <v>نفد من المخزن</v>
      </c>
      <c r="P37">
        <v>0</v>
      </c>
      <c r="Q37" t="str">
        <v>SKU-0372</v>
      </c>
      <c r="R37" t="str">
        <v/>
      </c>
      <c r="S37" t="str">
        <v/>
      </c>
      <c r="T37" t="str">
        <v/>
      </c>
    </row>
    <row r="38">
      <c r="A38">
        <v>35</v>
      </c>
      <c r="B38" t="str">
        <v>ويفر الشمعدان شوكولاتة أحمر</v>
      </c>
      <c r="C38" t="str">
        <v>6221010002028</v>
      </c>
      <c r="D38" t="str">
        <v/>
      </c>
      <c r="E38" t="str">
        <v>قطعة</v>
      </c>
      <c r="F38">
        <v>5</v>
      </c>
      <c r="G38">
        <v>3.6</v>
      </c>
      <c r="H38">
        <v>0</v>
      </c>
      <c r="I38">
        <v>15</v>
      </c>
      <c r="J38">
        <f>F38-G38</f>
        <v>1.4</v>
      </c>
      <c r="K38" s="1">
        <f>IF(G38&gt;0, (F38-G38)/G38, 0)</f>
        <v>0.3889</v>
      </c>
      <c r="L38" s="2">
        <f>H38*G38</f>
        <v>0</v>
      </c>
      <c r="M38" s="2">
        <f>H38*F38</f>
        <v>0</v>
      </c>
      <c r="N38" s="2">
        <f>M38-L38</f>
        <v>0</v>
      </c>
      <c r="O38" t="str">
        <f>IF(H38&lt;=0, "نفد من المخزن", IF(H38&lt;=I38, "قارب على النفاد", "متوفر بالمخزن"))</f>
        <v>نفد من المخزن</v>
      </c>
      <c r="P38">
        <v>0</v>
      </c>
      <c r="Q38" t="str">
        <v>SKU-0373</v>
      </c>
      <c r="R38" t="str">
        <v/>
      </c>
      <c r="S38" t="str">
        <v/>
      </c>
      <c r="T38" t="str">
        <v/>
      </c>
    </row>
    <row r="39">
      <c r="A39">
        <v>36</v>
      </c>
      <c r="B39" t="str">
        <v>ويفر الشمعدان حليب أزرق</v>
      </c>
      <c r="C39" t="str">
        <v>6221010002035</v>
      </c>
      <c r="D39" t="str">
        <v/>
      </c>
      <c r="E39" t="str">
        <v>قطعة</v>
      </c>
      <c r="F39">
        <v>5</v>
      </c>
      <c r="G39">
        <v>3.6</v>
      </c>
      <c r="H39">
        <v>0</v>
      </c>
      <c r="I39">
        <v>12</v>
      </c>
      <c r="J39">
        <f>F39-G39</f>
        <v>1.4</v>
      </c>
      <c r="K39" s="1">
        <f>IF(G39&gt;0, (F39-G39)/G39, 0)</f>
        <v>0.3889</v>
      </c>
      <c r="L39" s="2">
        <f>H39*G39</f>
        <v>0</v>
      </c>
      <c r="M39" s="2">
        <f>H39*F39</f>
        <v>0</v>
      </c>
      <c r="N39" s="2">
        <f>M39-L39</f>
        <v>0</v>
      </c>
      <c r="O39" t="str">
        <f>IF(H39&lt;=0, "نفد من المخزن", IF(H39&lt;=I39, "قارب على النفاد", "متوفر بالمخزن"))</f>
        <v>نفد من المخزن</v>
      </c>
      <c r="P39">
        <v>0</v>
      </c>
      <c r="Q39" t="str">
        <v>SKU-0374</v>
      </c>
      <c r="R39" t="str">
        <v/>
      </c>
      <c r="S39" t="str">
        <v/>
      </c>
      <c r="T39" t="str">
        <v/>
      </c>
    </row>
    <row r="40">
      <c r="A40">
        <v>37</v>
      </c>
      <c r="B40" t="str">
        <v>كفر ويفر لواكر نابوليتانير بندق 45 جم</v>
      </c>
      <c r="C40" t="str">
        <v>8000380001012</v>
      </c>
      <c r="D40" t="str">
        <v/>
      </c>
      <c r="E40" t="str">
        <v>قطعة</v>
      </c>
      <c r="F40">
        <v>30</v>
      </c>
      <c r="G40">
        <v>24</v>
      </c>
      <c r="H40">
        <v>0</v>
      </c>
      <c r="I40">
        <v>5</v>
      </c>
      <c r="J40">
        <f>F40-G40</f>
        <v>6</v>
      </c>
      <c r="K40" s="1">
        <f>IF(G40&gt;0, (F40-G40)/G40, 0)</f>
        <v>0.25</v>
      </c>
      <c r="L40" s="2">
        <f>H40*G40</f>
        <v>0</v>
      </c>
      <c r="M40" s="2">
        <f>H40*F40</f>
        <v>0</v>
      </c>
      <c r="N40" s="2">
        <f>M40-L40</f>
        <v>0</v>
      </c>
      <c r="O40" t="str">
        <f>IF(H40&lt;=0, "نفد من المخزن", IF(H40&lt;=I40, "قارب على النفاد", "متوفر بالمخزن"))</f>
        <v>نفد من المخزن</v>
      </c>
      <c r="P40">
        <v>0</v>
      </c>
      <c r="Q40" t="str">
        <v>SKU-0375</v>
      </c>
      <c r="R40" t="str">
        <v/>
      </c>
      <c r="S40" t="str">
        <v/>
      </c>
      <c r="T40" t="str">
        <v/>
      </c>
    </row>
    <row r="41">
      <c r="A41">
        <v>38</v>
      </c>
      <c r="B41" t="str">
        <v>كفر ويفر لواكر كاكاو 45 جم</v>
      </c>
      <c r="C41" t="str">
        <v>8000380001029</v>
      </c>
      <c r="D41" t="str">
        <v/>
      </c>
      <c r="E41" t="str">
        <v>قطعة</v>
      </c>
      <c r="F41">
        <v>30</v>
      </c>
      <c r="G41">
        <v>24</v>
      </c>
      <c r="H41">
        <v>0</v>
      </c>
      <c r="I41">
        <v>5</v>
      </c>
      <c r="J41">
        <f>F41-G41</f>
        <v>6</v>
      </c>
      <c r="K41" s="1">
        <f>IF(G41&gt;0, (F41-G41)/G41, 0)</f>
        <v>0.25</v>
      </c>
      <c r="L41" s="2">
        <f>H41*G41</f>
        <v>0</v>
      </c>
      <c r="M41" s="2">
        <f>H41*F41</f>
        <v>0</v>
      </c>
      <c r="N41" s="2">
        <f>M41-L41</f>
        <v>0</v>
      </c>
      <c r="O41" t="str">
        <f>IF(H41&lt;=0, "نفد من المخزن", IF(H41&lt;=I41, "قارب على النفاد", "متوفر بالمخزن"))</f>
        <v>نفد من المخزن</v>
      </c>
      <c r="P41">
        <v>0</v>
      </c>
      <c r="Q41" t="str">
        <v>SKU-0376</v>
      </c>
      <c r="R41" t="str">
        <v/>
      </c>
      <c r="S41" t="str">
        <v/>
      </c>
      <c r="T41" t="str">
        <v/>
      </c>
    </row>
    <row r="42">
      <c r="A42">
        <v>39</v>
      </c>
      <c r="B42" t="str">
        <v>بسكويت دايجستف ماكفيتيز الأصلي 250 جم</v>
      </c>
      <c r="C42" t="str">
        <v>5000168010014</v>
      </c>
      <c r="D42" t="str">
        <v/>
      </c>
      <c r="E42" t="str">
        <v>قطعة</v>
      </c>
      <c r="F42">
        <v>55</v>
      </c>
      <c r="G42">
        <v>44</v>
      </c>
      <c r="H42">
        <v>0</v>
      </c>
      <c r="I42">
        <v>4</v>
      </c>
      <c r="J42">
        <f>F42-G42</f>
        <v>11</v>
      </c>
      <c r="K42" s="1">
        <f>IF(G42&gt;0, (F42-G42)/G42, 0)</f>
        <v>0.25</v>
      </c>
      <c r="L42" s="2">
        <f>H42*G42</f>
        <v>0</v>
      </c>
      <c r="M42" s="2">
        <f>H42*F42</f>
        <v>0</v>
      </c>
      <c r="N42" s="2">
        <f>M42-L42</f>
        <v>0</v>
      </c>
      <c r="O42" t="str">
        <f>IF(H42&lt;=0, "نفد من المخزن", IF(H42&lt;=I42, "قارب على النفاد", "متوفر بالمخزن"))</f>
        <v>نفد من المخزن</v>
      </c>
      <c r="P42">
        <v>0</v>
      </c>
      <c r="Q42" t="str">
        <v>SKU-0377</v>
      </c>
      <c r="R42" t="str">
        <v/>
      </c>
      <c r="S42" t="str">
        <v/>
      </c>
      <c r="T42" t="str">
        <v/>
      </c>
    </row>
    <row r="43">
      <c r="A43">
        <v>40</v>
      </c>
      <c r="B43" t="str">
        <v>كيكة هوز فانيليا وشيكولاتة</v>
      </c>
      <c r="C43" t="str">
        <v>6221077001019</v>
      </c>
      <c r="D43" t="str">
        <v/>
      </c>
      <c r="E43" t="str">
        <v>قطعة</v>
      </c>
      <c r="F43">
        <v>8</v>
      </c>
      <c r="G43">
        <v>5.8</v>
      </c>
      <c r="H43">
        <v>0</v>
      </c>
      <c r="I43">
        <v>10</v>
      </c>
      <c r="J43">
        <f>F43-G43</f>
        <v>2.2</v>
      </c>
      <c r="K43" s="1">
        <f>IF(G43&gt;0, (F43-G43)/G43, 0)</f>
        <v>0.3793</v>
      </c>
      <c r="L43" s="2">
        <f>H43*G43</f>
        <v>0</v>
      </c>
      <c r="M43" s="2">
        <f>H43*F43</f>
        <v>0</v>
      </c>
      <c r="N43" s="2">
        <f>M43-L43</f>
        <v>0</v>
      </c>
      <c r="O43" t="str">
        <f>IF(H43&lt;=0, "نفد من المخزن", IF(H43&lt;=I43, "قارب على النفاد", "متوفر بالمخزن"))</f>
        <v>نفد من المخزن</v>
      </c>
      <c r="P43">
        <v>0</v>
      </c>
      <c r="Q43" t="str">
        <v>SKU-0378</v>
      </c>
      <c r="R43" t="str">
        <v/>
      </c>
      <c r="S43" t="str">
        <v/>
      </c>
      <c r="T43" t="str">
        <v/>
      </c>
    </row>
    <row r="44">
      <c r="A44">
        <v>41</v>
      </c>
      <c r="B44" t="str">
        <v>كيكة توينكيز كريمة</v>
      </c>
      <c r="C44" t="str">
        <v>6221077002016</v>
      </c>
      <c r="D44" t="str">
        <v/>
      </c>
      <c r="E44" t="str">
        <v>قطعة</v>
      </c>
      <c r="F44">
        <v>8</v>
      </c>
      <c r="G44">
        <v>5.8</v>
      </c>
      <c r="H44">
        <v>0</v>
      </c>
      <c r="I44">
        <v>10</v>
      </c>
      <c r="J44">
        <f>F44-G44</f>
        <v>2.2</v>
      </c>
      <c r="K44" s="1">
        <f>IF(G44&gt;0, (F44-G44)/G44, 0)</f>
        <v>0.3793</v>
      </c>
      <c r="L44" s="2">
        <f>H44*G44</f>
        <v>0</v>
      </c>
      <c r="M44" s="2">
        <f>H44*F44</f>
        <v>0</v>
      </c>
      <c r="N44" s="2">
        <f>M44-L44</f>
        <v>0</v>
      </c>
      <c r="O44" t="str">
        <f>IF(H44&lt;=0, "نفد من المخزن", IF(H44&lt;=I44, "قارب على النفاد", "متوفر بالمخزن"))</f>
        <v>نفد من المخزن</v>
      </c>
      <c r="P44">
        <v>0</v>
      </c>
      <c r="Q44" t="str">
        <v>SKU-0379</v>
      </c>
      <c r="R44" t="str">
        <v/>
      </c>
      <c r="S44" t="str">
        <v/>
      </c>
      <c r="T44" t="str">
        <v/>
      </c>
    </row>
    <row r="45">
      <c r="A45">
        <v>42</v>
      </c>
      <c r="B45" t="str">
        <v>توداي كيك شوكولاتة براوني</v>
      </c>
      <c r="C45" t="str">
        <v>6221077003013</v>
      </c>
      <c r="D45" t="str">
        <v/>
      </c>
      <c r="E45" t="str">
        <v>قطعة</v>
      </c>
      <c r="F45">
        <v>10</v>
      </c>
      <c r="G45">
        <v>7.5</v>
      </c>
      <c r="H45">
        <v>0</v>
      </c>
      <c r="I45">
        <v>8</v>
      </c>
      <c r="J45">
        <f>F45-G45</f>
        <v>2.5</v>
      </c>
      <c r="K45" s="1">
        <f>IF(G45&gt;0, (F45-G45)/G45, 0)</f>
        <v>0.3333</v>
      </c>
      <c r="L45" s="2">
        <f>H45*G45</f>
        <v>0</v>
      </c>
      <c r="M45" s="2">
        <f>H45*F45</f>
        <v>0</v>
      </c>
      <c r="N45" s="2">
        <f>M45-L45</f>
        <v>0</v>
      </c>
      <c r="O45" t="str">
        <f>IF(H45&lt;=0, "نفد من المخزن", IF(H45&lt;=I45, "قارب على النفاد", "متوفر بالمخزن"))</f>
        <v>نفد من المخزن</v>
      </c>
      <c r="P45">
        <v>0</v>
      </c>
      <c r="Q45" t="str">
        <v>SKU-0380</v>
      </c>
      <c r="R45" t="str">
        <v/>
      </c>
      <c r="S45" t="str">
        <v/>
      </c>
      <c r="T45" t="str">
        <v/>
      </c>
    </row>
    <row r="46">
      <c r="A46">
        <v>43</v>
      </c>
      <c r="B46" t="str">
        <v>مولتو XXL شيكولاتة وبندق</v>
      </c>
      <c r="C46" t="str">
        <v>6223000553855</v>
      </c>
      <c r="D46" t="str">
        <v/>
      </c>
      <c r="E46" t="str">
        <v>قطعة</v>
      </c>
      <c r="F46">
        <v>15</v>
      </c>
      <c r="G46">
        <v>11.5</v>
      </c>
      <c r="H46">
        <v>0</v>
      </c>
      <c r="I46">
        <v>12</v>
      </c>
      <c r="J46">
        <f>F46-G46</f>
        <v>3.5</v>
      </c>
      <c r="K46" s="1">
        <f>IF(G46&gt;0, (F46-G46)/G46, 0)</f>
        <v>0.3043</v>
      </c>
      <c r="L46" s="2">
        <f>H46*G46</f>
        <v>0</v>
      </c>
      <c r="M46" s="2">
        <f>H46*F46</f>
        <v>0</v>
      </c>
      <c r="N46" s="2">
        <f>M46-L46</f>
        <v>0</v>
      </c>
      <c r="O46" t="str">
        <f>IF(H46&lt;=0, "نفد من المخزن", IF(H46&lt;=I46, "قارب على النفاد", "متوفر بالمخزن"))</f>
        <v>نفد من المخزن</v>
      </c>
      <c r="P46">
        <v>0</v>
      </c>
      <c r="Q46" t="str">
        <v>SKU-0381</v>
      </c>
      <c r="R46" t="str">
        <v/>
      </c>
      <c r="S46" t="str">
        <v/>
      </c>
      <c r="T46" t="str">
        <v/>
      </c>
    </row>
    <row r="47">
      <c r="A47">
        <v>44</v>
      </c>
      <c r="B47" t="str">
        <v>مولتو XXL ميكس جبن</v>
      </c>
      <c r="C47" t="str">
        <v>6223000553862</v>
      </c>
      <c r="D47" t="str">
        <v/>
      </c>
      <c r="E47" t="str">
        <v>قطعة</v>
      </c>
      <c r="F47">
        <v>15</v>
      </c>
      <c r="G47">
        <v>11.5</v>
      </c>
      <c r="H47">
        <v>0</v>
      </c>
      <c r="I47">
        <v>10</v>
      </c>
      <c r="J47">
        <f>F47-G47</f>
        <v>3.5</v>
      </c>
      <c r="K47" s="1">
        <f>IF(G47&gt;0, (F47-G47)/G47, 0)</f>
        <v>0.3043</v>
      </c>
      <c r="L47" s="2">
        <f>H47*G47</f>
        <v>0</v>
      </c>
      <c r="M47" s="2">
        <f>H47*F47</f>
        <v>0</v>
      </c>
      <c r="N47" s="2">
        <f>M47-L47</f>
        <v>0</v>
      </c>
      <c r="O47" t="str">
        <f>IF(H47&lt;=0, "نفد من المخزن", IF(H47&lt;=I47, "قارب على النفاد", "متوفر بالمخزن"))</f>
        <v>نفد من المخزن</v>
      </c>
      <c r="P47">
        <v>0</v>
      </c>
      <c r="Q47" t="str">
        <v>SKU-0382</v>
      </c>
      <c r="R47" t="str">
        <v/>
      </c>
      <c r="S47" t="str">
        <v/>
      </c>
      <c r="T47" t="str">
        <v/>
      </c>
    </row>
    <row r="48">
      <c r="A48">
        <v>45</v>
      </c>
      <c r="B48" t="str">
        <v>مولتو كينج شيكولاتة</v>
      </c>
      <c r="C48" t="str">
        <v>6223000553879</v>
      </c>
      <c r="D48" t="str">
        <v/>
      </c>
      <c r="E48" t="str">
        <v>قطعة</v>
      </c>
      <c r="F48">
        <v>12</v>
      </c>
      <c r="G48">
        <v>9.2</v>
      </c>
      <c r="H48">
        <v>0</v>
      </c>
      <c r="I48">
        <v>10</v>
      </c>
      <c r="J48">
        <f>F48-G48</f>
        <v>2.8</v>
      </c>
      <c r="K48" s="1">
        <f>IF(G48&gt;0, (F48-G48)/G48, 0)</f>
        <v>0.3043</v>
      </c>
      <c r="L48" s="2">
        <f>H48*G48</f>
        <v>0</v>
      </c>
      <c r="M48" s="2">
        <f>H48*F48</f>
        <v>0</v>
      </c>
      <c r="N48" s="2">
        <f>M48-L48</f>
        <v>0</v>
      </c>
      <c r="O48" t="str">
        <f>IF(H48&lt;=0, "نفد من المخزن", IF(H48&lt;=I48, "قارب على النفاد", "متوفر بالمخزن"))</f>
        <v>نفد من المخزن</v>
      </c>
      <c r="P48">
        <v>0</v>
      </c>
      <c r="Q48" t="str">
        <v>SKU-0383</v>
      </c>
      <c r="R48" t="str">
        <v/>
      </c>
      <c r="S48" t="str">
        <v/>
      </c>
      <c r="T48" t="str">
        <v/>
      </c>
    </row>
    <row r="49">
      <c r="A49">
        <v>46</v>
      </c>
      <c r="B49" t="str">
        <v>مولتو ميني كيس شيكولاتة</v>
      </c>
      <c r="C49" t="str">
        <v>6223000491294</v>
      </c>
      <c r="D49" t="str">
        <v/>
      </c>
      <c r="E49" t="str">
        <v>قطعة</v>
      </c>
      <c r="F49">
        <v>18</v>
      </c>
      <c r="G49">
        <v>14</v>
      </c>
      <c r="H49">
        <v>0</v>
      </c>
      <c r="I49">
        <v>10</v>
      </c>
      <c r="J49">
        <f>F49-G49</f>
        <v>4</v>
      </c>
      <c r="K49" s="1">
        <f>IF(G49&gt;0, (F49-G49)/G49, 0)</f>
        <v>0.2857</v>
      </c>
      <c r="L49" s="2">
        <f>H49*G49</f>
        <v>0</v>
      </c>
      <c r="M49" s="2">
        <f>H49*F49</f>
        <v>0</v>
      </c>
      <c r="N49" s="2">
        <f>M49-L49</f>
        <v>0</v>
      </c>
      <c r="O49" t="str">
        <f>IF(H49&lt;=0, "نفد من المخزن", IF(H49&lt;=I49, "قارب على النفاد", "متوفر بالمخزن"))</f>
        <v>نفد من المخزن</v>
      </c>
      <c r="P49">
        <v>0</v>
      </c>
      <c r="Q49" t="str">
        <v>SKU-0384</v>
      </c>
      <c r="R49" t="str">
        <v/>
      </c>
      <c r="S49" t="str">
        <v/>
      </c>
      <c r="T49" t="str">
        <v/>
      </c>
    </row>
    <row r="50">
      <c r="A50">
        <v>47</v>
      </c>
      <c r="B50" t="str">
        <v>شيكولاتة كادبوري ديري ميلك 37 جم</v>
      </c>
      <c r="C50" t="str">
        <v>7622210287113</v>
      </c>
      <c r="D50" t="str">
        <v/>
      </c>
      <c r="E50" t="str">
        <v>قطعة</v>
      </c>
      <c r="F50">
        <v>35</v>
      </c>
      <c r="G50">
        <v>27.5</v>
      </c>
      <c r="H50">
        <v>0</v>
      </c>
      <c r="I50">
        <v>8</v>
      </c>
      <c r="J50">
        <f>F50-G50</f>
        <v>7.5</v>
      </c>
      <c r="K50" s="1">
        <f>IF(G50&gt;0, (F50-G50)/G50, 0)</f>
        <v>0.2727</v>
      </c>
      <c r="L50" s="2">
        <f>H50*G50</f>
        <v>0</v>
      </c>
      <c r="M50" s="2">
        <f>H50*F50</f>
        <v>0</v>
      </c>
      <c r="N50" s="2">
        <f>M50-L50</f>
        <v>0</v>
      </c>
      <c r="O50" t="str">
        <f>IF(H50&lt;=0, "نفد من المخزن", IF(H50&lt;=I50, "قارب على النفاد", "متوفر بالمخزن"))</f>
        <v>نفد من المخزن</v>
      </c>
      <c r="P50">
        <v>0</v>
      </c>
      <c r="Q50" t="str">
        <v>SKU-0385</v>
      </c>
      <c r="R50" t="str">
        <v/>
      </c>
      <c r="S50" t="str">
        <v/>
      </c>
      <c r="T50" t="str">
        <v/>
      </c>
    </row>
    <row r="51">
      <c r="A51">
        <v>48</v>
      </c>
      <c r="B51" t="str">
        <v>شيكولاتة كادبوري بالبندق 37 جم</v>
      </c>
      <c r="C51" t="str">
        <v>7622210287120</v>
      </c>
      <c r="D51" t="str">
        <v/>
      </c>
      <c r="E51" t="str">
        <v>قطعة</v>
      </c>
      <c r="F51">
        <v>38</v>
      </c>
      <c r="G51">
        <v>30</v>
      </c>
      <c r="H51">
        <v>0</v>
      </c>
      <c r="I51">
        <v>8</v>
      </c>
      <c r="J51">
        <f>F51-G51</f>
        <v>8</v>
      </c>
      <c r="K51" s="1">
        <f>IF(G51&gt;0, (F51-G51)/G51, 0)</f>
        <v>0.2667</v>
      </c>
      <c r="L51" s="2">
        <f>H51*G51</f>
        <v>0</v>
      </c>
      <c r="M51" s="2">
        <f>H51*F51</f>
        <v>0</v>
      </c>
      <c r="N51" s="2">
        <f>M51-L51</f>
        <v>0</v>
      </c>
      <c r="O51" t="str">
        <f>IF(H51&lt;=0, "نفد من المخزن", IF(H51&lt;=I51, "قارب على النفاد", "متوفر بالمخزن"))</f>
        <v>نفد من المخزن</v>
      </c>
      <c r="P51">
        <v>0</v>
      </c>
      <c r="Q51" t="str">
        <v>SKU-0386</v>
      </c>
      <c r="R51" t="str">
        <v/>
      </c>
      <c r="S51" t="str">
        <v/>
      </c>
      <c r="T51" t="str">
        <v/>
      </c>
    </row>
    <row r="52">
      <c r="A52">
        <v>49</v>
      </c>
      <c r="B52" t="str">
        <v>شيكولاتة كادبوري ديري ميلك كبيرة 90 جم</v>
      </c>
      <c r="C52" t="str">
        <v>7622210287137</v>
      </c>
      <c r="D52" t="str">
        <v/>
      </c>
      <c r="E52" t="str">
        <v>قطعة</v>
      </c>
      <c r="F52">
        <v>80</v>
      </c>
      <c r="G52">
        <v>65</v>
      </c>
      <c r="H52">
        <v>0</v>
      </c>
      <c r="I52">
        <v>5</v>
      </c>
      <c r="J52">
        <f>F52-G52</f>
        <v>15</v>
      </c>
      <c r="K52" s="1">
        <f>IF(G52&gt;0, (F52-G52)/G52, 0)</f>
        <v>0.2308</v>
      </c>
      <c r="L52" s="2">
        <f>H52*G52</f>
        <v>0</v>
      </c>
      <c r="M52" s="2">
        <f>H52*F52</f>
        <v>0</v>
      </c>
      <c r="N52" s="2">
        <f>M52-L52</f>
        <v>0</v>
      </c>
      <c r="O52" t="str">
        <f>IF(H52&lt;=0, "نفد من المخزن", IF(H52&lt;=I52, "قارب على النفاد", "متوفر بالمخزن"))</f>
        <v>نفد من المخزن</v>
      </c>
      <c r="P52">
        <v>0</v>
      </c>
      <c r="Q52" t="str">
        <v>SKU-0387</v>
      </c>
      <c r="R52" t="str">
        <v/>
      </c>
      <c r="S52" t="str">
        <v/>
      </c>
      <c r="T52" t="str">
        <v/>
      </c>
    </row>
    <row r="53">
      <c r="A53">
        <v>50</v>
      </c>
      <c r="B53" t="str">
        <v>شيكولاتة جالاكسي ناعمة بالحليب 40 جم</v>
      </c>
      <c r="C53" t="str">
        <v>5000159461122</v>
      </c>
      <c r="D53" t="str">
        <v/>
      </c>
      <c r="E53" t="str">
        <v>قطعة</v>
      </c>
      <c r="F53">
        <v>35</v>
      </c>
      <c r="G53">
        <v>27.5</v>
      </c>
      <c r="H53">
        <v>0</v>
      </c>
      <c r="I53">
        <v>8</v>
      </c>
      <c r="J53">
        <f>F53-G53</f>
        <v>7.5</v>
      </c>
      <c r="K53" s="1">
        <f>IF(G53&gt;0, (F53-G53)/G53, 0)</f>
        <v>0.2727</v>
      </c>
      <c r="L53" s="2">
        <f>H53*G53</f>
        <v>0</v>
      </c>
      <c r="M53" s="2">
        <f>H53*F53</f>
        <v>0</v>
      </c>
      <c r="N53" s="2">
        <f>M53-L53</f>
        <v>0</v>
      </c>
      <c r="O53" t="str">
        <f>IF(H53&lt;=0, "نفد من المخزن", IF(H53&lt;=I53, "قارب على النفاد", "متوفر بالمخزن"))</f>
        <v>نفد من المخزن</v>
      </c>
      <c r="P53">
        <v>0</v>
      </c>
      <c r="Q53" t="str">
        <v>SKU-0388</v>
      </c>
      <c r="R53" t="str">
        <v/>
      </c>
      <c r="S53" t="str">
        <v/>
      </c>
      <c r="T53" t="str">
        <v/>
      </c>
    </row>
    <row r="54">
      <c r="A54">
        <v>51</v>
      </c>
      <c r="B54" t="str">
        <v>شيكولاتة جالاكسي بالكراميل 40 جم</v>
      </c>
      <c r="C54" t="str">
        <v>5000159461139</v>
      </c>
      <c r="D54" t="str">
        <v/>
      </c>
      <c r="E54" t="str">
        <v>قطعة</v>
      </c>
      <c r="F54">
        <v>35</v>
      </c>
      <c r="G54">
        <v>27.5</v>
      </c>
      <c r="H54">
        <v>0</v>
      </c>
      <c r="I54">
        <v>8</v>
      </c>
      <c r="J54">
        <f>F54-G54</f>
        <v>7.5</v>
      </c>
      <c r="K54" s="1">
        <f>IF(G54&gt;0, (F54-G54)/G54, 0)</f>
        <v>0.2727</v>
      </c>
      <c r="L54" s="2">
        <f>H54*G54</f>
        <v>0</v>
      </c>
      <c r="M54" s="2">
        <f>H54*F54</f>
        <v>0</v>
      </c>
      <c r="N54" s="2">
        <f>M54-L54</f>
        <v>0</v>
      </c>
      <c r="O54" t="str">
        <f>IF(H54&lt;=0, "نفد من المخزن", IF(H54&lt;=I54, "قارب على النفاد", "متوفر بالمخزن"))</f>
        <v>نفد من المخزن</v>
      </c>
      <c r="P54">
        <v>0</v>
      </c>
      <c r="Q54" t="str">
        <v>SKU-0389</v>
      </c>
      <c r="R54" t="str">
        <v/>
      </c>
      <c r="S54" t="str">
        <v/>
      </c>
      <c r="T54" t="str">
        <v/>
      </c>
    </row>
    <row r="55">
      <c r="A55">
        <v>52</v>
      </c>
      <c r="B55" t="str">
        <v>شيكولاتة جالاكسي فلوتس إصبعين</v>
      </c>
      <c r="C55" t="str">
        <v>5000159461146</v>
      </c>
      <c r="D55" t="str">
        <v/>
      </c>
      <c r="E55" t="str">
        <v>قطعة</v>
      </c>
      <c r="F55">
        <v>18</v>
      </c>
      <c r="G55">
        <v>14</v>
      </c>
      <c r="H55">
        <v>0</v>
      </c>
      <c r="I55">
        <v>8</v>
      </c>
      <c r="J55">
        <f>F55-G55</f>
        <v>4</v>
      </c>
      <c r="K55" s="1">
        <f>IF(G55&gt;0, (F55-G55)/G55, 0)</f>
        <v>0.2857</v>
      </c>
      <c r="L55" s="2">
        <f>H55*G55</f>
        <v>0</v>
      </c>
      <c r="M55" s="2">
        <f>H55*F55</f>
        <v>0</v>
      </c>
      <c r="N55" s="2">
        <f>M55-L55</f>
        <v>0</v>
      </c>
      <c r="O55" t="str">
        <f>IF(H55&lt;=0, "نفد من المخزن", IF(H55&lt;=I55, "قارب على النفاد", "متوفر بالمخزن"))</f>
        <v>نفد من المخزن</v>
      </c>
      <c r="P55">
        <v>0</v>
      </c>
      <c r="Q55" t="str">
        <v>SKU-0390</v>
      </c>
      <c r="R55" t="str">
        <v/>
      </c>
      <c r="S55" t="str">
        <v/>
      </c>
      <c r="T55" t="str">
        <v/>
      </c>
    </row>
    <row r="56">
      <c r="A56">
        <v>53</v>
      </c>
      <c r="B56" t="str">
        <v>شيكولاتة كيت كات 4 أصابع</v>
      </c>
      <c r="C56" t="str">
        <v>7613035345010</v>
      </c>
      <c r="D56" t="str">
        <v/>
      </c>
      <c r="E56" t="str">
        <v>قطعة</v>
      </c>
      <c r="F56">
        <v>35</v>
      </c>
      <c r="G56">
        <v>28</v>
      </c>
      <c r="H56">
        <v>0</v>
      </c>
      <c r="I56">
        <v>7</v>
      </c>
      <c r="J56">
        <f>F56-G56</f>
        <v>7</v>
      </c>
      <c r="K56" s="1">
        <f>IF(G56&gt;0, (F56-G56)/G56, 0)</f>
        <v>0.25</v>
      </c>
      <c r="L56" s="2">
        <f>H56*G56</f>
        <v>0</v>
      </c>
      <c r="M56" s="2">
        <f>H56*F56</f>
        <v>0</v>
      </c>
      <c r="N56" s="2">
        <f>M56-L56</f>
        <v>0</v>
      </c>
      <c r="O56" t="str">
        <f>IF(H56&lt;=0, "نفد من المخزن", IF(H56&lt;=I56, "قارب على النفاد", "متوفر بالمخزن"))</f>
        <v>نفد من المخزن</v>
      </c>
      <c r="P56">
        <v>0</v>
      </c>
      <c r="Q56" t="str">
        <v>SKU-0391</v>
      </c>
      <c r="R56" t="str">
        <v/>
      </c>
      <c r="S56" t="str">
        <v/>
      </c>
      <c r="T56" t="str">
        <v/>
      </c>
    </row>
    <row r="57">
      <c r="A57">
        <v>54</v>
      </c>
      <c r="B57" t="str">
        <v>شيكولاتة كيت كات إصبعين</v>
      </c>
      <c r="C57" t="str">
        <v>7613035345027</v>
      </c>
      <c r="D57" t="str">
        <v/>
      </c>
      <c r="E57" t="str">
        <v>قطعة</v>
      </c>
      <c r="F57">
        <v>18</v>
      </c>
      <c r="G57">
        <v>14</v>
      </c>
      <c r="H57">
        <v>0</v>
      </c>
      <c r="I57">
        <v>8</v>
      </c>
      <c r="J57">
        <f>F57-G57</f>
        <v>4</v>
      </c>
      <c r="K57" s="1">
        <f>IF(G57&gt;0, (F57-G57)/G57, 0)</f>
        <v>0.2857</v>
      </c>
      <c r="L57" s="2">
        <f>H57*G57</f>
        <v>0</v>
      </c>
      <c r="M57" s="2">
        <f>H57*F57</f>
        <v>0</v>
      </c>
      <c r="N57" s="2">
        <f>M57-L57</f>
        <v>0</v>
      </c>
      <c r="O57" t="str">
        <f>IF(H57&lt;=0, "نفد من المخزن", IF(H57&lt;=I57, "قارب على النفاد", "متوفر بالمخزن"))</f>
        <v>نفد من المخزن</v>
      </c>
      <c r="P57">
        <v>0</v>
      </c>
      <c r="Q57" t="str">
        <v>SKU-0392</v>
      </c>
      <c r="R57" t="str">
        <v/>
      </c>
      <c r="S57" t="str">
        <v/>
      </c>
      <c r="T57" t="str">
        <v/>
      </c>
    </row>
    <row r="58">
      <c r="A58">
        <v>55</v>
      </c>
      <c r="B58" t="str">
        <v>سنيكرز بار فول سوداني وكاراميل 50 جم</v>
      </c>
      <c r="C58" t="str">
        <v>5000159461153</v>
      </c>
      <c r="D58" t="str">
        <v/>
      </c>
      <c r="E58" t="str">
        <v>قطعة</v>
      </c>
      <c r="F58">
        <v>35</v>
      </c>
      <c r="G58">
        <v>27.5</v>
      </c>
      <c r="H58">
        <v>0</v>
      </c>
      <c r="I58">
        <v>6</v>
      </c>
      <c r="J58">
        <f>F58-G58</f>
        <v>7.5</v>
      </c>
      <c r="K58" s="1">
        <f>IF(G58&gt;0, (F58-G58)/G58, 0)</f>
        <v>0.2727</v>
      </c>
      <c r="L58" s="2">
        <f>H58*G58</f>
        <v>0</v>
      </c>
      <c r="M58" s="2">
        <f>H58*F58</f>
        <v>0</v>
      </c>
      <c r="N58" s="2">
        <f>M58-L58</f>
        <v>0</v>
      </c>
      <c r="O58" t="str">
        <f>IF(H58&lt;=0, "نفد من المخزن", IF(H58&lt;=I58, "قارب على النفاد", "متوفر بالمخزن"))</f>
        <v>نفد من المخزن</v>
      </c>
      <c r="P58">
        <v>0</v>
      </c>
      <c r="Q58" t="str">
        <v>SKU-0393</v>
      </c>
      <c r="R58" t="str">
        <v/>
      </c>
      <c r="S58" t="str">
        <v/>
      </c>
      <c r="T58" t="str">
        <v/>
      </c>
    </row>
    <row r="59">
      <c r="A59">
        <v>56</v>
      </c>
      <c r="B59" t="str">
        <v>تويكس بار إصبعين بسكويت وكاراميل 50 جم</v>
      </c>
      <c r="C59" t="str">
        <v>5000159461160</v>
      </c>
      <c r="D59" t="str">
        <v/>
      </c>
      <c r="E59" t="str">
        <v>قطعة</v>
      </c>
      <c r="F59">
        <v>35</v>
      </c>
      <c r="G59">
        <v>27.5</v>
      </c>
      <c r="H59">
        <v>0</v>
      </c>
      <c r="I59">
        <v>6</v>
      </c>
      <c r="J59">
        <f>F59-G59</f>
        <v>7.5</v>
      </c>
      <c r="K59" s="1">
        <f>IF(G59&gt;0, (F59-G59)/G59, 0)</f>
        <v>0.2727</v>
      </c>
      <c r="L59" s="2">
        <f>H59*G59</f>
        <v>0</v>
      </c>
      <c r="M59" s="2">
        <f>H59*F59</f>
        <v>0</v>
      </c>
      <c r="N59" s="2">
        <f>M59-L59</f>
        <v>0</v>
      </c>
      <c r="O59" t="str">
        <f>IF(H59&lt;=0, "نفد من المخزن", IF(H59&lt;=I59, "قارب على النفاد", "متوفر بالمخزن"))</f>
        <v>نفد من المخزن</v>
      </c>
      <c r="P59">
        <v>0</v>
      </c>
      <c r="Q59" t="str">
        <v>SKU-0394</v>
      </c>
      <c r="R59" t="str">
        <v/>
      </c>
      <c r="S59" t="str">
        <v/>
      </c>
      <c r="T59" t="str">
        <v/>
      </c>
    </row>
    <row r="60">
      <c r="A60">
        <v>57</v>
      </c>
      <c r="B60" t="str">
        <v>مارس بار شيكولاتة ونوجا 51 جم</v>
      </c>
      <c r="C60" t="str">
        <v>5000159461177</v>
      </c>
      <c r="D60" t="str">
        <v/>
      </c>
      <c r="E60" t="str">
        <v>قطعة</v>
      </c>
      <c r="F60">
        <v>35</v>
      </c>
      <c r="G60">
        <v>27.5</v>
      </c>
      <c r="H60">
        <v>0</v>
      </c>
      <c r="I60">
        <v>6</v>
      </c>
      <c r="J60">
        <f>F60-G60</f>
        <v>7.5</v>
      </c>
      <c r="K60" s="1">
        <f>IF(G60&gt;0, (F60-G60)/G60, 0)</f>
        <v>0.2727</v>
      </c>
      <c r="L60" s="2">
        <f>H60*G60</f>
        <v>0</v>
      </c>
      <c r="M60" s="2">
        <f>H60*F60</f>
        <v>0</v>
      </c>
      <c r="N60" s="2">
        <f>M60-L60</f>
        <v>0</v>
      </c>
      <c r="O60" t="str">
        <f>IF(H60&lt;=0, "نفد من المخزن", IF(H60&lt;=I60, "قارب على النفاد", "متوفر بالمخزن"))</f>
        <v>نفد من المخزن</v>
      </c>
      <c r="P60">
        <v>0</v>
      </c>
      <c r="Q60" t="str">
        <v>SKU-0395</v>
      </c>
      <c r="R60" t="str">
        <v/>
      </c>
      <c r="S60" t="str">
        <v/>
      </c>
      <c r="T60" t="str">
        <v/>
      </c>
    </row>
    <row r="61">
      <c r="A61">
        <v>58</v>
      </c>
      <c r="B61" t="str">
        <v>باونتي بار جوز هند بالشيكولاتة 57 جم</v>
      </c>
      <c r="C61" t="str">
        <v>5000159461184</v>
      </c>
      <c r="D61" t="str">
        <v/>
      </c>
      <c r="E61" t="str">
        <v>قطعة</v>
      </c>
      <c r="F61">
        <v>35</v>
      </c>
      <c r="G61">
        <v>27.5</v>
      </c>
      <c r="H61">
        <v>0</v>
      </c>
      <c r="I61">
        <v>5</v>
      </c>
      <c r="J61">
        <f>F61-G61</f>
        <v>7.5</v>
      </c>
      <c r="K61" s="1">
        <f>IF(G61&gt;0, (F61-G61)/G61, 0)</f>
        <v>0.2727</v>
      </c>
      <c r="L61" s="2">
        <f>H61*G61</f>
        <v>0</v>
      </c>
      <c r="M61" s="2">
        <f>H61*F61</f>
        <v>0</v>
      </c>
      <c r="N61" s="2">
        <f>M61-L61</f>
        <v>0</v>
      </c>
      <c r="O61" t="str">
        <f>IF(H61&lt;=0, "نفد من المخزن", IF(H61&lt;=I61, "قارب على النفاد", "متوفر بالمخزن"))</f>
        <v>نفد من المخزن</v>
      </c>
      <c r="P61">
        <v>0</v>
      </c>
      <c r="Q61" t="str">
        <v>SKU-0396</v>
      </c>
      <c r="R61" t="str">
        <v/>
      </c>
      <c r="S61" t="str">
        <v/>
      </c>
      <c r="T61" t="str">
        <v/>
      </c>
    </row>
    <row r="62">
      <c r="A62">
        <v>59</v>
      </c>
      <c r="B62" t="str">
        <v>كندر بوينو ويفر بالحليب والبندق 43 جم</v>
      </c>
      <c r="C62" t="str">
        <v>8000500179871</v>
      </c>
      <c r="D62" t="str">
        <v/>
      </c>
      <c r="E62" t="str">
        <v>قطعة</v>
      </c>
      <c r="F62">
        <v>45</v>
      </c>
      <c r="G62">
        <v>36.5</v>
      </c>
      <c r="H62">
        <v>0</v>
      </c>
      <c r="I62">
        <v>6</v>
      </c>
      <c r="J62">
        <f>F62-G62</f>
        <v>8.5</v>
      </c>
      <c r="K62" s="1">
        <f>IF(G62&gt;0, (F62-G62)/G62, 0)</f>
        <v>0.2329</v>
      </c>
      <c r="L62" s="2">
        <f>H62*G62</f>
        <v>0</v>
      </c>
      <c r="M62" s="2">
        <f>H62*F62</f>
        <v>0</v>
      </c>
      <c r="N62" s="2">
        <f>M62-L62</f>
        <v>0</v>
      </c>
      <c r="O62" t="str">
        <f>IF(H62&lt;=0, "نفد من المخزن", IF(H62&lt;=I62, "قارب على النفاد", "متوفر بالمخزن"))</f>
        <v>نفد من المخزن</v>
      </c>
      <c r="P62">
        <v>0</v>
      </c>
      <c r="Q62" t="str">
        <v>SKU-0397</v>
      </c>
      <c r="R62" t="str">
        <v/>
      </c>
      <c r="S62" t="str">
        <v/>
      </c>
      <c r="T62" t="str">
        <v/>
      </c>
    </row>
    <row r="63">
      <c r="A63">
        <v>60</v>
      </c>
      <c r="B63" t="str">
        <v>كندر جوي بيضة أولاد وبنات 20 جم</v>
      </c>
      <c r="C63" t="str">
        <v>8000500179888</v>
      </c>
      <c r="D63" t="str">
        <v/>
      </c>
      <c r="E63" t="str">
        <v>قطعة</v>
      </c>
      <c r="F63">
        <v>45</v>
      </c>
      <c r="G63">
        <v>36.5</v>
      </c>
      <c r="H63">
        <v>0</v>
      </c>
      <c r="I63">
        <v>6</v>
      </c>
      <c r="J63">
        <f>F63-G63</f>
        <v>8.5</v>
      </c>
      <c r="K63" s="1">
        <f>IF(G63&gt;0, (F63-G63)/G63, 0)</f>
        <v>0.2329</v>
      </c>
      <c r="L63" s="2">
        <f>H63*G63</f>
        <v>0</v>
      </c>
      <c r="M63" s="2">
        <f>H63*F63</f>
        <v>0</v>
      </c>
      <c r="N63" s="2">
        <f>M63-L63</f>
        <v>0</v>
      </c>
      <c r="O63" t="str">
        <f>IF(H63&lt;=0, "نفد من المخزن", IF(H63&lt;=I63, "قارب على النفاد", "متوفر بالمخزن"))</f>
        <v>نفد من المخزن</v>
      </c>
      <c r="P63">
        <v>0</v>
      </c>
      <c r="Q63" t="str">
        <v>SKU-0398</v>
      </c>
      <c r="R63" t="str">
        <v/>
      </c>
      <c r="S63" t="str">
        <v/>
      </c>
      <c r="T63" t="str">
        <v/>
      </c>
    </row>
    <row r="64">
      <c r="A64">
        <v>61</v>
      </c>
      <c r="B64" t="str">
        <v>شيكولاتة كورونا سادة 50 جم</v>
      </c>
      <c r="C64" t="str">
        <v>6221010001014</v>
      </c>
      <c r="D64" t="str">
        <v/>
      </c>
      <c r="E64" t="str">
        <v>قطعة</v>
      </c>
      <c r="F64">
        <v>18</v>
      </c>
      <c r="G64">
        <v>13.5</v>
      </c>
      <c r="H64">
        <v>0</v>
      </c>
      <c r="I64">
        <v>7</v>
      </c>
      <c r="J64">
        <f>F64-G64</f>
        <v>4.5</v>
      </c>
      <c r="K64" s="1">
        <f>IF(G64&gt;0, (F64-G64)/G64, 0)</f>
        <v>0.3333</v>
      </c>
      <c r="L64" s="2">
        <f>H64*G64</f>
        <v>0</v>
      </c>
      <c r="M64" s="2">
        <f>H64*F64</f>
        <v>0</v>
      </c>
      <c r="N64" s="2">
        <f>M64-L64</f>
        <v>0</v>
      </c>
      <c r="O64" t="str">
        <f>IF(H64&lt;=0, "نفد من المخزن", IF(H64&lt;=I64, "قارب على النفاد", "متوفر بالمخزن"))</f>
        <v>نفد من المخزن</v>
      </c>
      <c r="P64">
        <v>0</v>
      </c>
      <c r="Q64" t="str">
        <v>SKU-0399</v>
      </c>
      <c r="R64" t="str">
        <v/>
      </c>
      <c r="S64" t="str">
        <v/>
      </c>
      <c r="T64" t="str">
        <v/>
      </c>
    </row>
    <row r="65">
      <c r="A65">
        <v>62</v>
      </c>
      <c r="B65" t="str">
        <v>شيكولاتة كورونا بالحليب والعسل 50 جم</v>
      </c>
      <c r="C65" t="str">
        <v>6221010001021</v>
      </c>
      <c r="D65" t="str">
        <v/>
      </c>
      <c r="E65" t="str">
        <v>قطعة</v>
      </c>
      <c r="F65">
        <v>18</v>
      </c>
      <c r="G65">
        <v>13.5</v>
      </c>
      <c r="H65">
        <v>0</v>
      </c>
      <c r="I65">
        <v>6</v>
      </c>
      <c r="J65">
        <f>F65-G65</f>
        <v>4.5</v>
      </c>
      <c r="K65" s="1">
        <f>IF(G65&gt;0, (F65-G65)/G65, 0)</f>
        <v>0.3333</v>
      </c>
      <c r="L65" s="2">
        <f>H65*G65</f>
        <v>0</v>
      </c>
      <c r="M65" s="2">
        <f>H65*F65</f>
        <v>0</v>
      </c>
      <c r="N65" s="2">
        <f>M65-L65</f>
        <v>0</v>
      </c>
      <c r="O65" t="str">
        <f>IF(H65&lt;=0, "نفد من المخزن", IF(H65&lt;=I65, "قارب على النفاد", "متوفر بالمخزن"))</f>
        <v>نفد من المخزن</v>
      </c>
      <c r="P65">
        <v>0</v>
      </c>
      <c r="Q65" t="str">
        <v>SKU-0400</v>
      </c>
      <c r="R65" t="str">
        <v/>
      </c>
      <c r="S65" t="str">
        <v/>
      </c>
      <c r="T65" t="str">
        <v/>
      </c>
    </row>
    <row r="66">
      <c r="A66">
        <v>63</v>
      </c>
      <c r="B66" t="str">
        <v>لبان كلورتس نعناع حار</v>
      </c>
      <c r="C66" t="str">
        <v>7622210101013</v>
      </c>
      <c r="D66" t="str">
        <v/>
      </c>
      <c r="E66" t="str">
        <v>قطعة</v>
      </c>
      <c r="F66">
        <v>10</v>
      </c>
      <c r="G66">
        <v>7.5</v>
      </c>
      <c r="H66">
        <v>0</v>
      </c>
      <c r="I66">
        <v>12</v>
      </c>
      <c r="J66">
        <f>F66-G66</f>
        <v>2.5</v>
      </c>
      <c r="K66" s="1">
        <f>IF(G66&gt;0, (F66-G66)/G66, 0)</f>
        <v>0.3333</v>
      </c>
      <c r="L66" s="2">
        <f>H66*G66</f>
        <v>0</v>
      </c>
      <c r="M66" s="2">
        <f>H66*F66</f>
        <v>0</v>
      </c>
      <c r="N66" s="2">
        <f>M66-L66</f>
        <v>0</v>
      </c>
      <c r="O66" t="str">
        <f>IF(H66&lt;=0, "نفد من المخزن", IF(H66&lt;=I66, "قارب على النفاد", "متوفر بالمخزن"))</f>
        <v>نفد من المخزن</v>
      </c>
      <c r="P66">
        <v>0</v>
      </c>
      <c r="Q66" t="str">
        <v>SKU-0401</v>
      </c>
      <c r="R66" t="str">
        <v/>
      </c>
      <c r="S66" t="str">
        <v/>
      </c>
      <c r="T66" t="str">
        <v/>
      </c>
    </row>
    <row r="67">
      <c r="A67">
        <v>64</v>
      </c>
      <c r="B67" t="str">
        <v>لبان ترايدنت نعناع بدون سكر</v>
      </c>
      <c r="C67" t="str">
        <v>7622210201010</v>
      </c>
      <c r="D67" t="str">
        <v/>
      </c>
      <c r="E67" t="str">
        <v>قطعة</v>
      </c>
      <c r="F67">
        <v>12</v>
      </c>
      <c r="G67">
        <v>9</v>
      </c>
      <c r="H67">
        <v>0</v>
      </c>
      <c r="I67">
        <v>10</v>
      </c>
      <c r="J67">
        <f>F67-G67</f>
        <v>3</v>
      </c>
      <c r="K67" s="1">
        <f>IF(G67&gt;0, (F67-G67)/G67, 0)</f>
        <v>0.3333</v>
      </c>
      <c r="L67" s="2">
        <f>H67*G67</f>
        <v>0</v>
      </c>
      <c r="M67" s="2">
        <f>H67*F67</f>
        <v>0</v>
      </c>
      <c r="N67" s="2">
        <f>M67-L67</f>
        <v>0</v>
      </c>
      <c r="O67" t="str">
        <f>IF(H67&lt;=0, "نفد من المخزن", IF(H67&lt;=I67, "قارب على النفاد", "متوفر بالمخزن"))</f>
        <v>نفد من المخزن</v>
      </c>
      <c r="P67">
        <v>0</v>
      </c>
      <c r="Q67" t="str">
        <v>SKU-0402</v>
      </c>
      <c r="R67" t="str">
        <v/>
      </c>
      <c r="S67" t="str">
        <v/>
      </c>
      <c r="T67" t="str">
        <v/>
      </c>
    </row>
    <row r="68">
      <c r="A68">
        <v>65</v>
      </c>
      <c r="B68" t="str">
        <v>لبان ترايدنت فراولة بدون سكر</v>
      </c>
      <c r="C68" t="str">
        <v>7622210201027</v>
      </c>
      <c r="D68" t="str">
        <v/>
      </c>
      <c r="E68" t="str">
        <v>قطعة</v>
      </c>
      <c r="F68">
        <v>12</v>
      </c>
      <c r="G68">
        <v>9</v>
      </c>
      <c r="H68">
        <v>0</v>
      </c>
      <c r="I68">
        <v>8</v>
      </c>
      <c r="J68">
        <f>F68-G68</f>
        <v>3</v>
      </c>
      <c r="K68" s="1">
        <f>IF(G68&gt;0, (F68-G68)/G68, 0)</f>
        <v>0.3333</v>
      </c>
      <c r="L68" s="2">
        <f>H68*G68</f>
        <v>0</v>
      </c>
      <c r="M68" s="2">
        <f>H68*F68</f>
        <v>0</v>
      </c>
      <c r="N68" s="2">
        <f>M68-L68</f>
        <v>0</v>
      </c>
      <c r="O68" t="str">
        <f>IF(H68&lt;=0, "نفد من المخزن", IF(H68&lt;=I68, "قارب على النفاد", "متوفر بالمخزن"))</f>
        <v>نفد من المخزن</v>
      </c>
      <c r="P68">
        <v>0</v>
      </c>
      <c r="Q68" t="str">
        <v>SKU-0403</v>
      </c>
      <c r="R68" t="str">
        <v/>
      </c>
      <c r="S68" t="str">
        <v/>
      </c>
      <c r="T68" t="str">
        <v/>
      </c>
    </row>
    <row r="69">
      <c r="A69">
        <v>66</v>
      </c>
      <c r="B69" t="str">
        <v>لبان تشيكلتس نعناع مستكة</v>
      </c>
      <c r="C69" t="str">
        <v>7622210301017</v>
      </c>
      <c r="D69" t="str">
        <v/>
      </c>
      <c r="E69" t="str">
        <v>قطعة</v>
      </c>
      <c r="F69">
        <v>5</v>
      </c>
      <c r="G69">
        <v>3.5</v>
      </c>
      <c r="H69">
        <v>0</v>
      </c>
      <c r="I69">
        <v>15</v>
      </c>
      <c r="J69">
        <f>F69-G69</f>
        <v>1.5</v>
      </c>
      <c r="K69" s="1">
        <f>IF(G69&gt;0, (F69-G69)/G69, 0)</f>
        <v>0.4286</v>
      </c>
      <c r="L69" s="2">
        <f>H69*G69</f>
        <v>0</v>
      </c>
      <c r="M69" s="2">
        <f>H69*F69</f>
        <v>0</v>
      </c>
      <c r="N69" s="2">
        <f>M69-L69</f>
        <v>0</v>
      </c>
      <c r="O69" t="str">
        <f>IF(H69&lt;=0, "نفد من المخزن", IF(H69&lt;=I69, "قارب على النفاد", "متوفر بالمخزن"))</f>
        <v>نفد من المخزن</v>
      </c>
      <c r="P69">
        <v>0</v>
      </c>
      <c r="Q69" t="str">
        <v>SKU-0404</v>
      </c>
      <c r="R69" t="str">
        <v/>
      </c>
      <c r="S69" t="str">
        <v/>
      </c>
      <c r="T69" t="str">
        <v/>
      </c>
    </row>
    <row r="70">
      <c r="A70">
        <v>67</v>
      </c>
      <c r="B70" t="str">
        <v>تيك تاك نعناع باكت 18 جم</v>
      </c>
      <c r="C70" t="str">
        <v>8000500179895</v>
      </c>
      <c r="D70" t="str">
        <v/>
      </c>
      <c r="E70" t="str">
        <v>قطعة</v>
      </c>
      <c r="F70">
        <v>15</v>
      </c>
      <c r="G70">
        <v>11.5</v>
      </c>
      <c r="H70">
        <v>0</v>
      </c>
      <c r="I70">
        <v>8</v>
      </c>
      <c r="J70">
        <f>F70-G70</f>
        <v>3.5</v>
      </c>
      <c r="K70" s="1">
        <f>IF(G70&gt;0, (F70-G70)/G70, 0)</f>
        <v>0.3043</v>
      </c>
      <c r="L70" s="2">
        <f>H70*G70</f>
        <v>0</v>
      </c>
      <c r="M70" s="2">
        <f>H70*F70</f>
        <v>0</v>
      </c>
      <c r="N70" s="2">
        <f>M70-L70</f>
        <v>0</v>
      </c>
      <c r="O70" t="str">
        <f>IF(H70&lt;=0, "نفد من المخزن", IF(H70&lt;=I70, "قارب على النفاد", "متوفر بالمخزن"))</f>
        <v>نفد من المخزن</v>
      </c>
      <c r="P70">
        <v>0</v>
      </c>
      <c r="Q70" t="str">
        <v>SKU-0405</v>
      </c>
      <c r="R70" t="str">
        <v/>
      </c>
      <c r="S70" t="str">
        <v/>
      </c>
      <c r="T70" t="str">
        <v/>
      </c>
    </row>
    <row r="71">
      <c r="A71">
        <v>68</v>
      </c>
      <c r="B71" t="str">
        <v>تيك تاك برتقال باكت 18 جم</v>
      </c>
      <c r="C71" t="str">
        <v>8000500179901</v>
      </c>
      <c r="D71" t="str">
        <v/>
      </c>
      <c r="E71" t="str">
        <v>قطعة</v>
      </c>
      <c r="F71">
        <v>15</v>
      </c>
      <c r="G71">
        <v>11.5</v>
      </c>
      <c r="H71">
        <v>0</v>
      </c>
      <c r="I71">
        <v>8</v>
      </c>
      <c r="J71">
        <f>F71-G71</f>
        <v>3.5</v>
      </c>
      <c r="K71" s="1">
        <f>IF(G71&gt;0, (F71-G71)/G71, 0)</f>
        <v>0.3043</v>
      </c>
      <c r="L71" s="2">
        <f>H71*G71</f>
        <v>0</v>
      </c>
      <c r="M71" s="2">
        <f>H71*F71</f>
        <v>0</v>
      </c>
      <c r="N71" s="2">
        <f>M71-L71</f>
        <v>0</v>
      </c>
      <c r="O71" t="str">
        <f>IF(H71&lt;=0, "نفد من المخزن", IF(H71&lt;=I71, "قارب على النفاد", "متوفر بالمخزن"))</f>
        <v>نفد من المخزن</v>
      </c>
      <c r="P71">
        <v>0</v>
      </c>
      <c r="Q71" t="str">
        <v>SKU-0406</v>
      </c>
      <c r="R71" t="str">
        <v/>
      </c>
      <c r="S71" t="str">
        <v/>
      </c>
      <c r="T71" t="str">
        <v/>
      </c>
    </row>
    <row r="72">
      <c r="A72">
        <v>69</v>
      </c>
      <c r="B72" t="str">
        <v>هولز بونبون نعناع مثلج كيس</v>
      </c>
      <c r="C72" t="str">
        <v>7622210401014</v>
      </c>
      <c r="D72" t="str">
        <v/>
      </c>
      <c r="E72" t="str">
        <v>قطعة</v>
      </c>
      <c r="F72">
        <v>8</v>
      </c>
      <c r="G72">
        <v>5.8</v>
      </c>
      <c r="H72">
        <v>0</v>
      </c>
      <c r="I72">
        <v>10</v>
      </c>
      <c r="J72">
        <f>F72-G72</f>
        <v>2.2</v>
      </c>
      <c r="K72" s="1">
        <f>IF(G72&gt;0, (F72-G72)/G72, 0)</f>
        <v>0.3793</v>
      </c>
      <c r="L72" s="2">
        <f>H72*G72</f>
        <v>0</v>
      </c>
      <c r="M72" s="2">
        <f>H72*F72</f>
        <v>0</v>
      </c>
      <c r="N72" s="2">
        <f>M72-L72</f>
        <v>0</v>
      </c>
      <c r="O72" t="str">
        <f>IF(H72&lt;=0, "نفد من المخزن", IF(H72&lt;=I72, "قارب على النفاد", "متوفر بالمخزن"))</f>
        <v>نفد من المخزن</v>
      </c>
      <c r="P72">
        <v>0</v>
      </c>
      <c r="Q72" t="str">
        <v>SKU-0407</v>
      </c>
      <c r="R72" t="str">
        <v/>
      </c>
      <c r="S72" t="str">
        <v/>
      </c>
      <c r="T72" t="str">
        <v/>
      </c>
    </row>
    <row r="73">
      <c r="A73">
        <v>70</v>
      </c>
      <c r="B73" t="str">
        <v>مصاصة تشوبا تشوبس نكهات فواكه</v>
      </c>
      <c r="C73" t="str">
        <v>8410031910012</v>
      </c>
      <c r="D73" t="str">
        <v/>
      </c>
      <c r="E73" t="str">
        <v>قطعة</v>
      </c>
      <c r="F73">
        <v>6</v>
      </c>
      <c r="G73">
        <v>4.2</v>
      </c>
      <c r="H73">
        <v>0</v>
      </c>
      <c r="I73">
        <v>15</v>
      </c>
      <c r="J73">
        <f>F73-G73</f>
        <v>1.8</v>
      </c>
      <c r="K73" s="1">
        <f>IF(G73&gt;0, (F73-G73)/G73, 0)</f>
        <v>0.4286</v>
      </c>
      <c r="L73" s="2">
        <f>H73*G73</f>
        <v>0</v>
      </c>
      <c r="M73" s="2">
        <f>H73*F73</f>
        <v>0</v>
      </c>
      <c r="N73" s="2">
        <f>M73-L73</f>
        <v>0</v>
      </c>
      <c r="O73" t="str">
        <f>IF(H73&lt;=0, "نفد من المخزن", IF(H73&lt;=I73, "قارب على النفاد", "متوفر بالمخزن"))</f>
        <v>نفد من المخزن</v>
      </c>
      <c r="P73">
        <v>0</v>
      </c>
      <c r="Q73" t="str">
        <v>SKU-0408</v>
      </c>
      <c r="R73" t="str">
        <v/>
      </c>
      <c r="S73" t="str">
        <v/>
      </c>
      <c r="T73" t="str">
        <v/>
      </c>
    </row>
    <row r="74">
      <c r="A74" t="str">
        <v>الإجمالي</v>
      </c>
      <c r="B74" t="str">
        <v>إجمالي 70 صنف مسجل</v>
      </c>
      <c r="C74" t="str">
        <v/>
      </c>
      <c r="D74" t="str">
        <v/>
      </c>
      <c r="E74" t="str">
        <v/>
      </c>
      <c r="F74" s="2">
        <f>AVERAGE(F4:F73)</f>
      </c>
      <c r="G74" s="2">
        <f>AVERAGE(G4:G73)</f>
      </c>
      <c r="H74" s="3">
        <f>SUM(H4:H73)</f>
      </c>
      <c r="I74" t="str">
        <v/>
      </c>
      <c r="J74" s="2">
        <f>AVERAGE(J4:J73)</f>
      </c>
      <c r="K74" s="1">
        <f>IF(L74&gt;0, N74/L74, 0)</f>
      </c>
      <c r="L74" s="2">
        <f>SUM(L4:L73)</f>
      </c>
      <c r="M74" s="2">
        <f>SUM(M4:M73)</f>
      </c>
      <c r="N74" s="2">
        <f>SUM(N4:N73)</f>
      </c>
      <c r="O74" t="str">
        <v>محسوب بمعادلات إكسل</v>
      </c>
      <c r="P74" t="str">
        <v/>
      </c>
      <c r="Q74" t="str">
        <v/>
      </c>
      <c r="R74" t="str">
        <v/>
      </c>
      <c r="S74" t="str">
        <v/>
      </c>
      <c r="T74" t="str">
        <v/>
      </c>
    </row>
  </sheetData>
  <mergeCells count="2">
    <mergeCell ref="A1:T1"/>
    <mergeCell ref="A2:T2"/>
  </mergeCells>
  <ignoredErrors>
    <ignoredError numberStoredAsText="1" sqref="A1:T7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77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[منظفات وعناية منزلية]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مسحوق إريال أوتوماتيك لافندر 2.5 كجم</v>
      </c>
      <c r="C4" t="str">
        <v>6221155050014</v>
      </c>
      <c r="D4" t="str">
        <v/>
      </c>
      <c r="E4" t="str">
        <v>قطعة</v>
      </c>
      <c r="F4">
        <v>195</v>
      </c>
      <c r="G4">
        <v>165</v>
      </c>
      <c r="H4">
        <v>0</v>
      </c>
      <c r="I4">
        <v>5</v>
      </c>
      <c r="J4">
        <f>F4-G4</f>
        <v>30</v>
      </c>
      <c r="K4" s="1">
        <f>IF(G4&gt;0, (F4-G4)/G4, 0)</f>
        <v>0.1818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SKU-0409</v>
      </c>
      <c r="R4" t="str">
        <v/>
      </c>
      <c r="S4" t="str">
        <v/>
      </c>
      <c r="T4" t="str">
        <v/>
      </c>
    </row>
    <row r="5">
      <c r="A5">
        <v>2</v>
      </c>
      <c r="B5" t="str">
        <v>مسحوق إريال أوتوماتيك داوني 4 كجم</v>
      </c>
      <c r="C5" t="str">
        <v>6221155050021</v>
      </c>
      <c r="D5" t="str">
        <v/>
      </c>
      <c r="E5" t="str">
        <v>قطعة</v>
      </c>
      <c r="F5">
        <v>310</v>
      </c>
      <c r="G5">
        <v>265</v>
      </c>
      <c r="H5">
        <v>0</v>
      </c>
      <c r="I5">
        <v>4</v>
      </c>
      <c r="J5">
        <f>F5-G5</f>
        <v>45</v>
      </c>
      <c r="K5" s="1">
        <f>IF(G5&gt;0, (F5-G5)/G5, 0)</f>
        <v>0.1698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SKU-0410</v>
      </c>
      <c r="R5" t="str">
        <v/>
      </c>
      <c r="S5" t="str">
        <v/>
      </c>
      <c r="T5" t="str">
        <v/>
      </c>
    </row>
    <row r="6">
      <c r="A6">
        <v>3</v>
      </c>
      <c r="B6" t="str">
        <v>مسحوق تايد أوتوماتيك أصلي 2.5 كجم</v>
      </c>
      <c r="C6" t="str">
        <v>6221155060020</v>
      </c>
      <c r="D6" t="str">
        <v/>
      </c>
      <c r="E6" t="str">
        <v>قطعة</v>
      </c>
      <c r="F6">
        <v>175</v>
      </c>
      <c r="G6">
        <v>148</v>
      </c>
      <c r="H6">
        <v>0</v>
      </c>
      <c r="I6">
        <v>5</v>
      </c>
      <c r="J6">
        <f>F6-G6</f>
        <v>27</v>
      </c>
      <c r="K6" s="1">
        <f>IF(G6&gt;0, (F6-G6)/G6, 0)</f>
        <v>0.1824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SKU-0411</v>
      </c>
      <c r="R6" t="str">
        <v/>
      </c>
      <c r="S6" t="str">
        <v/>
      </c>
      <c r="T6" t="str">
        <v/>
      </c>
    </row>
    <row r="7">
      <c r="A7">
        <v>4</v>
      </c>
      <c r="B7" t="str">
        <v>مسحوق تايد يدوي كيس 500 جم</v>
      </c>
      <c r="C7" t="str">
        <v>6221155060013</v>
      </c>
      <c r="D7" t="str">
        <v/>
      </c>
      <c r="E7" t="str">
        <v>قطعة</v>
      </c>
      <c r="F7">
        <v>28</v>
      </c>
      <c r="G7">
        <v>22</v>
      </c>
      <c r="H7">
        <v>0</v>
      </c>
      <c r="I7">
        <v>8</v>
      </c>
      <c r="J7">
        <f>F7-G7</f>
        <v>6</v>
      </c>
      <c r="K7" s="1">
        <f>IF(G7&gt;0, (F7-G7)/G7, 0)</f>
        <v>0.2727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SKU-0412</v>
      </c>
      <c r="R7" t="str">
        <v/>
      </c>
      <c r="S7" t="str">
        <v/>
      </c>
      <c r="T7" t="str">
        <v/>
      </c>
    </row>
    <row r="8">
      <c r="A8">
        <v>5</v>
      </c>
      <c r="B8" t="str">
        <v>مسحوق برسيل أوتوماتيك لافندر 2.5 كجم</v>
      </c>
      <c r="C8" t="str">
        <v>6221122001018</v>
      </c>
      <c r="D8" t="str">
        <v/>
      </c>
      <c r="E8" t="str">
        <v>قطعة</v>
      </c>
      <c r="F8">
        <v>195</v>
      </c>
      <c r="G8">
        <v>165</v>
      </c>
      <c r="H8">
        <v>0</v>
      </c>
      <c r="I8">
        <v>5</v>
      </c>
      <c r="J8">
        <f>F8-G8</f>
        <v>30</v>
      </c>
      <c r="K8" s="1">
        <f>IF(G8&gt;0, (F8-G8)/G8, 0)</f>
        <v>0.1818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SKU-0413</v>
      </c>
      <c r="R8" t="str">
        <v/>
      </c>
      <c r="S8" t="str">
        <v/>
      </c>
      <c r="T8" t="str">
        <v/>
      </c>
    </row>
    <row r="9">
      <c r="A9">
        <v>6</v>
      </c>
      <c r="B9" t="str">
        <v>مسحوق برسيل أوتوماتيك لافندر 4 كجم</v>
      </c>
      <c r="C9" t="str">
        <v>6221122001025</v>
      </c>
      <c r="D9" t="str">
        <v/>
      </c>
      <c r="E9" t="str">
        <v>قطعة</v>
      </c>
      <c r="F9">
        <v>310</v>
      </c>
      <c r="G9">
        <v>265</v>
      </c>
      <c r="H9">
        <v>0</v>
      </c>
      <c r="I9">
        <v>4</v>
      </c>
      <c r="J9">
        <f>F9-G9</f>
        <v>45</v>
      </c>
      <c r="K9" s="1">
        <f>IF(G9&gt;0, (F9-G9)/G9, 0)</f>
        <v>0.1698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SKU-0414</v>
      </c>
      <c r="R9" t="str">
        <v/>
      </c>
      <c r="S9" t="str">
        <v/>
      </c>
      <c r="T9" t="str">
        <v/>
      </c>
    </row>
    <row r="10">
      <c r="A10">
        <v>7</v>
      </c>
      <c r="B10" t="str">
        <v>برسيل باور جيل منظف سائل للملابس 2.6 لتر</v>
      </c>
      <c r="C10" t="str">
        <v>6221122001032</v>
      </c>
      <c r="D10" t="str">
        <v/>
      </c>
      <c r="E10" t="str">
        <v>قطعة</v>
      </c>
      <c r="F10">
        <v>180</v>
      </c>
      <c r="G10">
        <v>150</v>
      </c>
      <c r="H10">
        <v>0</v>
      </c>
      <c r="I10">
        <v>4</v>
      </c>
      <c r="J10">
        <f>F10-G10</f>
        <v>30</v>
      </c>
      <c r="K10" s="1">
        <f>IF(G10&gt;0, (F10-G10)/G10, 0)</f>
        <v>0.2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SKU-0415</v>
      </c>
      <c r="R10" t="str">
        <v/>
      </c>
      <c r="S10" t="str">
        <v/>
      </c>
      <c r="T10" t="str">
        <v/>
      </c>
    </row>
    <row r="11">
      <c r="A11">
        <v>8</v>
      </c>
      <c r="B11" t="str">
        <v>مسحوق أوكسي أوتوماتيك نسيم الربيع 2.5 كجم</v>
      </c>
      <c r="C11" t="str">
        <v>6221144006019</v>
      </c>
      <c r="D11" t="str">
        <v/>
      </c>
      <c r="E11" t="str">
        <v>قطعة</v>
      </c>
      <c r="F11">
        <v>160</v>
      </c>
      <c r="G11">
        <v>135</v>
      </c>
      <c r="H11">
        <v>0</v>
      </c>
      <c r="I11">
        <v>5</v>
      </c>
      <c r="J11">
        <f>F11-G11</f>
        <v>25</v>
      </c>
      <c r="K11" s="1">
        <f>IF(G11&gt;0, (F11-G11)/G11, 0)</f>
        <v>0.1852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SKU-0416</v>
      </c>
      <c r="R11" t="str">
        <v/>
      </c>
      <c r="S11" t="str">
        <v/>
      </c>
      <c r="T11" t="str">
        <v/>
      </c>
    </row>
    <row r="12">
      <c r="A12">
        <v>9</v>
      </c>
      <c r="B12" t="str">
        <v>مسحوق أوكسي يدوي 1 كجم</v>
      </c>
      <c r="C12" t="str">
        <v>6221144006026</v>
      </c>
      <c r="D12" t="str">
        <v/>
      </c>
      <c r="E12" t="str">
        <v>قطعة</v>
      </c>
      <c r="F12">
        <v>45</v>
      </c>
      <c r="G12">
        <v>36</v>
      </c>
      <c r="H12">
        <v>0</v>
      </c>
      <c r="I12">
        <v>6</v>
      </c>
      <c r="J12">
        <f>F12-G12</f>
        <v>9</v>
      </c>
      <c r="K12" s="1">
        <f>IF(G12&gt;0, (F12-G12)/G12, 0)</f>
        <v>0.25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SKU-0417</v>
      </c>
      <c r="R12" t="str">
        <v/>
      </c>
      <c r="S12" t="str">
        <v/>
      </c>
      <c r="T12" t="str">
        <v/>
      </c>
    </row>
    <row r="13">
      <c r="A13">
        <v>10</v>
      </c>
      <c r="B13" t="str">
        <v>معطر ملابس داوني نسيم الوادي 1 لتر</v>
      </c>
      <c r="C13" t="str">
        <v>6221155050038</v>
      </c>
      <c r="D13" t="str">
        <v/>
      </c>
      <c r="E13" t="str">
        <v>قطعة</v>
      </c>
      <c r="F13">
        <v>85</v>
      </c>
      <c r="G13">
        <v>68</v>
      </c>
      <c r="H13">
        <v>0</v>
      </c>
      <c r="I13">
        <v>5</v>
      </c>
      <c r="J13">
        <f>F13-G13</f>
        <v>17</v>
      </c>
      <c r="K13" s="1">
        <f>IF(G13&gt;0, (F13-G13)/G13, 0)</f>
        <v>0.25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SKU-0418</v>
      </c>
      <c r="R13" t="str">
        <v/>
      </c>
      <c r="S13" t="str">
        <v/>
      </c>
      <c r="T13" t="str">
        <v/>
      </c>
    </row>
    <row r="14">
      <c r="A14">
        <v>11</v>
      </c>
      <c r="B14" t="str">
        <v>منعم أقمشة كومفورت أزرق 1 لتر</v>
      </c>
      <c r="C14" t="str">
        <v>6221155050045</v>
      </c>
      <c r="D14" t="str">
        <v/>
      </c>
      <c r="E14" t="str">
        <v>قطعة</v>
      </c>
      <c r="F14">
        <v>75</v>
      </c>
      <c r="G14">
        <v>60</v>
      </c>
      <c r="H14">
        <v>0</v>
      </c>
      <c r="I14">
        <v>5</v>
      </c>
      <c r="J14">
        <f>F14-G14</f>
        <v>15</v>
      </c>
      <c r="K14" s="1">
        <f>IF(G14&gt;0, (F14-G14)/G14, 0)</f>
        <v>0.25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SKU-0419</v>
      </c>
      <c r="R14" t="str">
        <v/>
      </c>
      <c r="S14" t="str">
        <v/>
      </c>
      <c r="T14" t="str">
        <v/>
      </c>
    </row>
    <row r="15">
      <c r="A15">
        <v>12</v>
      </c>
      <c r="B15" t="str">
        <v>صابون سائل بريل ليمون 1 لتر</v>
      </c>
      <c r="C15" t="str">
        <v>6221122002015</v>
      </c>
      <c r="D15" t="str">
        <v/>
      </c>
      <c r="E15" t="str">
        <v>قطعة</v>
      </c>
      <c r="F15">
        <v>42</v>
      </c>
      <c r="G15">
        <v>33.5</v>
      </c>
      <c r="H15">
        <v>0</v>
      </c>
      <c r="I15">
        <v>10</v>
      </c>
      <c r="J15">
        <f>F15-G15</f>
        <v>8.5</v>
      </c>
      <c r="K15" s="1">
        <f>IF(G15&gt;0, (F15-G15)/G15, 0)</f>
        <v>0.2537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SKU-0420</v>
      </c>
      <c r="R15" t="str">
        <v/>
      </c>
      <c r="S15" t="str">
        <v/>
      </c>
      <c r="T15" t="str">
        <v/>
      </c>
    </row>
    <row r="16">
      <c r="A16">
        <v>13</v>
      </c>
      <c r="B16" t="str">
        <v>صابون سائل بريل ليمون 2.5 لتر</v>
      </c>
      <c r="C16" t="str">
        <v>6221122002022</v>
      </c>
      <c r="D16" t="str">
        <v/>
      </c>
      <c r="E16" t="str">
        <v>قطعة</v>
      </c>
      <c r="F16">
        <v>95</v>
      </c>
      <c r="G16">
        <v>78</v>
      </c>
      <c r="H16">
        <v>0</v>
      </c>
      <c r="I16">
        <v>5</v>
      </c>
      <c r="J16">
        <f>F16-G16</f>
        <v>17</v>
      </c>
      <c r="K16" s="1">
        <f>IF(G16&gt;0, (F16-G16)/G16, 0)</f>
        <v>0.2179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SKU-0421</v>
      </c>
      <c r="R16" t="str">
        <v/>
      </c>
      <c r="S16" t="str">
        <v/>
      </c>
      <c r="T16" t="str">
        <v/>
      </c>
    </row>
    <row r="17">
      <c r="A17">
        <v>14</v>
      </c>
      <c r="B17" t="str">
        <v>صابون سائل فيري بلس ليمون 650 مل</v>
      </c>
      <c r="C17" t="str">
        <v>6221155070012</v>
      </c>
      <c r="D17" t="str">
        <v/>
      </c>
      <c r="E17" t="str">
        <v>قطعة</v>
      </c>
      <c r="F17">
        <v>48</v>
      </c>
      <c r="G17">
        <v>38.5</v>
      </c>
      <c r="H17">
        <v>0</v>
      </c>
      <c r="I17">
        <v>7</v>
      </c>
      <c r="J17">
        <f>F17-G17</f>
        <v>9.5</v>
      </c>
      <c r="K17" s="1">
        <f>IF(G17&gt;0, (F17-G17)/G17, 0)</f>
        <v>0.2468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SKU-0422</v>
      </c>
      <c r="R17" t="str">
        <v/>
      </c>
      <c r="S17" t="str">
        <v/>
      </c>
      <c r="T17" t="str">
        <v/>
      </c>
    </row>
    <row r="18">
      <c r="A18">
        <v>15</v>
      </c>
      <c r="B18" t="str">
        <v>صابون سائل فيري بلس ليمون 1 لتر</v>
      </c>
      <c r="C18" t="str">
        <v>6221155070029</v>
      </c>
      <c r="D18" t="str">
        <v/>
      </c>
      <c r="E18" t="str">
        <v>قطعة</v>
      </c>
      <c r="F18">
        <v>70</v>
      </c>
      <c r="G18">
        <v>56</v>
      </c>
      <c r="H18">
        <v>0</v>
      </c>
      <c r="I18">
        <v>6</v>
      </c>
      <c r="J18">
        <f>F18-G18</f>
        <v>14</v>
      </c>
      <c r="K18" s="1">
        <f>IF(G18&gt;0, (F18-G18)/G18, 0)</f>
        <v>0.25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SKU-0423</v>
      </c>
      <c r="R18" t="str">
        <v/>
      </c>
      <c r="S18" t="str">
        <v/>
      </c>
      <c r="T18" t="str">
        <v/>
      </c>
    </row>
    <row r="19">
      <c r="A19">
        <v>16</v>
      </c>
      <c r="B19" t="str">
        <v>صابون سائل فيبا ليمون جركن توفير 4 لتر</v>
      </c>
      <c r="C19" t="str">
        <v>6221144007016</v>
      </c>
      <c r="D19" t="str">
        <v/>
      </c>
      <c r="E19" t="str">
        <v>قطعة</v>
      </c>
      <c r="F19">
        <v>85</v>
      </c>
      <c r="G19">
        <v>68</v>
      </c>
      <c r="H19">
        <v>0</v>
      </c>
      <c r="I19">
        <v>5</v>
      </c>
      <c r="J19">
        <f>F19-G19</f>
        <v>17</v>
      </c>
      <c r="K19" s="1">
        <f>IF(G19&gt;0, (F19-G19)/G19, 0)</f>
        <v>0.25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SKU-0424</v>
      </c>
      <c r="R19" t="str">
        <v/>
      </c>
      <c r="S19" t="str">
        <v/>
      </c>
      <c r="T19" t="str">
        <v/>
      </c>
    </row>
    <row r="20">
      <c r="A20">
        <v>17</v>
      </c>
      <c r="B20" t="str">
        <v>أقراص غسالة أطباق فينش كوانتوم 30 قرص</v>
      </c>
      <c r="C20" t="str">
        <v>5000158069015</v>
      </c>
      <c r="D20" t="str">
        <v/>
      </c>
      <c r="E20" t="str">
        <v>قطعة</v>
      </c>
      <c r="F20">
        <v>260</v>
      </c>
      <c r="G20">
        <v>215</v>
      </c>
      <c r="H20">
        <v>0</v>
      </c>
      <c r="I20">
        <v>3</v>
      </c>
      <c r="J20">
        <f>F20-G20</f>
        <v>45</v>
      </c>
      <c r="K20" s="1">
        <f>IF(G20&gt;0, (F20-G20)/G20, 0)</f>
        <v>0.2093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SKU-0425</v>
      </c>
      <c r="R20" t="str">
        <v/>
      </c>
      <c r="S20" t="str">
        <v/>
      </c>
      <c r="T20" t="str">
        <v/>
      </c>
    </row>
    <row r="21">
      <c r="A21">
        <v>18</v>
      </c>
      <c r="B21" t="str">
        <v>كلوركس مبيض أبيض للملابس 950 مل</v>
      </c>
      <c r="C21" t="str">
        <v>6221099001011</v>
      </c>
      <c r="D21" t="str">
        <v/>
      </c>
      <c r="E21" t="str">
        <v>قطعة</v>
      </c>
      <c r="F21">
        <v>28</v>
      </c>
      <c r="G21">
        <v>21.5</v>
      </c>
      <c r="H21">
        <v>0</v>
      </c>
      <c r="I21">
        <v>8</v>
      </c>
      <c r="J21">
        <f>F21-G21</f>
        <v>6.5</v>
      </c>
      <c r="K21" s="1">
        <f>IF(G21&gt;0, (F21-G21)/G21, 0)</f>
        <v>0.3023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SKU-0426</v>
      </c>
      <c r="R21" t="str">
        <v/>
      </c>
      <c r="S21" t="str">
        <v/>
      </c>
      <c r="T21" t="str">
        <v/>
      </c>
    </row>
    <row r="22">
      <c r="A22">
        <v>19</v>
      </c>
      <c r="B22" t="str">
        <v>كلوركس أبيض للملابس جالون 3.78 لتر</v>
      </c>
      <c r="C22" t="str">
        <v>6221099001028</v>
      </c>
      <c r="D22" t="str">
        <v/>
      </c>
      <c r="E22" t="str">
        <v>قطعة</v>
      </c>
      <c r="F22">
        <v>85</v>
      </c>
      <c r="G22">
        <v>68</v>
      </c>
      <c r="H22">
        <v>0</v>
      </c>
      <c r="I22">
        <v>5</v>
      </c>
      <c r="J22">
        <f>F22-G22</f>
        <v>17</v>
      </c>
      <c r="K22" s="1">
        <f>IF(G22&gt;0, (F22-G22)/G22, 0)</f>
        <v>0.25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SKU-0427</v>
      </c>
      <c r="R22" t="str">
        <v/>
      </c>
      <c r="S22" t="str">
        <v/>
      </c>
      <c r="T22" t="str">
        <v/>
      </c>
    </row>
    <row r="23">
      <c r="A23">
        <v>20</v>
      </c>
      <c r="B23" t="str">
        <v>كلوركس ألوان للملابس 950 مل</v>
      </c>
      <c r="C23" t="str">
        <v>6221099002018</v>
      </c>
      <c r="D23" t="str">
        <v/>
      </c>
      <c r="E23" t="str">
        <v>قطعة</v>
      </c>
      <c r="F23">
        <v>35</v>
      </c>
      <c r="G23">
        <v>27.5</v>
      </c>
      <c r="H23">
        <v>0</v>
      </c>
      <c r="I23">
        <v>7</v>
      </c>
      <c r="J23">
        <f>F23-G23</f>
        <v>7.5</v>
      </c>
      <c r="K23" s="1">
        <f>IF(G23&gt;0, (F23-G23)/G23, 0)</f>
        <v>0.2727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SKU-0428</v>
      </c>
      <c r="R23" t="str">
        <v/>
      </c>
      <c r="S23" t="str">
        <v/>
      </c>
      <c r="T23" t="str">
        <v/>
      </c>
    </row>
    <row r="24">
      <c r="A24">
        <v>21</v>
      </c>
      <c r="B24" t="str">
        <v>كلوركس ألوان للملابس 3 لتر</v>
      </c>
      <c r="C24" t="str">
        <v>6221099002025</v>
      </c>
      <c r="D24" t="str">
        <v/>
      </c>
      <c r="E24" t="str">
        <v>قطعة</v>
      </c>
      <c r="F24">
        <v>95</v>
      </c>
      <c r="G24">
        <v>78</v>
      </c>
      <c r="H24">
        <v>0</v>
      </c>
      <c r="I24">
        <v>4</v>
      </c>
      <c r="J24">
        <f>F24-G24</f>
        <v>17</v>
      </c>
      <c r="K24" s="1">
        <f>IF(G24&gt;0, (F24-G24)/G24, 0)</f>
        <v>0.2179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SKU-0429</v>
      </c>
      <c r="R24" t="str">
        <v/>
      </c>
      <c r="S24" t="str">
        <v/>
      </c>
      <c r="T24" t="str">
        <v/>
      </c>
    </row>
    <row r="25">
      <c r="A25">
        <v>22</v>
      </c>
      <c r="B25" t="str">
        <v>ديتول مطهر سائل معقم 500 مل</v>
      </c>
      <c r="C25" t="str">
        <v>5000158068018</v>
      </c>
      <c r="D25" t="str">
        <v/>
      </c>
      <c r="E25" t="str">
        <v>قطعة</v>
      </c>
      <c r="F25">
        <v>95</v>
      </c>
      <c r="G25">
        <v>78</v>
      </c>
      <c r="H25">
        <v>0</v>
      </c>
      <c r="I25">
        <v>4</v>
      </c>
      <c r="J25">
        <f>F25-G25</f>
        <v>17</v>
      </c>
      <c r="K25" s="1">
        <f>IF(G25&gt;0, (F25-G25)/G25, 0)</f>
        <v>0.2179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SKU-0430</v>
      </c>
      <c r="R25" t="str">
        <v/>
      </c>
      <c r="S25" t="str">
        <v/>
      </c>
      <c r="T25" t="str">
        <v/>
      </c>
    </row>
    <row r="26">
      <c r="A26">
        <v>23</v>
      </c>
      <c r="B26" t="str">
        <v>ديتول مطهر سائل معقم 750 مل</v>
      </c>
      <c r="C26" t="str">
        <v>5000158068025</v>
      </c>
      <c r="D26" t="str">
        <v/>
      </c>
      <c r="E26" t="str">
        <v>قطعة</v>
      </c>
      <c r="F26">
        <v>135</v>
      </c>
      <c r="G26">
        <v>110</v>
      </c>
      <c r="H26">
        <v>0</v>
      </c>
      <c r="I26">
        <v>4</v>
      </c>
      <c r="J26">
        <f>F26-G26</f>
        <v>25</v>
      </c>
      <c r="K26" s="1">
        <f>IF(G26&gt;0, (F26-G26)/G26, 0)</f>
        <v>0.2273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SKU-0431</v>
      </c>
      <c r="R26" t="str">
        <v/>
      </c>
      <c r="S26" t="str">
        <v/>
      </c>
      <c r="T26" t="str">
        <v/>
      </c>
    </row>
    <row r="27">
      <c r="A27">
        <v>24</v>
      </c>
      <c r="B27" t="str">
        <v>جينرال منظف أرضيات باللافندر 700 مل</v>
      </c>
      <c r="C27" t="str">
        <v>6221122003012</v>
      </c>
      <c r="D27" t="str">
        <v/>
      </c>
      <c r="E27" t="str">
        <v>قطعة</v>
      </c>
      <c r="F27">
        <v>38</v>
      </c>
      <c r="G27">
        <v>29.5</v>
      </c>
      <c r="H27">
        <v>0</v>
      </c>
      <c r="I27">
        <v>6</v>
      </c>
      <c r="J27">
        <f>F27-G27</f>
        <v>8.5</v>
      </c>
      <c r="K27" s="1">
        <f>IF(G27&gt;0, (F27-G27)/G27, 0)</f>
        <v>0.2881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SKU-0432</v>
      </c>
      <c r="R27" t="str">
        <v/>
      </c>
      <c r="S27" t="str">
        <v/>
      </c>
      <c r="T27" t="str">
        <v/>
      </c>
    </row>
    <row r="28">
      <c r="A28">
        <v>25</v>
      </c>
      <c r="B28" t="str">
        <v>جينرال منظف أرضيات بالصنوبر 3 لتر</v>
      </c>
      <c r="C28" t="str">
        <v>6221122003029</v>
      </c>
      <c r="D28" t="str">
        <v/>
      </c>
      <c r="E28" t="str">
        <v>قطعة</v>
      </c>
      <c r="F28">
        <v>110</v>
      </c>
      <c r="G28">
        <v>88</v>
      </c>
      <c r="H28">
        <v>0</v>
      </c>
      <c r="I28">
        <v>4</v>
      </c>
      <c r="J28">
        <f>F28-G28</f>
        <v>22</v>
      </c>
      <c r="K28" s="1">
        <f>IF(G28&gt;0, (F28-G28)/G28, 0)</f>
        <v>0.25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SKU-0433</v>
      </c>
      <c r="R28" t="str">
        <v/>
      </c>
      <c r="S28" t="str">
        <v/>
      </c>
      <c r="T28" t="str">
        <v/>
      </c>
    </row>
    <row r="29">
      <c r="A29">
        <v>26</v>
      </c>
      <c r="B29" t="str">
        <v>فلاش ملمع ومزيل تكلسات التواليت 500 مل</v>
      </c>
      <c r="C29" t="str">
        <v>6221099003015</v>
      </c>
      <c r="D29" t="str">
        <v/>
      </c>
      <c r="E29" t="str">
        <v>قطعة</v>
      </c>
      <c r="F29">
        <v>25</v>
      </c>
      <c r="G29">
        <v>18</v>
      </c>
      <c r="H29">
        <v>0</v>
      </c>
      <c r="I29">
        <v>6</v>
      </c>
      <c r="J29">
        <f>F29-G29</f>
        <v>7</v>
      </c>
      <c r="K29" s="1">
        <f>IF(G29&gt;0, (F29-G29)/G29, 0)</f>
        <v>0.3889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SKU-0434</v>
      </c>
      <c r="R29" t="str">
        <v/>
      </c>
      <c r="S29" t="str">
        <v/>
      </c>
      <c r="T29" t="str">
        <v/>
      </c>
    </row>
    <row r="30">
      <c r="A30">
        <v>27</v>
      </c>
      <c r="B30" t="str">
        <v>هاربيك منظف حمام قوي باور بلس 450 مل</v>
      </c>
      <c r="C30" t="str">
        <v>5000158070011</v>
      </c>
      <c r="D30" t="str">
        <v/>
      </c>
      <c r="E30" t="str">
        <v>قطعة</v>
      </c>
      <c r="F30">
        <v>55</v>
      </c>
      <c r="G30">
        <v>42</v>
      </c>
      <c r="H30">
        <v>0</v>
      </c>
      <c r="I30">
        <v>5</v>
      </c>
      <c r="J30">
        <f>F30-G30</f>
        <v>13</v>
      </c>
      <c r="K30" s="1">
        <f>IF(G30&gt;0, (F30-G30)/G30, 0)</f>
        <v>0.3095</v>
      </c>
      <c r="L30" s="2">
        <f>H30*G30</f>
        <v>0</v>
      </c>
      <c r="M30" s="2">
        <f>H30*F30</f>
        <v>0</v>
      </c>
      <c r="N30" s="2">
        <f>M30-L30</f>
        <v>0</v>
      </c>
      <c r="O30" t="str">
        <f>IF(H30&lt;=0, "نفد من المخزن", IF(H30&lt;=I30, "قارب على النفاد", "متوفر بالمخزن"))</f>
        <v>نفد من المخزن</v>
      </c>
      <c r="P30">
        <v>0</v>
      </c>
      <c r="Q30" t="str">
        <v>SKU-0435</v>
      </c>
      <c r="R30" t="str">
        <v/>
      </c>
      <c r="S30" t="str">
        <v/>
      </c>
      <c r="T30" t="str">
        <v/>
      </c>
    </row>
    <row r="31">
      <c r="A31">
        <v>28</v>
      </c>
      <c r="B31" t="str">
        <v>وندكس ملمع زجاج بخاخ 500 مل</v>
      </c>
      <c r="C31" t="str">
        <v>6221155080028</v>
      </c>
      <c r="D31" t="str">
        <v/>
      </c>
      <c r="E31" t="str">
        <v>قطعة</v>
      </c>
      <c r="F31">
        <v>35</v>
      </c>
      <c r="G31">
        <v>27</v>
      </c>
      <c r="H31">
        <v>0</v>
      </c>
      <c r="I31">
        <v>6</v>
      </c>
      <c r="J31">
        <f>F31-G31</f>
        <v>8</v>
      </c>
      <c r="K31" s="1">
        <f>IF(G31&gt;0, (F31-G31)/G31, 0)</f>
        <v>0.2963</v>
      </c>
      <c r="L31" s="2">
        <f>H31*G31</f>
        <v>0</v>
      </c>
      <c r="M31" s="2">
        <f>H31*F31</f>
        <v>0</v>
      </c>
      <c r="N31" s="2">
        <f>M31-L31</f>
        <v>0</v>
      </c>
      <c r="O31" t="str">
        <f>IF(H31&lt;=0, "نفد من المخزن", IF(H31&lt;=I31, "قارب على النفاد", "متوفر بالمخزن"))</f>
        <v>نفد من المخزن</v>
      </c>
      <c r="P31">
        <v>0</v>
      </c>
      <c r="Q31" t="str">
        <v>SKU-0436</v>
      </c>
      <c r="R31" t="str">
        <v/>
      </c>
      <c r="S31" t="str">
        <v/>
      </c>
      <c r="T31" t="str">
        <v/>
      </c>
    </row>
    <row r="32">
      <c r="A32">
        <v>29</v>
      </c>
      <c r="B32" t="str">
        <v>ماكسيل ماجيك مزيل دهون الشفاط والبوتاجاز 500 مل</v>
      </c>
      <c r="C32" t="str">
        <v>6221099004012</v>
      </c>
      <c r="D32" t="str">
        <v/>
      </c>
      <c r="E32" t="str">
        <v>قطعة</v>
      </c>
      <c r="F32">
        <v>45</v>
      </c>
      <c r="G32">
        <v>34</v>
      </c>
      <c r="H32">
        <v>0</v>
      </c>
      <c r="I32">
        <v>5</v>
      </c>
      <c r="J32">
        <f>F32-G32</f>
        <v>11</v>
      </c>
      <c r="K32" s="1">
        <f>IF(G32&gt;0, (F32-G32)/G32, 0)</f>
        <v>0.3235</v>
      </c>
      <c r="L32" s="2">
        <f>H32*G32</f>
        <v>0</v>
      </c>
      <c r="M32" s="2">
        <f>H32*F32</f>
        <v>0</v>
      </c>
      <c r="N32" s="2">
        <f>M32-L32</f>
        <v>0</v>
      </c>
      <c r="O32" t="str">
        <f>IF(H32&lt;=0, "نفد من المخزن", IF(H32&lt;=I32, "قارب على النفاد", "متوفر بالمخزن"))</f>
        <v>نفد من المخزن</v>
      </c>
      <c r="P32">
        <v>0</v>
      </c>
      <c r="Q32" t="str">
        <v>SKU-0437</v>
      </c>
      <c r="R32" t="str">
        <v/>
      </c>
      <c r="S32" t="str">
        <v/>
      </c>
      <c r="T32" t="str">
        <v/>
      </c>
    </row>
    <row r="33">
      <c r="A33">
        <v>30</v>
      </c>
      <c r="B33" t="str">
        <v>بايجون مبيد حشري للصراصير والنمل بخاخ 400 مل</v>
      </c>
      <c r="C33" t="str">
        <v>6221155090072</v>
      </c>
      <c r="D33" t="str">
        <v/>
      </c>
      <c r="E33" t="str">
        <v>قطعة</v>
      </c>
      <c r="F33">
        <v>65</v>
      </c>
      <c r="G33">
        <v>50</v>
      </c>
      <c r="H33">
        <v>0</v>
      </c>
      <c r="I33">
        <v>5</v>
      </c>
      <c r="J33">
        <f>F33-G33</f>
        <v>15</v>
      </c>
      <c r="K33" s="1">
        <f>IF(G33&gt;0, (F33-G33)/G33, 0)</f>
        <v>0.3</v>
      </c>
      <c r="L33" s="2">
        <f>H33*G33</f>
        <v>0</v>
      </c>
      <c r="M33" s="2">
        <f>H33*F33</f>
        <v>0</v>
      </c>
      <c r="N33" s="2">
        <f>M33-L33</f>
        <v>0</v>
      </c>
      <c r="O33" t="str">
        <f>IF(H33&lt;=0, "نفد من المخزن", IF(H33&lt;=I33, "قارب على النفاد", "متوفر بالمخزن"))</f>
        <v>نفد من المخزن</v>
      </c>
      <c r="P33">
        <v>0</v>
      </c>
      <c r="Q33" t="str">
        <v>SKU-0438</v>
      </c>
      <c r="R33" t="str">
        <v/>
      </c>
      <c r="S33" t="str">
        <v/>
      </c>
      <c r="T33" t="str">
        <v/>
      </c>
    </row>
    <row r="34">
      <c r="A34">
        <v>31</v>
      </c>
      <c r="B34" t="str">
        <v>ريد طارد للناموس والباعوض بخاخ 400 مل</v>
      </c>
      <c r="C34" t="str">
        <v>6221155090089</v>
      </c>
      <c r="D34" t="str">
        <v/>
      </c>
      <c r="E34" t="str">
        <v>قطعة</v>
      </c>
      <c r="F34">
        <v>65</v>
      </c>
      <c r="G34">
        <v>50</v>
      </c>
      <c r="H34">
        <v>0</v>
      </c>
      <c r="I34">
        <v>5</v>
      </c>
      <c r="J34">
        <f>F34-G34</f>
        <v>15</v>
      </c>
      <c r="K34" s="1">
        <f>IF(G34&gt;0, (F34-G34)/G34, 0)</f>
        <v>0.3</v>
      </c>
      <c r="L34" s="2">
        <f>H34*G34</f>
        <v>0</v>
      </c>
      <c r="M34" s="2">
        <f>H34*F34</f>
        <v>0</v>
      </c>
      <c r="N34" s="2">
        <f>M34-L34</f>
        <v>0</v>
      </c>
      <c r="O34" t="str">
        <f>IF(H34&lt;=0, "نفد من المخزن", IF(H34&lt;=I34, "قارب على النفاد", "متوفر بالمخزن"))</f>
        <v>نفد من المخزن</v>
      </c>
      <c r="P34">
        <v>0</v>
      </c>
      <c r="Q34" t="str">
        <v>SKU-0439</v>
      </c>
      <c r="R34" t="str">
        <v/>
      </c>
      <c r="S34" t="str">
        <v/>
      </c>
      <c r="T34" t="str">
        <v/>
      </c>
    </row>
    <row r="35">
      <c r="A35">
        <v>32</v>
      </c>
      <c r="B35" t="str">
        <v>معطر جو فريدال فواح نسيم الربيع بخاخ 460 مل</v>
      </c>
      <c r="C35" t="str">
        <v>6221144008013</v>
      </c>
      <c r="D35" t="str">
        <v/>
      </c>
      <c r="E35" t="str">
        <v>قطعة</v>
      </c>
      <c r="F35">
        <v>45</v>
      </c>
      <c r="G35">
        <v>34</v>
      </c>
      <c r="H35">
        <v>0</v>
      </c>
      <c r="I35">
        <v>5</v>
      </c>
      <c r="J35">
        <f>F35-G35</f>
        <v>11</v>
      </c>
      <c r="K35" s="1">
        <f>IF(G35&gt;0, (F35-G35)/G35, 0)</f>
        <v>0.3235</v>
      </c>
      <c r="L35" s="2">
        <f>H35*G35</f>
        <v>0</v>
      </c>
      <c r="M35" s="2">
        <f>H35*F35</f>
        <v>0</v>
      </c>
      <c r="N35" s="2">
        <f>M35-L35</f>
        <v>0</v>
      </c>
      <c r="O35" t="str">
        <f>IF(H35&lt;=0, "نفد من المخزن", IF(H35&lt;=I35, "قارب على النفاد", "متوفر بالمخزن"))</f>
        <v>نفد من المخزن</v>
      </c>
      <c r="P35">
        <v>0</v>
      </c>
      <c r="Q35" t="str">
        <v>SKU-0440</v>
      </c>
      <c r="R35" t="str">
        <v/>
      </c>
      <c r="S35" t="str">
        <v/>
      </c>
      <c r="T35" t="str">
        <v/>
      </c>
    </row>
    <row r="36">
      <c r="A36">
        <v>33</v>
      </c>
      <c r="B36" t="str">
        <v>معطر جو فريدال فواح خوخ بخاخ 460 مل</v>
      </c>
      <c r="C36" t="str">
        <v>6221144008020</v>
      </c>
      <c r="D36" t="str">
        <v/>
      </c>
      <c r="E36" t="str">
        <v>قطعة</v>
      </c>
      <c r="F36">
        <v>45</v>
      </c>
      <c r="G36">
        <v>34</v>
      </c>
      <c r="H36">
        <v>0</v>
      </c>
      <c r="I36">
        <v>5</v>
      </c>
      <c r="J36">
        <f>F36-G36</f>
        <v>11</v>
      </c>
      <c r="K36" s="1">
        <f>IF(G36&gt;0, (F36-G36)/G36, 0)</f>
        <v>0.3235</v>
      </c>
      <c r="L36" s="2">
        <f>H36*G36</f>
        <v>0</v>
      </c>
      <c r="M36" s="2">
        <f>H36*F36</f>
        <v>0</v>
      </c>
      <c r="N36" s="2">
        <f>M36-L36</f>
        <v>0</v>
      </c>
      <c r="O36" t="str">
        <f>IF(H36&lt;=0, "نفد من المخزن", IF(H36&lt;=I36, "قارب على النفاد", "متوفر بالمخزن"))</f>
        <v>نفد من المخزن</v>
      </c>
      <c r="P36">
        <v>0</v>
      </c>
      <c r="Q36" t="str">
        <v>SKU-0441</v>
      </c>
      <c r="R36" t="str">
        <v/>
      </c>
      <c r="S36" t="str">
        <v/>
      </c>
      <c r="T36" t="str">
        <v/>
      </c>
    </row>
    <row r="37">
      <c r="A37">
        <v>34</v>
      </c>
      <c r="B37" t="str">
        <v>مناديل جيب زينة 3 طبقات باكت</v>
      </c>
      <c r="C37" t="str">
        <v>6221144001010</v>
      </c>
      <c r="D37" t="str">
        <v/>
      </c>
      <c r="E37" t="str">
        <v>قطعة</v>
      </c>
      <c r="F37">
        <v>5</v>
      </c>
      <c r="G37">
        <v>3.3</v>
      </c>
      <c r="H37">
        <v>0</v>
      </c>
      <c r="I37">
        <v>20</v>
      </c>
      <c r="J37">
        <f>F37-G37</f>
        <v>1.7</v>
      </c>
      <c r="K37" s="1">
        <f>IF(G37&gt;0, (F37-G37)/G37, 0)</f>
        <v>0.5152</v>
      </c>
      <c r="L37" s="2">
        <f>H37*G37</f>
        <v>0</v>
      </c>
      <c r="M37" s="2">
        <f>H37*F37</f>
        <v>0</v>
      </c>
      <c r="N37" s="2">
        <f>M37-L37</f>
        <v>0</v>
      </c>
      <c r="O37" t="str">
        <f>IF(H37&lt;=0, "نفد من المخزن", IF(H37&lt;=I37, "قارب على النفاد", "متوفر بالمخزن"))</f>
        <v>نفد من المخزن</v>
      </c>
      <c r="P37">
        <v>0</v>
      </c>
      <c r="Q37" t="str">
        <v>SKU-0442</v>
      </c>
      <c r="R37" t="str">
        <v/>
      </c>
      <c r="S37" t="str">
        <v/>
      </c>
      <c r="T37" t="str">
        <v/>
      </c>
    </row>
    <row r="38">
      <c r="A38">
        <v>35</v>
      </c>
      <c r="B38" t="str">
        <v>مناديل سحب زينة كلاسيك 550 منديل باكت 3 علب</v>
      </c>
      <c r="C38" t="str">
        <v>6221144001027</v>
      </c>
      <c r="D38" t="str">
        <v/>
      </c>
      <c r="E38" t="str">
        <v>قطعة</v>
      </c>
      <c r="F38">
        <v>85</v>
      </c>
      <c r="G38">
        <v>68</v>
      </c>
      <c r="H38">
        <v>0</v>
      </c>
      <c r="I38">
        <v>6</v>
      </c>
      <c r="J38">
        <f>F38-G38</f>
        <v>17</v>
      </c>
      <c r="K38" s="1">
        <f>IF(G38&gt;0, (F38-G38)/G38, 0)</f>
        <v>0.25</v>
      </c>
      <c r="L38" s="2">
        <f>H38*G38</f>
        <v>0</v>
      </c>
      <c r="M38" s="2">
        <f>H38*F38</f>
        <v>0</v>
      </c>
      <c r="N38" s="2">
        <f>M38-L38</f>
        <v>0</v>
      </c>
      <c r="O38" t="str">
        <f>IF(H38&lt;=0, "نفد من المخزن", IF(H38&lt;=I38, "قارب على النفاد", "متوفر بالمخزن"))</f>
        <v>نفد من المخزن</v>
      </c>
      <c r="P38">
        <v>0</v>
      </c>
      <c r="Q38" t="str">
        <v>SKU-0443</v>
      </c>
      <c r="R38" t="str">
        <v/>
      </c>
      <c r="S38" t="str">
        <v/>
      </c>
      <c r="T38" t="str">
        <v/>
      </c>
    </row>
    <row r="39">
      <c r="A39">
        <v>36</v>
      </c>
      <c r="B39" t="str">
        <v>مناديل سحب فاميليا 500 منديل</v>
      </c>
      <c r="C39" t="str">
        <v>6221144001034</v>
      </c>
      <c r="D39" t="str">
        <v/>
      </c>
      <c r="E39" t="str">
        <v>قطعة</v>
      </c>
      <c r="F39">
        <v>30</v>
      </c>
      <c r="G39">
        <v>23</v>
      </c>
      <c r="H39">
        <v>0</v>
      </c>
      <c r="I39">
        <v>8</v>
      </c>
      <c r="J39">
        <f>F39-G39</f>
        <v>7</v>
      </c>
      <c r="K39" s="1">
        <f>IF(G39&gt;0, (F39-G39)/G39, 0)</f>
        <v>0.3043</v>
      </c>
      <c r="L39" s="2">
        <f>H39*G39</f>
        <v>0</v>
      </c>
      <c r="M39" s="2">
        <f>H39*F39</f>
        <v>0</v>
      </c>
      <c r="N39" s="2">
        <f>M39-L39</f>
        <v>0</v>
      </c>
      <c r="O39" t="str">
        <f>IF(H39&lt;=0, "نفد من المخزن", IF(H39&lt;=I39, "قارب على النفاد", "متوفر بالمخزن"))</f>
        <v>نفد من المخزن</v>
      </c>
      <c r="P39">
        <v>0</v>
      </c>
      <c r="Q39" t="str">
        <v>SKU-0444</v>
      </c>
      <c r="R39" t="str">
        <v/>
      </c>
      <c r="S39" t="str">
        <v/>
      </c>
      <c r="T39" t="str">
        <v/>
      </c>
    </row>
    <row r="40">
      <c r="A40">
        <v>37</v>
      </c>
      <c r="B40" t="str">
        <v>مناديل مطبخ فاميليا رول مضغوط</v>
      </c>
      <c r="C40" t="str">
        <v>6221144002017</v>
      </c>
      <c r="D40" t="str">
        <v/>
      </c>
      <c r="E40" t="str">
        <v>قطعة</v>
      </c>
      <c r="F40">
        <v>42</v>
      </c>
      <c r="G40">
        <v>32</v>
      </c>
      <c r="H40">
        <v>0</v>
      </c>
      <c r="I40">
        <v>6</v>
      </c>
      <c r="J40">
        <f>F40-G40</f>
        <v>10</v>
      </c>
      <c r="K40" s="1">
        <f>IF(G40&gt;0, (F40-G40)/G40, 0)</f>
        <v>0.3125</v>
      </c>
      <c r="L40" s="2">
        <f>H40*G40</f>
        <v>0</v>
      </c>
      <c r="M40" s="2">
        <f>H40*F40</f>
        <v>0</v>
      </c>
      <c r="N40" s="2">
        <f>M40-L40</f>
        <v>0</v>
      </c>
      <c r="O40" t="str">
        <f>IF(H40&lt;=0, "نفد من المخزن", IF(H40&lt;=I40, "قارب على النفاد", "متوفر بالمخزن"))</f>
        <v>نفد من المخزن</v>
      </c>
      <c r="P40">
        <v>0</v>
      </c>
      <c r="Q40" t="str">
        <v>SKU-0445</v>
      </c>
      <c r="R40" t="str">
        <v/>
      </c>
      <c r="S40" t="str">
        <v/>
      </c>
      <c r="T40" t="str">
        <v/>
      </c>
    </row>
    <row r="41">
      <c r="A41">
        <v>38</v>
      </c>
      <c r="B41" t="str">
        <v>مناديل تواليت زينة رول 2 قطعة</v>
      </c>
      <c r="C41" t="str">
        <v>6221144003014</v>
      </c>
      <c r="D41" t="str">
        <v/>
      </c>
      <c r="E41" t="str">
        <v>قطعة</v>
      </c>
      <c r="F41">
        <v>28</v>
      </c>
      <c r="G41">
        <v>21</v>
      </c>
      <c r="H41">
        <v>0</v>
      </c>
      <c r="I41">
        <v>7</v>
      </c>
      <c r="J41">
        <f>F41-G41</f>
        <v>7</v>
      </c>
      <c r="K41" s="1">
        <f>IF(G41&gt;0, (F41-G41)/G41, 0)</f>
        <v>0.3333</v>
      </c>
      <c r="L41" s="2">
        <f>H41*G41</f>
        <v>0</v>
      </c>
      <c r="M41" s="2">
        <f>H41*F41</f>
        <v>0</v>
      </c>
      <c r="N41" s="2">
        <f>M41-L41</f>
        <v>0</v>
      </c>
      <c r="O41" t="str">
        <f>IF(H41&lt;=0, "نفد من المخزن", IF(H41&lt;=I41, "قارب على النفاد", "متوفر بالمخزن"))</f>
        <v>نفد من المخزن</v>
      </c>
      <c r="P41">
        <v>0</v>
      </c>
      <c r="Q41" t="str">
        <v>SKU-0446</v>
      </c>
      <c r="R41" t="str">
        <v/>
      </c>
      <c r="S41" t="str">
        <v/>
      </c>
      <c r="T41" t="str">
        <v/>
      </c>
    </row>
    <row r="42">
      <c r="A42">
        <v>39</v>
      </c>
      <c r="B42" t="str">
        <v>مناديل تواليت فاميليا 6 رولات مضغوطة</v>
      </c>
      <c r="C42" t="str">
        <v>6221144003021</v>
      </c>
      <c r="D42" t="str">
        <v/>
      </c>
      <c r="E42" t="str">
        <v>قطعة</v>
      </c>
      <c r="F42">
        <v>65</v>
      </c>
      <c r="G42">
        <v>51</v>
      </c>
      <c r="H42">
        <v>0</v>
      </c>
      <c r="I42">
        <v>5</v>
      </c>
      <c r="J42">
        <f>F42-G42</f>
        <v>14</v>
      </c>
      <c r="K42" s="1">
        <f>IF(G42&gt;0, (F42-G42)/G42, 0)</f>
        <v>0.2745</v>
      </c>
      <c r="L42" s="2">
        <f>H42*G42</f>
        <v>0</v>
      </c>
      <c r="M42" s="2">
        <f>H42*F42</f>
        <v>0</v>
      </c>
      <c r="N42" s="2">
        <f>M42-L42</f>
        <v>0</v>
      </c>
      <c r="O42" t="str">
        <f>IF(H42&lt;=0, "نفد من المخزن", IF(H42&lt;=I42, "قارب على النفاد", "متوفر بالمخزن"))</f>
        <v>نفد من المخزن</v>
      </c>
      <c r="P42">
        <v>0</v>
      </c>
      <c r="Q42" t="str">
        <v>SKU-0447</v>
      </c>
      <c r="R42" t="str">
        <v/>
      </c>
      <c r="S42" t="str">
        <v/>
      </c>
      <c r="T42" t="str">
        <v/>
      </c>
    </row>
    <row r="43">
      <c r="A43">
        <v>40</v>
      </c>
      <c r="B43" t="str">
        <v>فوط صحية أولويز ماكسي أجنحة 16 فوطة</v>
      </c>
      <c r="C43" t="str">
        <v>6221155140012</v>
      </c>
      <c r="D43" t="str">
        <v/>
      </c>
      <c r="E43" t="str">
        <v>قطعة</v>
      </c>
      <c r="F43">
        <v>45</v>
      </c>
      <c r="G43">
        <v>35</v>
      </c>
      <c r="H43">
        <v>0</v>
      </c>
      <c r="I43">
        <v>8</v>
      </c>
      <c r="J43">
        <f>F43-G43</f>
        <v>10</v>
      </c>
      <c r="K43" s="1">
        <f>IF(G43&gt;0, (F43-G43)/G43, 0)</f>
        <v>0.2857</v>
      </c>
      <c r="L43" s="2">
        <f>H43*G43</f>
        <v>0</v>
      </c>
      <c r="M43" s="2">
        <f>H43*F43</f>
        <v>0</v>
      </c>
      <c r="N43" s="2">
        <f>M43-L43</f>
        <v>0</v>
      </c>
      <c r="O43" t="str">
        <f>IF(H43&lt;=0, "نفد من المخزن", IF(H43&lt;=I43, "قارب على النفاد", "متوفر بالمخزن"))</f>
        <v>نفد من المخزن</v>
      </c>
      <c r="P43">
        <v>0</v>
      </c>
      <c r="Q43" t="str">
        <v>SKU-0448</v>
      </c>
      <c r="R43" t="str">
        <v/>
      </c>
      <c r="S43" t="str">
        <v/>
      </c>
      <c r="T43" t="str">
        <v/>
      </c>
    </row>
    <row r="44">
      <c r="A44">
        <v>41</v>
      </c>
      <c r="B44" t="str">
        <v>فوط صحية أولويز الترا رفيعة 14 فوطة</v>
      </c>
      <c r="C44" t="str">
        <v>6221155140029</v>
      </c>
      <c r="D44" t="str">
        <v/>
      </c>
      <c r="E44" t="str">
        <v>قطعة</v>
      </c>
      <c r="F44">
        <v>50</v>
      </c>
      <c r="G44">
        <v>39</v>
      </c>
      <c r="H44">
        <v>0</v>
      </c>
      <c r="I44">
        <v>6</v>
      </c>
      <c r="J44">
        <f>F44-G44</f>
        <v>11</v>
      </c>
      <c r="K44" s="1">
        <f>IF(G44&gt;0, (F44-G44)/G44, 0)</f>
        <v>0.2821</v>
      </c>
      <c r="L44" s="2">
        <f>H44*G44</f>
        <v>0</v>
      </c>
      <c r="M44" s="2">
        <f>H44*F44</f>
        <v>0</v>
      </c>
      <c r="N44" s="2">
        <f>M44-L44</f>
        <v>0</v>
      </c>
      <c r="O44" t="str">
        <f>IF(H44&lt;=0, "نفد من المخزن", IF(H44&lt;=I44, "قارب على النفاد", "متوفر بالمخزن"))</f>
        <v>نفد من المخزن</v>
      </c>
      <c r="P44">
        <v>0</v>
      </c>
      <c r="Q44" t="str">
        <v>SKU-0449</v>
      </c>
      <c r="R44" t="str">
        <v/>
      </c>
      <c r="S44" t="str">
        <v/>
      </c>
      <c r="T44" t="str">
        <v/>
      </c>
    </row>
    <row r="45">
      <c r="A45">
        <v>42</v>
      </c>
      <c r="B45" t="str">
        <v>حفاضات بامبرز كلوت مقاس 3 عبوة وسط</v>
      </c>
      <c r="C45" t="str">
        <v>6221155150011</v>
      </c>
      <c r="D45" t="str">
        <v/>
      </c>
      <c r="E45" t="str">
        <v>قطعة</v>
      </c>
      <c r="F45">
        <v>240</v>
      </c>
      <c r="G45">
        <v>200</v>
      </c>
      <c r="H45">
        <v>0</v>
      </c>
      <c r="I45">
        <v>3</v>
      </c>
      <c r="J45">
        <f>F45-G45</f>
        <v>40</v>
      </c>
      <c r="K45" s="1">
        <f>IF(G45&gt;0, (F45-G45)/G45, 0)</f>
        <v>0.2</v>
      </c>
      <c r="L45" s="2">
        <f>H45*G45</f>
        <v>0</v>
      </c>
      <c r="M45" s="2">
        <f>H45*F45</f>
        <v>0</v>
      </c>
      <c r="N45" s="2">
        <f>M45-L45</f>
        <v>0</v>
      </c>
      <c r="O45" t="str">
        <f>IF(H45&lt;=0, "نفد من المخزن", IF(H45&lt;=I45, "قارب على النفاد", "متوفر بالمخزن"))</f>
        <v>نفد من المخزن</v>
      </c>
      <c r="P45">
        <v>0</v>
      </c>
      <c r="Q45" t="str">
        <v>SKU-0450</v>
      </c>
      <c r="R45" t="str">
        <v/>
      </c>
      <c r="S45" t="str">
        <v/>
      </c>
      <c r="T45" t="str">
        <v/>
      </c>
    </row>
    <row r="46">
      <c r="A46">
        <v>43</v>
      </c>
      <c r="B46" t="str">
        <v>حفاضات بامبرز كلوت مقاس 4 عبوة وسط</v>
      </c>
      <c r="C46" t="str">
        <v>6221155150028</v>
      </c>
      <c r="D46" t="str">
        <v/>
      </c>
      <c r="E46" t="str">
        <v>قطعة</v>
      </c>
      <c r="F46">
        <v>260</v>
      </c>
      <c r="G46">
        <v>218</v>
      </c>
      <c r="H46">
        <v>0</v>
      </c>
      <c r="I46">
        <v>3</v>
      </c>
      <c r="J46">
        <f>F46-G46</f>
        <v>42</v>
      </c>
      <c r="K46" s="1">
        <f>IF(G46&gt;0, (F46-G46)/G46, 0)</f>
        <v>0.1927</v>
      </c>
      <c r="L46" s="2">
        <f>H46*G46</f>
        <v>0</v>
      </c>
      <c r="M46" s="2">
        <f>H46*F46</f>
        <v>0</v>
      </c>
      <c r="N46" s="2">
        <f>M46-L46</f>
        <v>0</v>
      </c>
      <c r="O46" t="str">
        <f>IF(H46&lt;=0, "نفد من المخزن", IF(H46&lt;=I46, "قارب على النفاد", "متوفر بالمخزن"))</f>
        <v>نفد من المخزن</v>
      </c>
      <c r="P46">
        <v>0</v>
      </c>
      <c r="Q46" t="str">
        <v>SKU-0451</v>
      </c>
      <c r="R46" t="str">
        <v/>
      </c>
      <c r="S46" t="str">
        <v/>
      </c>
      <c r="T46" t="str">
        <v/>
      </c>
    </row>
    <row r="47">
      <c r="A47">
        <v>44</v>
      </c>
      <c r="B47" t="str">
        <v>حفاضات بيبي جوي مضغوط مقاس 3</v>
      </c>
      <c r="C47" t="str">
        <v>6221155150042</v>
      </c>
      <c r="D47" t="str">
        <v/>
      </c>
      <c r="E47" t="str">
        <v>قطعة</v>
      </c>
      <c r="F47">
        <v>220</v>
      </c>
      <c r="G47">
        <v>185</v>
      </c>
      <c r="H47">
        <v>0</v>
      </c>
      <c r="I47">
        <v>3</v>
      </c>
      <c r="J47">
        <f>F47-G47</f>
        <v>35</v>
      </c>
      <c r="K47" s="1">
        <f>IF(G47&gt;0, (F47-G47)/G47, 0)</f>
        <v>0.1892</v>
      </c>
      <c r="L47" s="2">
        <f>H47*G47</f>
        <v>0</v>
      </c>
      <c r="M47" s="2">
        <f>H47*F47</f>
        <v>0</v>
      </c>
      <c r="N47" s="2">
        <f>M47-L47</f>
        <v>0</v>
      </c>
      <c r="O47" t="str">
        <f>IF(H47&lt;=0, "نفد من المخزن", IF(H47&lt;=I47, "قارب على النفاد", "متوفر بالمخزن"))</f>
        <v>نفد من المخزن</v>
      </c>
      <c r="P47">
        <v>0</v>
      </c>
      <c r="Q47" t="str">
        <v>SKU-0452</v>
      </c>
      <c r="R47" t="str">
        <v/>
      </c>
      <c r="S47" t="str">
        <v/>
      </c>
      <c r="T47" t="str">
        <v/>
      </c>
    </row>
    <row r="48">
      <c r="A48">
        <v>45</v>
      </c>
      <c r="B48" t="str">
        <v>حفاضات بيبي جوي مضغوط مقاس 4</v>
      </c>
      <c r="C48" t="str">
        <v>6221155150059</v>
      </c>
      <c r="D48" t="str">
        <v/>
      </c>
      <c r="E48" t="str">
        <v>قطعة</v>
      </c>
      <c r="F48">
        <v>240</v>
      </c>
      <c r="G48">
        <v>200</v>
      </c>
      <c r="H48">
        <v>0</v>
      </c>
      <c r="I48">
        <v>3</v>
      </c>
      <c r="J48">
        <f>F48-G48</f>
        <v>40</v>
      </c>
      <c r="K48" s="1">
        <f>IF(G48&gt;0, (F48-G48)/G48, 0)</f>
        <v>0.2</v>
      </c>
      <c r="L48" s="2">
        <f>H48*G48</f>
        <v>0</v>
      </c>
      <c r="M48" s="2">
        <f>H48*F48</f>
        <v>0</v>
      </c>
      <c r="N48" s="2">
        <f>M48-L48</f>
        <v>0</v>
      </c>
      <c r="O48" t="str">
        <f>IF(H48&lt;=0, "نفد من المخزن", IF(H48&lt;=I48, "قارب على النفاد", "متوفر بالمخزن"))</f>
        <v>نفد من المخزن</v>
      </c>
      <c r="P48">
        <v>0</v>
      </c>
      <c r="Q48" t="str">
        <v>SKU-0453</v>
      </c>
      <c r="R48" t="str">
        <v/>
      </c>
      <c r="S48" t="str">
        <v/>
      </c>
      <c r="T48" t="str">
        <v/>
      </c>
    </row>
    <row r="49">
      <c r="A49">
        <v>46</v>
      </c>
      <c r="B49" t="str">
        <v>مناديل مبللة بامبرز أطفال 64 منديل</v>
      </c>
      <c r="C49" t="str">
        <v>6221155150035</v>
      </c>
      <c r="D49" t="str">
        <v/>
      </c>
      <c r="E49" t="str">
        <v>قطعة</v>
      </c>
      <c r="F49">
        <v>60</v>
      </c>
      <c r="G49">
        <v>48</v>
      </c>
      <c r="H49">
        <v>0</v>
      </c>
      <c r="I49">
        <v>5</v>
      </c>
      <c r="J49">
        <f>F49-G49</f>
        <v>12</v>
      </c>
      <c r="K49" s="1">
        <f>IF(G49&gt;0, (F49-G49)/G49, 0)</f>
        <v>0.25</v>
      </c>
      <c r="L49" s="2">
        <f>H49*G49</f>
        <v>0</v>
      </c>
      <c r="M49" s="2">
        <f>H49*F49</f>
        <v>0</v>
      </c>
      <c r="N49" s="2">
        <f>M49-L49</f>
        <v>0</v>
      </c>
      <c r="O49" t="str">
        <f>IF(H49&lt;=0, "نفد من المخزن", IF(H49&lt;=I49, "قارب على النفاد", "متوفر بالمخزن"))</f>
        <v>نفد من المخزن</v>
      </c>
      <c r="P49">
        <v>0</v>
      </c>
      <c r="Q49" t="str">
        <v>SKU-0454</v>
      </c>
      <c r="R49" t="str">
        <v/>
      </c>
      <c r="S49" t="str">
        <v/>
      </c>
      <c r="T49" t="str">
        <v/>
      </c>
    </row>
    <row r="50">
      <c r="A50">
        <v>47</v>
      </c>
      <c r="B50" t="str">
        <v>مناديل مبللة وايبس جونسون 56 منديل</v>
      </c>
      <c r="C50" t="str">
        <v>6221155150066</v>
      </c>
      <c r="D50" t="str">
        <v/>
      </c>
      <c r="E50" t="str">
        <v>قطعة</v>
      </c>
      <c r="F50">
        <v>65</v>
      </c>
      <c r="G50">
        <v>52</v>
      </c>
      <c r="H50">
        <v>0</v>
      </c>
      <c r="I50">
        <v>5</v>
      </c>
      <c r="J50">
        <f>F50-G50</f>
        <v>13</v>
      </c>
      <c r="K50" s="1">
        <f>IF(G50&gt;0, (F50-G50)/G50, 0)</f>
        <v>0.25</v>
      </c>
      <c r="L50" s="2">
        <f>H50*G50</f>
        <v>0</v>
      </c>
      <c r="M50" s="2">
        <f>H50*F50</f>
        <v>0</v>
      </c>
      <c r="N50" s="2">
        <f>M50-L50</f>
        <v>0</v>
      </c>
      <c r="O50" t="str">
        <f>IF(H50&lt;=0, "نفد من المخزن", IF(H50&lt;=I50, "قارب على النفاد", "متوفر بالمخزن"))</f>
        <v>نفد من المخزن</v>
      </c>
      <c r="P50">
        <v>0</v>
      </c>
      <c r="Q50" t="str">
        <v>SKU-0455</v>
      </c>
      <c r="R50" t="str">
        <v/>
      </c>
      <c r="S50" t="str">
        <v/>
      </c>
      <c r="T50" t="str">
        <v/>
      </c>
    </row>
    <row r="51">
      <c r="A51">
        <v>48</v>
      </c>
      <c r="B51" t="str">
        <v>سلك مواعين ألومنيوم لفة 100 جم</v>
      </c>
      <c r="C51" t="str">
        <v>6221144004011</v>
      </c>
      <c r="D51" t="str">
        <v/>
      </c>
      <c r="E51" t="str">
        <v>قطعة</v>
      </c>
      <c r="F51">
        <v>15</v>
      </c>
      <c r="G51">
        <v>9.5</v>
      </c>
      <c r="H51">
        <v>0</v>
      </c>
      <c r="I51">
        <v>10</v>
      </c>
      <c r="J51">
        <f>F51-G51</f>
        <v>5.5</v>
      </c>
      <c r="K51" s="1">
        <f>IF(G51&gt;0, (F51-G51)/G51, 0)</f>
        <v>0.5789</v>
      </c>
      <c r="L51" s="2">
        <f>H51*G51</f>
        <v>0</v>
      </c>
      <c r="M51" s="2">
        <f>H51*F51</f>
        <v>0</v>
      </c>
      <c r="N51" s="2">
        <f>M51-L51</f>
        <v>0</v>
      </c>
      <c r="O51" t="str">
        <f>IF(H51&lt;=0, "نفد من المخزن", IF(H51&lt;=I51, "قارب على النفاد", "متوفر بالمخزن"))</f>
        <v>نفد من المخزن</v>
      </c>
      <c r="P51">
        <v>0</v>
      </c>
      <c r="Q51" t="str">
        <v>SKU-0456</v>
      </c>
      <c r="R51" t="str">
        <v/>
      </c>
      <c r="S51" t="str">
        <v/>
      </c>
      <c r="T51" t="str">
        <v/>
      </c>
    </row>
    <row r="52">
      <c r="A52">
        <v>49</v>
      </c>
      <c r="B52" t="str">
        <v>سلك مواعين استانلس ستيل لا يصدأ 3 قطع</v>
      </c>
      <c r="C52" t="str">
        <v>6221144004028</v>
      </c>
      <c r="D52" t="str">
        <v/>
      </c>
      <c r="E52" t="str">
        <v>قطعة</v>
      </c>
      <c r="F52">
        <v>25</v>
      </c>
      <c r="G52">
        <v>17</v>
      </c>
      <c r="H52">
        <v>0</v>
      </c>
      <c r="I52">
        <v>8</v>
      </c>
      <c r="J52">
        <f>F52-G52</f>
        <v>8</v>
      </c>
      <c r="K52" s="1">
        <f>IF(G52&gt;0, (F52-G52)/G52, 0)</f>
        <v>0.4706</v>
      </c>
      <c r="L52" s="2">
        <f>H52*G52</f>
        <v>0</v>
      </c>
      <c r="M52" s="2">
        <f>H52*F52</f>
        <v>0</v>
      </c>
      <c r="N52" s="2">
        <f>M52-L52</f>
        <v>0</v>
      </c>
      <c r="O52" t="str">
        <f>IF(H52&lt;=0, "نفد من المخزن", IF(H52&lt;=I52, "قارب على النفاد", "متوفر بالمخزن"))</f>
        <v>نفد من المخزن</v>
      </c>
      <c r="P52">
        <v>0</v>
      </c>
      <c r="Q52" t="str">
        <v>SKU-0457</v>
      </c>
      <c r="R52" t="str">
        <v/>
      </c>
      <c r="S52" t="str">
        <v/>
      </c>
      <c r="T52" t="str">
        <v/>
      </c>
    </row>
    <row r="53">
      <c r="A53">
        <v>50</v>
      </c>
      <c r="B53" t="str">
        <v>ليفة غسيل أطباق إسفنجية سبونج 3 قطع</v>
      </c>
      <c r="C53" t="str">
        <v>6221144004035</v>
      </c>
      <c r="D53" t="str">
        <v/>
      </c>
      <c r="E53" t="str">
        <v>قطعة</v>
      </c>
      <c r="F53">
        <v>20</v>
      </c>
      <c r="G53">
        <v>13.5</v>
      </c>
      <c r="H53">
        <v>0</v>
      </c>
      <c r="I53">
        <v>10</v>
      </c>
      <c r="J53">
        <f>F53-G53</f>
        <v>6.5</v>
      </c>
      <c r="K53" s="1">
        <f>IF(G53&gt;0, (F53-G53)/G53, 0)</f>
        <v>0.4815</v>
      </c>
      <c r="L53" s="2">
        <f>H53*G53</f>
        <v>0</v>
      </c>
      <c r="M53" s="2">
        <f>H53*F53</f>
        <v>0</v>
      </c>
      <c r="N53" s="2">
        <f>M53-L53</f>
        <v>0</v>
      </c>
      <c r="O53" t="str">
        <f>IF(H53&lt;=0, "نفد من المخزن", IF(H53&lt;=I53, "قارب على النفاد", "متوفر بالمخزن"))</f>
        <v>نفد من المخزن</v>
      </c>
      <c r="P53">
        <v>0</v>
      </c>
      <c r="Q53" t="str">
        <v>SKU-0458</v>
      </c>
      <c r="R53" t="str">
        <v/>
      </c>
      <c r="S53" t="str">
        <v/>
      </c>
      <c r="T53" t="str">
        <v/>
      </c>
    </row>
    <row r="54">
      <c r="A54">
        <v>51</v>
      </c>
      <c r="B54" t="str">
        <v>ورق ألومنيوم فويل فويلكو 40 سم × 10 متر</v>
      </c>
      <c r="C54" t="str">
        <v>6221144009010</v>
      </c>
      <c r="D54" t="str">
        <v/>
      </c>
      <c r="E54" t="str">
        <v>قطعة</v>
      </c>
      <c r="F54">
        <v>45</v>
      </c>
      <c r="G54">
        <v>33</v>
      </c>
      <c r="H54">
        <v>0</v>
      </c>
      <c r="I54">
        <v>5</v>
      </c>
      <c r="J54">
        <f>F54-G54</f>
        <v>12</v>
      </c>
      <c r="K54" s="1">
        <f>IF(G54&gt;0, (F54-G54)/G54, 0)</f>
        <v>0.3636</v>
      </c>
      <c r="L54" s="2">
        <f>H54*G54</f>
        <v>0</v>
      </c>
      <c r="M54" s="2">
        <f>H54*F54</f>
        <v>0</v>
      </c>
      <c r="N54" s="2">
        <f>M54-L54</f>
        <v>0</v>
      </c>
      <c r="O54" t="str">
        <f>IF(H54&lt;=0, "نفد من المخزن", IF(H54&lt;=I54, "قارب على النفاد", "متوفر بالمخزن"))</f>
        <v>نفد من المخزن</v>
      </c>
      <c r="P54">
        <v>0</v>
      </c>
      <c r="Q54" t="str">
        <v>SKU-0459</v>
      </c>
      <c r="R54" t="str">
        <v/>
      </c>
      <c r="S54" t="str">
        <v/>
      </c>
      <c r="T54" t="str">
        <v/>
      </c>
    </row>
    <row r="55">
      <c r="A55">
        <v>52</v>
      </c>
      <c r="B55" t="str">
        <v>رول استرتش فيلم بلاستيك تغليف أطعمة 30 سم</v>
      </c>
      <c r="C55" t="str">
        <v>6221144009027</v>
      </c>
      <c r="D55" t="str">
        <v/>
      </c>
      <c r="E55" t="str">
        <v>قطعة</v>
      </c>
      <c r="F55">
        <v>40</v>
      </c>
      <c r="G55">
        <v>29</v>
      </c>
      <c r="H55">
        <v>0</v>
      </c>
      <c r="I55">
        <v>6</v>
      </c>
      <c r="J55">
        <f>F55-G55</f>
        <v>11</v>
      </c>
      <c r="K55" s="1">
        <f>IF(G55&gt;0, (F55-G55)/G55, 0)</f>
        <v>0.3793</v>
      </c>
      <c r="L55" s="2">
        <f>H55*G55</f>
        <v>0</v>
      </c>
      <c r="M55" s="2">
        <f>H55*F55</f>
        <v>0</v>
      </c>
      <c r="N55" s="2">
        <f>M55-L55</f>
        <v>0</v>
      </c>
      <c r="O55" t="str">
        <f>IF(H55&lt;=0, "نفد من المخزن", IF(H55&lt;=I55, "قارب على النفاد", "متوفر بالمخزن"))</f>
        <v>نفد من المخزن</v>
      </c>
      <c r="P55">
        <v>0</v>
      </c>
      <c r="Q55" t="str">
        <v>SKU-0460</v>
      </c>
      <c r="R55" t="str">
        <v/>
      </c>
      <c r="S55" t="str">
        <v/>
      </c>
      <c r="T55" t="str">
        <v/>
      </c>
    </row>
    <row r="56">
      <c r="A56">
        <v>53</v>
      </c>
      <c r="B56" t="str">
        <v>أكياس قمامة 70×90 سم رول 1 كجم</v>
      </c>
      <c r="C56" t="str">
        <v>6221144005018</v>
      </c>
      <c r="D56" t="str">
        <v/>
      </c>
      <c r="E56" t="str">
        <v>قطعة</v>
      </c>
      <c r="F56">
        <v>50</v>
      </c>
      <c r="G56">
        <v>37</v>
      </c>
      <c r="H56">
        <v>0</v>
      </c>
      <c r="I56">
        <v>6</v>
      </c>
      <c r="J56">
        <f>F56-G56</f>
        <v>13</v>
      </c>
      <c r="K56" s="1">
        <f>IF(G56&gt;0, (F56-G56)/G56, 0)</f>
        <v>0.3514</v>
      </c>
      <c r="L56" s="2">
        <f>H56*G56</f>
        <v>0</v>
      </c>
      <c r="M56" s="2">
        <f>H56*F56</f>
        <v>0</v>
      </c>
      <c r="N56" s="2">
        <f>M56-L56</f>
        <v>0</v>
      </c>
      <c r="O56" t="str">
        <f>IF(H56&lt;=0, "نفد من المخزن", IF(H56&lt;=I56, "قارب على النفاد", "متوفر بالمخزن"))</f>
        <v>نفد من المخزن</v>
      </c>
      <c r="P56">
        <v>0</v>
      </c>
      <c r="Q56" t="str">
        <v>SKU-0461</v>
      </c>
      <c r="R56" t="str">
        <v/>
      </c>
      <c r="S56" t="str">
        <v/>
      </c>
      <c r="T56" t="str">
        <v/>
      </c>
    </row>
    <row r="57">
      <c r="A57">
        <v>54</v>
      </c>
      <c r="B57" t="str">
        <v>أكياس ثلاجة حفظ طعام مقاس 3 باكت 100 كيس</v>
      </c>
      <c r="C57" t="str">
        <v>6221144005025</v>
      </c>
      <c r="D57" t="str">
        <v/>
      </c>
      <c r="E57" t="str">
        <v>قطعة</v>
      </c>
      <c r="F57">
        <v>30</v>
      </c>
      <c r="G57">
        <v>21</v>
      </c>
      <c r="H57">
        <v>0</v>
      </c>
      <c r="I57">
        <v>8</v>
      </c>
      <c r="J57">
        <f>F57-G57</f>
        <v>9</v>
      </c>
      <c r="K57" s="1">
        <f>IF(G57&gt;0, (F57-G57)/G57, 0)</f>
        <v>0.4286</v>
      </c>
      <c r="L57" s="2">
        <f>H57*G57</f>
        <v>0</v>
      </c>
      <c r="M57" s="2">
        <f>H57*F57</f>
        <v>0</v>
      </c>
      <c r="N57" s="2">
        <f>M57-L57</f>
        <v>0</v>
      </c>
      <c r="O57" t="str">
        <f>IF(H57&lt;=0, "نفد من المخزن", IF(H57&lt;=I57, "قارب على النفاد", "متوفر بالمخزن"))</f>
        <v>نفد من المخزن</v>
      </c>
      <c r="P57">
        <v>0</v>
      </c>
      <c r="Q57" t="str">
        <v>SKU-0462</v>
      </c>
      <c r="R57" t="str">
        <v/>
      </c>
      <c r="S57" t="str">
        <v/>
      </c>
      <c r="T57" t="str">
        <v/>
      </c>
    </row>
    <row r="58">
      <c r="A58">
        <v>55</v>
      </c>
      <c r="B58" t="str">
        <v>صابون تواليت لوكس ورد 120 جم</v>
      </c>
      <c r="C58" t="str">
        <v>6221155080011</v>
      </c>
      <c r="D58" t="str">
        <v/>
      </c>
      <c r="E58" t="str">
        <v>قطعة</v>
      </c>
      <c r="F58">
        <v>18</v>
      </c>
      <c r="G58">
        <v>13.5</v>
      </c>
      <c r="H58">
        <v>0</v>
      </c>
      <c r="I58">
        <v>12</v>
      </c>
      <c r="J58">
        <f>F58-G58</f>
        <v>4.5</v>
      </c>
      <c r="K58" s="1">
        <f>IF(G58&gt;0, (F58-G58)/G58, 0)</f>
        <v>0.3333</v>
      </c>
      <c r="L58" s="2">
        <f>H58*G58</f>
        <v>0</v>
      </c>
      <c r="M58" s="2">
        <f>H58*F58</f>
        <v>0</v>
      </c>
      <c r="N58" s="2">
        <f>M58-L58</f>
        <v>0</v>
      </c>
      <c r="O58" t="str">
        <f>IF(H58&lt;=0, "نفد من المخزن", IF(H58&lt;=I58, "قارب على النفاد", "متوفر بالمخزن"))</f>
        <v>نفد من المخزن</v>
      </c>
      <c r="P58">
        <v>0</v>
      </c>
      <c r="Q58" t="str">
        <v>SKU-0463</v>
      </c>
      <c r="R58" t="str">
        <v/>
      </c>
      <c r="S58" t="str">
        <v/>
      </c>
      <c r="T58" t="str">
        <v/>
      </c>
    </row>
    <row r="59">
      <c r="A59">
        <v>56</v>
      </c>
      <c r="B59" t="str">
        <v>صابون تواليت دوف أبيض 100 جم</v>
      </c>
      <c r="C59" t="str">
        <v>6221155090010</v>
      </c>
      <c r="D59" t="str">
        <v/>
      </c>
      <c r="E59" t="str">
        <v>قطعة</v>
      </c>
      <c r="F59">
        <v>32</v>
      </c>
      <c r="G59">
        <v>25</v>
      </c>
      <c r="H59">
        <v>0</v>
      </c>
      <c r="I59">
        <v>8</v>
      </c>
      <c r="J59">
        <f>F59-G59</f>
        <v>7</v>
      </c>
      <c r="K59" s="1">
        <f>IF(G59&gt;0, (F59-G59)/G59, 0)</f>
        <v>0.28</v>
      </c>
      <c r="L59" s="2">
        <f>H59*G59</f>
        <v>0</v>
      </c>
      <c r="M59" s="2">
        <f>H59*F59</f>
        <v>0</v>
      </c>
      <c r="N59" s="2">
        <f>M59-L59</f>
        <v>0</v>
      </c>
      <c r="O59" t="str">
        <f>IF(H59&lt;=0, "نفد من المخزن", IF(H59&lt;=I59, "قارب على النفاد", "متوفر بالمخزن"))</f>
        <v>نفد من المخزن</v>
      </c>
      <c r="P59">
        <v>0</v>
      </c>
      <c r="Q59" t="str">
        <v>SKU-0464</v>
      </c>
      <c r="R59" t="str">
        <v/>
      </c>
      <c r="S59" t="str">
        <v/>
      </c>
      <c r="T59" t="str">
        <v/>
      </c>
    </row>
    <row r="60">
      <c r="A60">
        <v>57</v>
      </c>
      <c r="B60" t="str">
        <v>صابون تواليت دوف أبيض 135 جم</v>
      </c>
      <c r="C60" t="str">
        <v>6221155090027</v>
      </c>
      <c r="D60" t="str">
        <v/>
      </c>
      <c r="E60" t="str">
        <v>قطعة</v>
      </c>
      <c r="F60">
        <v>42</v>
      </c>
      <c r="G60">
        <v>33</v>
      </c>
      <c r="H60">
        <v>0</v>
      </c>
      <c r="I60">
        <v>6</v>
      </c>
      <c r="J60">
        <f>F60-G60</f>
        <v>9</v>
      </c>
      <c r="K60" s="1">
        <f>IF(G60&gt;0, (F60-G60)/G60, 0)</f>
        <v>0.2727</v>
      </c>
      <c r="L60" s="2">
        <f>H60*G60</f>
        <v>0</v>
      </c>
      <c r="M60" s="2">
        <f>H60*F60</f>
        <v>0</v>
      </c>
      <c r="N60" s="2">
        <f>M60-L60</f>
        <v>0</v>
      </c>
      <c r="O60" t="str">
        <f>IF(H60&lt;=0, "نفد من المخزن", IF(H60&lt;=I60, "قارب على النفاد", "متوفر بالمخزن"))</f>
        <v>نفد من المخزن</v>
      </c>
      <c r="P60">
        <v>0</v>
      </c>
      <c r="Q60" t="str">
        <v>SKU-0465</v>
      </c>
      <c r="R60" t="str">
        <v/>
      </c>
      <c r="S60" t="str">
        <v/>
      </c>
      <c r="T60" t="str">
        <v/>
      </c>
    </row>
    <row r="61">
      <c r="A61">
        <v>58</v>
      </c>
      <c r="B61" t="str">
        <v>صابون لايف بوي معقم أحمر 100 جم</v>
      </c>
      <c r="C61" t="str">
        <v>6221155100016</v>
      </c>
      <c r="D61" t="str">
        <v/>
      </c>
      <c r="E61" t="str">
        <v>قطعة</v>
      </c>
      <c r="F61">
        <v>18</v>
      </c>
      <c r="G61">
        <v>13.5</v>
      </c>
      <c r="H61">
        <v>0</v>
      </c>
      <c r="I61">
        <v>8</v>
      </c>
      <c r="J61">
        <f>F61-G61</f>
        <v>4.5</v>
      </c>
      <c r="K61" s="1">
        <f>IF(G61&gt;0, (F61-G61)/G61, 0)</f>
        <v>0.3333</v>
      </c>
      <c r="L61" s="2">
        <f>H61*G61</f>
        <v>0</v>
      </c>
      <c r="M61" s="2">
        <f>H61*F61</f>
        <v>0</v>
      </c>
      <c r="N61" s="2">
        <f>M61-L61</f>
        <v>0</v>
      </c>
      <c r="O61" t="str">
        <f>IF(H61&lt;=0, "نفد من المخزن", IF(H61&lt;=I61, "قارب على النفاد", "متوفر بالمخزن"))</f>
        <v>نفد من المخزن</v>
      </c>
      <c r="P61">
        <v>0</v>
      </c>
      <c r="Q61" t="str">
        <v>SKU-0466</v>
      </c>
      <c r="R61" t="str">
        <v/>
      </c>
      <c r="S61" t="str">
        <v/>
      </c>
      <c r="T61" t="str">
        <v/>
      </c>
    </row>
    <row r="62">
      <c r="A62">
        <v>59</v>
      </c>
      <c r="B62" t="str">
        <v>صابون ديتول أصلي معقم 120 جم</v>
      </c>
      <c r="C62" t="str">
        <v>5000158071018</v>
      </c>
      <c r="D62" t="str">
        <v/>
      </c>
      <c r="E62" t="str">
        <v>قطعة</v>
      </c>
      <c r="F62">
        <v>25</v>
      </c>
      <c r="G62">
        <v>19.5</v>
      </c>
      <c r="H62">
        <v>0</v>
      </c>
      <c r="I62">
        <v>8</v>
      </c>
      <c r="J62">
        <f>F62-G62</f>
        <v>5.5</v>
      </c>
      <c r="K62" s="1">
        <f>IF(G62&gt;0, (F62-G62)/G62, 0)</f>
        <v>0.2821</v>
      </c>
      <c r="L62" s="2">
        <f>H62*G62</f>
        <v>0</v>
      </c>
      <c r="M62" s="2">
        <f>H62*F62</f>
        <v>0</v>
      </c>
      <c r="N62" s="2">
        <f>M62-L62</f>
        <v>0</v>
      </c>
      <c r="O62" t="str">
        <f>IF(H62&lt;=0, "نفد من المخزن", IF(H62&lt;=I62, "قارب على النفاد", "متوفر بالمخزن"))</f>
        <v>نفد من المخزن</v>
      </c>
      <c r="P62">
        <v>0</v>
      </c>
      <c r="Q62" t="str">
        <v>SKU-0467</v>
      </c>
      <c r="R62" t="str">
        <v/>
      </c>
      <c r="S62" t="str">
        <v/>
      </c>
      <c r="T62" t="str">
        <v/>
      </c>
    </row>
    <row r="63">
      <c r="A63">
        <v>60</v>
      </c>
      <c r="B63" t="str">
        <v>صابون كامي كلاسيك ورد 125 جم</v>
      </c>
      <c r="C63" t="str">
        <v>6221155080035</v>
      </c>
      <c r="D63" t="str">
        <v/>
      </c>
      <c r="E63" t="str">
        <v>قطعة</v>
      </c>
      <c r="F63">
        <v>18</v>
      </c>
      <c r="G63">
        <v>13.5</v>
      </c>
      <c r="H63">
        <v>0</v>
      </c>
      <c r="I63">
        <v>8</v>
      </c>
      <c r="J63">
        <f>F63-G63</f>
        <v>4.5</v>
      </c>
      <c r="K63" s="1">
        <f>IF(G63&gt;0, (F63-G63)/G63, 0)</f>
        <v>0.3333</v>
      </c>
      <c r="L63" s="2">
        <f>H63*G63</f>
        <v>0</v>
      </c>
      <c r="M63" s="2">
        <f>H63*F63</f>
        <v>0</v>
      </c>
      <c r="N63" s="2">
        <f>M63-L63</f>
        <v>0</v>
      </c>
      <c r="O63" t="str">
        <f>IF(H63&lt;=0, "نفد من المخزن", IF(H63&lt;=I63, "قارب على النفاد", "متوفر بالمخزن"))</f>
        <v>نفد من المخزن</v>
      </c>
      <c r="P63">
        <v>0</v>
      </c>
      <c r="Q63" t="str">
        <v>SKU-0468</v>
      </c>
      <c r="R63" t="str">
        <v/>
      </c>
      <c r="S63" t="str">
        <v/>
      </c>
      <c r="T63" t="str">
        <v/>
      </c>
    </row>
    <row r="64">
      <c r="A64">
        <v>61</v>
      </c>
      <c r="B64" t="str">
        <v>شامبو بانتين بديل الزيت 400 مل</v>
      </c>
      <c r="C64" t="str">
        <v>6221155110015</v>
      </c>
      <c r="D64" t="str">
        <v/>
      </c>
      <c r="E64" t="str">
        <v>قطعة</v>
      </c>
      <c r="F64">
        <v>85</v>
      </c>
      <c r="G64">
        <v>68</v>
      </c>
      <c r="H64">
        <v>0</v>
      </c>
      <c r="I64">
        <v>5</v>
      </c>
      <c r="J64">
        <f>F64-G64</f>
        <v>17</v>
      </c>
      <c r="K64" s="1">
        <f>IF(G64&gt;0, (F64-G64)/G64, 0)</f>
        <v>0.25</v>
      </c>
      <c r="L64" s="2">
        <f>H64*G64</f>
        <v>0</v>
      </c>
      <c r="M64" s="2">
        <f>H64*F64</f>
        <v>0</v>
      </c>
      <c r="N64" s="2">
        <f>M64-L64</f>
        <v>0</v>
      </c>
      <c r="O64" t="str">
        <f>IF(H64&lt;=0, "نفد من المخزن", IF(H64&lt;=I64, "قارب على النفاد", "متوفر بالمخزن"))</f>
        <v>نفد من المخزن</v>
      </c>
      <c r="P64">
        <v>0</v>
      </c>
      <c r="Q64" t="str">
        <v>SKU-0469</v>
      </c>
      <c r="R64" t="str">
        <v/>
      </c>
      <c r="S64" t="str">
        <v/>
      </c>
      <c r="T64" t="str">
        <v/>
      </c>
    </row>
    <row r="65">
      <c r="A65">
        <v>62</v>
      </c>
      <c r="B65" t="str">
        <v>شامبو بانتين عناية ملكية 600 مل</v>
      </c>
      <c r="C65" t="str">
        <v>6221155110022</v>
      </c>
      <c r="D65" t="str">
        <v/>
      </c>
      <c r="E65" t="str">
        <v>قطعة</v>
      </c>
      <c r="F65">
        <v>120</v>
      </c>
      <c r="G65">
        <v>98</v>
      </c>
      <c r="H65">
        <v>0</v>
      </c>
      <c r="I65">
        <v>4</v>
      </c>
      <c r="J65">
        <f>F65-G65</f>
        <v>22</v>
      </c>
      <c r="K65" s="1">
        <f>IF(G65&gt;0, (F65-G65)/G65, 0)</f>
        <v>0.2245</v>
      </c>
      <c r="L65" s="2">
        <f>H65*G65</f>
        <v>0</v>
      </c>
      <c r="M65" s="2">
        <f>H65*F65</f>
        <v>0</v>
      </c>
      <c r="N65" s="2">
        <f>M65-L65</f>
        <v>0</v>
      </c>
      <c r="O65" t="str">
        <f>IF(H65&lt;=0, "نفد من المخزن", IF(H65&lt;=I65, "قارب على النفاد", "متوفر بالمخزن"))</f>
        <v>نفد من المخزن</v>
      </c>
      <c r="P65">
        <v>0</v>
      </c>
      <c r="Q65" t="str">
        <v>SKU-0470</v>
      </c>
      <c r="R65" t="str">
        <v/>
      </c>
      <c r="S65" t="str">
        <v/>
      </c>
      <c r="T65" t="str">
        <v/>
      </c>
    </row>
    <row r="66">
      <c r="A66">
        <v>63</v>
      </c>
      <c r="B66" t="str">
        <v>شامبو هيد آند شولدرز 400 مل</v>
      </c>
      <c r="C66" t="str">
        <v>6221155120014</v>
      </c>
      <c r="D66" t="str">
        <v/>
      </c>
      <c r="E66" t="str">
        <v>قطعة</v>
      </c>
      <c r="F66">
        <v>90</v>
      </c>
      <c r="G66">
        <v>72</v>
      </c>
      <c r="H66">
        <v>0</v>
      </c>
      <c r="I66">
        <v>5</v>
      </c>
      <c r="J66">
        <f>F66-G66</f>
        <v>18</v>
      </c>
      <c r="K66" s="1">
        <f>IF(G66&gt;0, (F66-G66)/G66, 0)</f>
        <v>0.25</v>
      </c>
      <c r="L66" s="2">
        <f>H66*G66</f>
        <v>0</v>
      </c>
      <c r="M66" s="2">
        <f>H66*F66</f>
        <v>0</v>
      </c>
      <c r="N66" s="2">
        <f>M66-L66</f>
        <v>0</v>
      </c>
      <c r="O66" t="str">
        <f>IF(H66&lt;=0, "نفد من المخزن", IF(H66&lt;=I66, "قارب على النفاد", "متوفر بالمخزن"))</f>
        <v>نفد من المخزن</v>
      </c>
      <c r="P66">
        <v>0</v>
      </c>
      <c r="Q66" t="str">
        <v>SKU-0471</v>
      </c>
      <c r="R66" t="str">
        <v/>
      </c>
      <c r="S66" t="str">
        <v/>
      </c>
      <c r="T66" t="str">
        <v/>
      </c>
    </row>
    <row r="67">
      <c r="A67">
        <v>64</v>
      </c>
      <c r="B67" t="str">
        <v>شامبو صانسيلك لمعان ناعم 350 مل</v>
      </c>
      <c r="C67" t="str">
        <v>6221155110039</v>
      </c>
      <c r="D67" t="str">
        <v/>
      </c>
      <c r="E67" t="str">
        <v>قطعة</v>
      </c>
      <c r="F67">
        <v>55</v>
      </c>
      <c r="G67">
        <v>42</v>
      </c>
      <c r="H67">
        <v>0</v>
      </c>
      <c r="I67">
        <v>6</v>
      </c>
      <c r="J67">
        <f>F67-G67</f>
        <v>13</v>
      </c>
      <c r="K67" s="1">
        <f>IF(G67&gt;0, (F67-G67)/G67, 0)</f>
        <v>0.3095</v>
      </c>
      <c r="L67" s="2">
        <f>H67*G67</f>
        <v>0</v>
      </c>
      <c r="M67" s="2">
        <f>H67*F67</f>
        <v>0</v>
      </c>
      <c r="N67" s="2">
        <f>M67-L67</f>
        <v>0</v>
      </c>
      <c r="O67" t="str">
        <f>IF(H67&lt;=0, "نفد من المخزن", IF(H67&lt;=I67, "قارب على النفاد", "متوفر بالمخزن"))</f>
        <v>نفد من المخزن</v>
      </c>
      <c r="P67">
        <v>0</v>
      </c>
      <c r="Q67" t="str">
        <v>SKU-0472</v>
      </c>
      <c r="R67" t="str">
        <v/>
      </c>
      <c r="S67" t="str">
        <v/>
      </c>
      <c r="T67" t="str">
        <v/>
      </c>
    </row>
    <row r="68">
      <c r="A68">
        <v>65</v>
      </c>
      <c r="B68" t="str">
        <v>شامبو لوريال إلفيف هيدرا كيراتين 400 مل</v>
      </c>
      <c r="C68" t="str">
        <v>3600523001012</v>
      </c>
      <c r="D68" t="str">
        <v/>
      </c>
      <c r="E68" t="str">
        <v>قطعة</v>
      </c>
      <c r="F68">
        <v>115</v>
      </c>
      <c r="G68">
        <v>92</v>
      </c>
      <c r="H68">
        <v>0</v>
      </c>
      <c r="I68">
        <v>4</v>
      </c>
      <c r="J68">
        <f>F68-G68</f>
        <v>23</v>
      </c>
      <c r="K68" s="1">
        <f>IF(G68&gt;0, (F68-G68)/G68, 0)</f>
        <v>0.25</v>
      </c>
      <c r="L68" s="2">
        <f>H68*G68</f>
        <v>0</v>
      </c>
      <c r="M68" s="2">
        <f>H68*F68</f>
        <v>0</v>
      </c>
      <c r="N68" s="2">
        <f>M68-L68</f>
        <v>0</v>
      </c>
      <c r="O68" t="str">
        <f>IF(H68&lt;=0, "نفد من المخزن", IF(H68&lt;=I68, "قارب على النفاد", "متوفر بالمخزن"))</f>
        <v>نفد من المخزن</v>
      </c>
      <c r="P68">
        <v>0</v>
      </c>
      <c r="Q68" t="str">
        <v>SKU-0473</v>
      </c>
      <c r="R68" t="str">
        <v/>
      </c>
      <c r="S68" t="str">
        <v/>
      </c>
      <c r="T68" t="str">
        <v/>
      </c>
    </row>
    <row r="69">
      <c r="A69">
        <v>66</v>
      </c>
      <c r="B69" t="str">
        <v>شاور جيل فا ليمون منعش 250 مل</v>
      </c>
      <c r="C69" t="str">
        <v>6221122004019</v>
      </c>
      <c r="D69" t="str">
        <v/>
      </c>
      <c r="E69" t="str">
        <v>قطعة</v>
      </c>
      <c r="F69">
        <v>45</v>
      </c>
      <c r="G69">
        <v>34</v>
      </c>
      <c r="H69">
        <v>0</v>
      </c>
      <c r="I69">
        <v>5</v>
      </c>
      <c r="J69">
        <f>F69-G69</f>
        <v>11</v>
      </c>
      <c r="K69" s="1">
        <f>IF(G69&gt;0, (F69-G69)/G69, 0)</f>
        <v>0.3235</v>
      </c>
      <c r="L69" s="2">
        <f>H69*G69</f>
        <v>0</v>
      </c>
      <c r="M69" s="2">
        <f>H69*F69</f>
        <v>0</v>
      </c>
      <c r="N69" s="2">
        <f>M69-L69</f>
        <v>0</v>
      </c>
      <c r="O69" t="str">
        <f>IF(H69&lt;=0, "نفد من المخزن", IF(H69&lt;=I69, "قارب على النفاد", "متوفر بالمخزن"))</f>
        <v>نفد من المخزن</v>
      </c>
      <c r="P69">
        <v>0</v>
      </c>
      <c r="Q69" t="str">
        <v>SKU-0474</v>
      </c>
      <c r="R69" t="str">
        <v/>
      </c>
      <c r="S69" t="str">
        <v/>
      </c>
      <c r="T69" t="str">
        <v/>
      </c>
    </row>
    <row r="70">
      <c r="A70">
        <v>67</v>
      </c>
      <c r="B70" t="str">
        <v>معجون أسنان سيجنال تو مكافح التسوس 75 مل</v>
      </c>
      <c r="C70" t="str">
        <v>6221155130013</v>
      </c>
      <c r="D70" t="str">
        <v/>
      </c>
      <c r="E70" t="str">
        <v>قطعة</v>
      </c>
      <c r="F70">
        <v>32</v>
      </c>
      <c r="G70">
        <v>24</v>
      </c>
      <c r="H70">
        <v>0</v>
      </c>
      <c r="I70">
        <v>7</v>
      </c>
      <c r="J70">
        <f>F70-G70</f>
        <v>8</v>
      </c>
      <c r="K70" s="1">
        <f>IF(G70&gt;0, (F70-G70)/G70, 0)</f>
        <v>0.3333</v>
      </c>
      <c r="L70" s="2">
        <f>H70*G70</f>
        <v>0</v>
      </c>
      <c r="M70" s="2">
        <f>H70*F70</f>
        <v>0</v>
      </c>
      <c r="N70" s="2">
        <f>M70-L70</f>
        <v>0</v>
      </c>
      <c r="O70" t="str">
        <f>IF(H70&lt;=0, "نفد من المخزن", IF(H70&lt;=I70, "قارب على النفاد", "متوفر بالمخزن"))</f>
        <v>نفد من المخزن</v>
      </c>
      <c r="P70">
        <v>0</v>
      </c>
      <c r="Q70" t="str">
        <v>SKU-0475</v>
      </c>
      <c r="R70" t="str">
        <v/>
      </c>
      <c r="S70" t="str">
        <v/>
      </c>
      <c r="T70" t="str">
        <v/>
      </c>
    </row>
    <row r="71">
      <c r="A71">
        <v>68</v>
      </c>
      <c r="B71" t="str">
        <v>معجون أسنان سيجنال تو مكافح التسوس 120 مل</v>
      </c>
      <c r="C71" t="str">
        <v>6221155130020</v>
      </c>
      <c r="D71" t="str">
        <v/>
      </c>
      <c r="E71" t="str">
        <v>قطعة</v>
      </c>
      <c r="F71">
        <v>45</v>
      </c>
      <c r="G71">
        <v>34</v>
      </c>
      <c r="H71">
        <v>0</v>
      </c>
      <c r="I71">
        <v>6</v>
      </c>
      <c r="J71">
        <f>F71-G71</f>
        <v>11</v>
      </c>
      <c r="K71" s="1">
        <f>IF(G71&gt;0, (F71-G71)/G71, 0)</f>
        <v>0.3235</v>
      </c>
      <c r="L71" s="2">
        <f>H71*G71</f>
        <v>0</v>
      </c>
      <c r="M71" s="2">
        <f>H71*F71</f>
        <v>0</v>
      </c>
      <c r="N71" s="2">
        <f>M71-L71</f>
        <v>0</v>
      </c>
      <c r="O71" t="str">
        <f>IF(H71&lt;=0, "نفد من المخزن", IF(H71&lt;=I71, "قارب على النفاد", "متوفر بالمخزن"))</f>
        <v>نفد من المخزن</v>
      </c>
      <c r="P71">
        <v>0</v>
      </c>
      <c r="Q71" t="str">
        <v>SKU-0476</v>
      </c>
      <c r="R71" t="str">
        <v/>
      </c>
      <c r="S71" t="str">
        <v/>
      </c>
      <c r="T71" t="str">
        <v/>
      </c>
    </row>
    <row r="72">
      <c r="A72">
        <v>69</v>
      </c>
      <c r="B72" t="str">
        <v>معجون أسنان كولجيت حماية فائقة 75 مل</v>
      </c>
      <c r="C72" t="str">
        <v>6920354813016</v>
      </c>
      <c r="D72" t="str">
        <v/>
      </c>
      <c r="E72" t="str">
        <v>قطعة</v>
      </c>
      <c r="F72">
        <v>35</v>
      </c>
      <c r="G72">
        <v>26.5</v>
      </c>
      <c r="H72">
        <v>0</v>
      </c>
      <c r="I72">
        <v>6</v>
      </c>
      <c r="J72">
        <f>F72-G72</f>
        <v>8.5</v>
      </c>
      <c r="K72" s="1">
        <f>IF(G72&gt;0, (F72-G72)/G72, 0)</f>
        <v>0.3208</v>
      </c>
      <c r="L72" s="2">
        <f>H72*G72</f>
        <v>0</v>
      </c>
      <c r="M72" s="2">
        <f>H72*F72</f>
        <v>0</v>
      </c>
      <c r="N72" s="2">
        <f>M72-L72</f>
        <v>0</v>
      </c>
      <c r="O72" t="str">
        <f>IF(H72&lt;=0, "نفد من المخزن", IF(H72&lt;=I72, "قارب على النفاد", "متوفر بالمخزن"))</f>
        <v>نفد من المخزن</v>
      </c>
      <c r="P72">
        <v>0</v>
      </c>
      <c r="Q72" t="str">
        <v>SKU-0477</v>
      </c>
      <c r="R72" t="str">
        <v/>
      </c>
      <c r="S72" t="str">
        <v/>
      </c>
      <c r="T72" t="str">
        <v/>
      </c>
    </row>
    <row r="73">
      <c r="A73">
        <v>70</v>
      </c>
      <c r="B73" t="str">
        <v>معجون أسنان سنسوداين لراحة فورية 75 مل</v>
      </c>
      <c r="C73" t="str">
        <v>5054563010019</v>
      </c>
      <c r="D73" t="str">
        <v/>
      </c>
      <c r="E73" t="str">
        <v>قطعة</v>
      </c>
      <c r="F73">
        <v>75</v>
      </c>
      <c r="G73">
        <v>60</v>
      </c>
      <c r="H73">
        <v>0</v>
      </c>
      <c r="I73">
        <v>4</v>
      </c>
      <c r="J73">
        <f>F73-G73</f>
        <v>15</v>
      </c>
      <c r="K73" s="1">
        <f>IF(G73&gt;0, (F73-G73)/G73, 0)</f>
        <v>0.25</v>
      </c>
      <c r="L73" s="2">
        <f>H73*G73</f>
        <v>0</v>
      </c>
      <c r="M73" s="2">
        <f>H73*F73</f>
        <v>0</v>
      </c>
      <c r="N73" s="2">
        <f>M73-L73</f>
        <v>0</v>
      </c>
      <c r="O73" t="str">
        <f>IF(H73&lt;=0, "نفد من المخزن", IF(H73&lt;=I73, "قارب على النفاد", "متوفر بالمخزن"))</f>
        <v>نفد من المخزن</v>
      </c>
      <c r="P73">
        <v>0</v>
      </c>
      <c r="Q73" t="str">
        <v>SKU-0478</v>
      </c>
      <c r="R73" t="str">
        <v/>
      </c>
      <c r="S73" t="str">
        <v/>
      </c>
      <c r="T73" t="str">
        <v/>
      </c>
    </row>
    <row r="74">
      <c r="A74">
        <v>71</v>
      </c>
      <c r="B74" t="str">
        <v>فرشاة أسنان أورال-بي كلاسيك</v>
      </c>
      <c r="C74" t="str">
        <v>3014260010010</v>
      </c>
      <c r="D74" t="str">
        <v/>
      </c>
      <c r="E74" t="str">
        <v>قطعة</v>
      </c>
      <c r="F74">
        <v>25</v>
      </c>
      <c r="G74">
        <v>17.5</v>
      </c>
      <c r="H74">
        <v>0</v>
      </c>
      <c r="I74">
        <v>6</v>
      </c>
      <c r="J74">
        <f>F74-G74</f>
        <v>7.5</v>
      </c>
      <c r="K74" s="1">
        <f>IF(G74&gt;0, (F74-G74)/G74, 0)</f>
        <v>0.4286</v>
      </c>
      <c r="L74" s="2">
        <f>H74*G74</f>
        <v>0</v>
      </c>
      <c r="M74" s="2">
        <f>H74*F74</f>
        <v>0</v>
      </c>
      <c r="N74" s="2">
        <f>M74-L74</f>
        <v>0</v>
      </c>
      <c r="O74" t="str">
        <f>IF(H74&lt;=0, "نفد من المخزن", IF(H74&lt;=I74, "قارب على النفاد", "متوفر بالمخزن"))</f>
        <v>نفد من المخزن</v>
      </c>
      <c r="P74">
        <v>0</v>
      </c>
      <c r="Q74" t="str">
        <v>SKU-0479</v>
      </c>
      <c r="R74" t="str">
        <v/>
      </c>
      <c r="S74" t="str">
        <v/>
      </c>
      <c r="T74" t="str">
        <v/>
      </c>
    </row>
    <row r="75">
      <c r="A75">
        <v>72</v>
      </c>
      <c r="B75" t="str">
        <v>مزيل عرق ريكسونا رول أون حماية 50 مل</v>
      </c>
      <c r="C75" t="str">
        <v>6221155160010</v>
      </c>
      <c r="D75" t="str">
        <v/>
      </c>
      <c r="E75" t="str">
        <v>قطعة</v>
      </c>
      <c r="F75">
        <v>55</v>
      </c>
      <c r="G75">
        <v>42</v>
      </c>
      <c r="H75">
        <v>0</v>
      </c>
      <c r="I75">
        <v>5</v>
      </c>
      <c r="J75">
        <f>F75-G75</f>
        <v>13</v>
      </c>
      <c r="K75" s="1">
        <f>IF(G75&gt;0, (F75-G75)/G75, 0)</f>
        <v>0.3095</v>
      </c>
      <c r="L75" s="2">
        <f>H75*G75</f>
        <v>0</v>
      </c>
      <c r="M75" s="2">
        <f>H75*F75</f>
        <v>0</v>
      </c>
      <c r="N75" s="2">
        <f>M75-L75</f>
        <v>0</v>
      </c>
      <c r="O75" t="str">
        <f>IF(H75&lt;=0, "نفد من المخزن", IF(H75&lt;=I75, "قارب على النفاد", "متوفر بالمخزن"))</f>
        <v>نفد من المخزن</v>
      </c>
      <c r="P75">
        <v>0</v>
      </c>
      <c r="Q75" t="str">
        <v>SKU-0480</v>
      </c>
      <c r="R75" t="str">
        <v/>
      </c>
      <c r="S75" t="str">
        <v/>
      </c>
      <c r="T75" t="str">
        <v/>
      </c>
    </row>
    <row r="76">
      <c r="A76">
        <v>73</v>
      </c>
      <c r="B76" t="str">
        <v>سبراي مزيل عرق رجالي أكس دارك تمبتيشن 150 مل</v>
      </c>
      <c r="C76" t="str">
        <v>6221155160027</v>
      </c>
      <c r="D76" t="str">
        <v/>
      </c>
      <c r="E76" t="str">
        <v>قطعة</v>
      </c>
      <c r="F76">
        <v>85</v>
      </c>
      <c r="G76">
        <v>68</v>
      </c>
      <c r="H76">
        <v>0</v>
      </c>
      <c r="I76">
        <v>4</v>
      </c>
      <c r="J76">
        <f>F76-G76</f>
        <v>17</v>
      </c>
      <c r="K76" s="1">
        <f>IF(G76&gt;0, (F76-G76)/G76, 0)</f>
        <v>0.25</v>
      </c>
      <c r="L76" s="2">
        <f>H76*G76</f>
        <v>0</v>
      </c>
      <c r="M76" s="2">
        <f>H76*F76</f>
        <v>0</v>
      </c>
      <c r="N76" s="2">
        <f>M76-L76</f>
        <v>0</v>
      </c>
      <c r="O76" t="str">
        <f>IF(H76&lt;=0, "نفد من المخزن", IF(H76&lt;=I76, "قارب على النفاد", "متوفر بالمخزن"))</f>
        <v>نفد من المخزن</v>
      </c>
      <c r="P76">
        <v>0</v>
      </c>
      <c r="Q76" t="str">
        <v>SKU-0481</v>
      </c>
      <c r="R76" t="str">
        <v/>
      </c>
      <c r="S76" t="str">
        <v/>
      </c>
      <c r="T76" t="str">
        <v/>
      </c>
    </row>
    <row r="77">
      <c r="A77" t="str">
        <v>الإجمالي</v>
      </c>
      <c r="B77" t="str">
        <v>إجمالي 73 صنف مسجل</v>
      </c>
      <c r="C77" t="str">
        <v/>
      </c>
      <c r="D77" t="str">
        <v/>
      </c>
      <c r="E77" t="str">
        <v/>
      </c>
      <c r="F77" s="2">
        <f>AVERAGE(F4:F76)</f>
      </c>
      <c r="G77" s="2">
        <f>AVERAGE(G4:G76)</f>
      </c>
      <c r="H77" s="3">
        <f>SUM(H4:H76)</f>
      </c>
      <c r="I77" t="str">
        <v/>
      </c>
      <c r="J77" s="2">
        <f>AVERAGE(J4:J76)</f>
      </c>
      <c r="K77" s="1">
        <f>IF(L77&gt;0, N77/L77, 0)</f>
      </c>
      <c r="L77" s="2">
        <f>SUM(L4:L76)</f>
      </c>
      <c r="M77" s="2">
        <f>SUM(M4:M76)</f>
      </c>
      <c r="N77" s="2">
        <f>SUM(N4:N76)</f>
      </c>
      <c r="O77" t="str">
        <v>محسوب بمعادلات إكسل</v>
      </c>
      <c r="P77" t="str">
        <v/>
      </c>
      <c r="Q77" t="str">
        <v/>
      </c>
      <c r="R77" t="str">
        <v/>
      </c>
      <c r="S77" t="str">
        <v/>
      </c>
      <c r="T77" t="str">
        <v/>
      </c>
    </row>
  </sheetData>
  <mergeCells count="2">
    <mergeCell ref="A1:T1"/>
    <mergeCell ref="A2:T2"/>
  </mergeCells>
  <ignoredErrors>
    <ignoredError numberStoredAsText="1" sqref="A1:T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[مخبوزات]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عيش فينو كيس 5 رغيف طازج</v>
      </c>
      <c r="C4" t="str">
        <v>6229007788016</v>
      </c>
      <c r="D4" t="str">
        <v/>
      </c>
      <c r="E4" t="str">
        <v>قطعة</v>
      </c>
      <c r="F4">
        <v>10</v>
      </c>
      <c r="G4">
        <v>7</v>
      </c>
      <c r="H4">
        <v>0</v>
      </c>
      <c r="I4">
        <v>8</v>
      </c>
      <c r="J4">
        <f>F4-G4</f>
        <v>3</v>
      </c>
      <c r="K4" s="1">
        <f>IF(G4&gt;0, (F4-G4)/G4, 0)</f>
        <v>0.4286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SKU-0482</v>
      </c>
      <c r="R4" t="str">
        <v/>
      </c>
      <c r="S4" t="str">
        <v/>
      </c>
      <c r="T4" t="str">
        <v/>
      </c>
    </row>
    <row r="5">
      <c r="A5">
        <v>2</v>
      </c>
      <c r="B5" t="str">
        <v>عيش فينو كيس 10 رغيف طازج</v>
      </c>
      <c r="C5" t="str">
        <v>6229007788023</v>
      </c>
      <c r="D5" t="str">
        <v/>
      </c>
      <c r="E5" t="str">
        <v>قطعة</v>
      </c>
      <c r="F5">
        <v>20</v>
      </c>
      <c r="G5">
        <v>14</v>
      </c>
      <c r="H5">
        <v>0</v>
      </c>
      <c r="I5">
        <v>6</v>
      </c>
      <c r="J5">
        <f>F5-G5</f>
        <v>6</v>
      </c>
      <c r="K5" s="1">
        <f>IF(G5&gt;0, (F5-G5)/G5, 0)</f>
        <v>0.4286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SKU-0483</v>
      </c>
      <c r="R5" t="str">
        <v/>
      </c>
      <c r="S5" t="str">
        <v/>
      </c>
      <c r="T5" t="str">
        <v/>
      </c>
    </row>
    <row r="6">
      <c r="A6">
        <v>3</v>
      </c>
      <c r="B6" t="str">
        <v>عيش توست أبيض فاخر ريتش بيك</v>
      </c>
      <c r="C6" t="str">
        <v>6221104400334</v>
      </c>
      <c r="D6" t="str">
        <v/>
      </c>
      <c r="E6" t="str">
        <v>قطعة</v>
      </c>
      <c r="F6">
        <v>45</v>
      </c>
      <c r="G6">
        <v>35</v>
      </c>
      <c r="H6">
        <v>0</v>
      </c>
      <c r="I6">
        <v>5</v>
      </c>
      <c r="J6">
        <f>F6-G6</f>
        <v>10</v>
      </c>
      <c r="K6" s="1">
        <f>IF(G6&gt;0, (F6-G6)/G6, 0)</f>
        <v>0.2857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SKU-0484</v>
      </c>
      <c r="R6" t="str">
        <v/>
      </c>
      <c r="S6" t="str">
        <v/>
      </c>
      <c r="T6" t="str">
        <v/>
      </c>
    </row>
    <row r="7">
      <c r="A7">
        <v>4</v>
      </c>
      <c r="B7" t="str">
        <v>عيش توست ردة بني ريتش بيك</v>
      </c>
      <c r="C7" t="str">
        <v>6221104400341</v>
      </c>
      <c r="D7" t="str">
        <v/>
      </c>
      <c r="E7" t="str">
        <v>قطعة</v>
      </c>
      <c r="F7">
        <v>48</v>
      </c>
      <c r="G7">
        <v>37</v>
      </c>
      <c r="H7">
        <v>0</v>
      </c>
      <c r="I7">
        <v>4</v>
      </c>
      <c r="J7">
        <f>F7-G7</f>
        <v>11</v>
      </c>
      <c r="K7" s="1">
        <f>IF(G7&gt;0, (F7-G7)/G7, 0)</f>
        <v>0.2973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SKU-0485</v>
      </c>
      <c r="R7" t="str">
        <v/>
      </c>
      <c r="S7" t="str">
        <v/>
      </c>
      <c r="T7" t="str">
        <v/>
      </c>
    </row>
    <row r="8">
      <c r="A8">
        <v>5</v>
      </c>
      <c r="B8" t="str">
        <v>عيش كيزر ريتش بيك سمسم 6 قطع</v>
      </c>
      <c r="C8" t="str">
        <v>6221104400358</v>
      </c>
      <c r="D8" t="str">
        <v/>
      </c>
      <c r="E8" t="str">
        <v>قطعة</v>
      </c>
      <c r="F8">
        <v>30</v>
      </c>
      <c r="G8">
        <v>23</v>
      </c>
      <c r="H8">
        <v>0</v>
      </c>
      <c r="I8">
        <v>5</v>
      </c>
      <c r="J8">
        <f>F8-G8</f>
        <v>7</v>
      </c>
      <c r="K8" s="1">
        <f>IF(G8&gt;0, (F8-G8)/G8, 0)</f>
        <v>0.3043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SKU-0486</v>
      </c>
      <c r="R8" t="str">
        <v/>
      </c>
      <c r="S8" t="str">
        <v/>
      </c>
      <c r="T8" t="str">
        <v/>
      </c>
    </row>
    <row r="9">
      <c r="A9">
        <v>6</v>
      </c>
      <c r="B9" t="str">
        <v>عيش بلدي معبأ ردة كيس 5 أرغفة</v>
      </c>
      <c r="C9" t="str">
        <v>6229007788047</v>
      </c>
      <c r="D9" t="str">
        <v/>
      </c>
      <c r="E9" t="str">
        <v>قطعة</v>
      </c>
      <c r="F9">
        <v>15</v>
      </c>
      <c r="G9">
        <v>11</v>
      </c>
      <c r="H9">
        <v>0</v>
      </c>
      <c r="I9">
        <v>8</v>
      </c>
      <c r="J9">
        <f>F9-G9</f>
        <v>4</v>
      </c>
      <c r="K9" s="1">
        <f>IF(G9&gt;0, (F9-G9)/G9, 0)</f>
        <v>0.3636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SKU-0487</v>
      </c>
      <c r="R9" t="str">
        <v/>
      </c>
      <c r="S9" t="str">
        <v/>
      </c>
      <c r="T9" t="str">
        <v/>
      </c>
    </row>
    <row r="10">
      <c r="A10">
        <v>7</v>
      </c>
      <c r="B10" t="str">
        <v>باتيه دومتي ميكس جبنة 85 جم</v>
      </c>
      <c r="C10" t="str">
        <v>6223000759011</v>
      </c>
      <c r="D10" t="str">
        <v/>
      </c>
      <c r="E10" t="str">
        <v>قطعة</v>
      </c>
      <c r="F10">
        <v>12</v>
      </c>
      <c r="G10">
        <v>9.2</v>
      </c>
      <c r="H10">
        <v>0</v>
      </c>
      <c r="I10">
        <v>10</v>
      </c>
      <c r="J10">
        <f>F10-G10</f>
        <v>2.8</v>
      </c>
      <c r="K10" s="1">
        <f>IF(G10&gt;0, (F10-G10)/G10, 0)</f>
        <v>0.3043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SKU-0488</v>
      </c>
      <c r="R10" t="str">
        <v/>
      </c>
      <c r="S10" t="str">
        <v/>
      </c>
      <c r="T10" t="str">
        <v/>
      </c>
    </row>
    <row r="11">
      <c r="A11">
        <v>8</v>
      </c>
      <c r="B11" t="str">
        <v>باتيه دومتي جبنة رومي 85 جم</v>
      </c>
      <c r="C11" t="str">
        <v>6223000759028</v>
      </c>
      <c r="D11" t="str">
        <v/>
      </c>
      <c r="E11" t="str">
        <v>قطعة</v>
      </c>
      <c r="F11">
        <v>12</v>
      </c>
      <c r="G11">
        <v>9.2</v>
      </c>
      <c r="H11">
        <v>0</v>
      </c>
      <c r="I11">
        <v>8</v>
      </c>
      <c r="J11">
        <f>F11-G11</f>
        <v>2.8</v>
      </c>
      <c r="K11" s="1">
        <f>IF(G11&gt;0, (F11-G11)/G11, 0)</f>
        <v>0.3043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SKU-0489</v>
      </c>
      <c r="R11" t="str">
        <v/>
      </c>
      <c r="S11" t="str">
        <v/>
      </c>
      <c r="T11" t="str">
        <v/>
      </c>
    </row>
    <row r="12">
      <c r="A12">
        <v>9</v>
      </c>
      <c r="B12" t="str">
        <v>باتيه دومتي شيكولاتة 85 جم</v>
      </c>
      <c r="C12" t="str">
        <v>6223000759035</v>
      </c>
      <c r="D12" t="str">
        <v/>
      </c>
      <c r="E12" t="str">
        <v>قطعة</v>
      </c>
      <c r="F12">
        <v>12</v>
      </c>
      <c r="G12">
        <v>9.2</v>
      </c>
      <c r="H12">
        <v>0</v>
      </c>
      <c r="I12">
        <v>8</v>
      </c>
      <c r="J12">
        <f>F12-G12</f>
        <v>2.8</v>
      </c>
      <c r="K12" s="1">
        <f>IF(G12&gt;0, (F12-G12)/G12, 0)</f>
        <v>0.3043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SKU-0490</v>
      </c>
      <c r="R12" t="str">
        <v/>
      </c>
      <c r="S12" t="str">
        <v/>
      </c>
      <c r="T12" t="str">
        <v/>
      </c>
    </row>
    <row r="13">
      <c r="A13">
        <v>10</v>
      </c>
      <c r="B13" t="str">
        <v>بقسماط أصابع بالسمسم ريتش بيك 300 جم</v>
      </c>
      <c r="C13" t="str">
        <v>6221104400365</v>
      </c>
      <c r="D13" t="str">
        <v/>
      </c>
      <c r="E13" t="str">
        <v>قطعة</v>
      </c>
      <c r="F13">
        <v>32</v>
      </c>
      <c r="G13">
        <v>24.5</v>
      </c>
      <c r="H13">
        <v>0</v>
      </c>
      <c r="I13">
        <v>5</v>
      </c>
      <c r="J13">
        <f>F13-G13</f>
        <v>7.5</v>
      </c>
      <c r="K13" s="1">
        <f>IF(G13&gt;0, (F13-G13)/G13, 0)</f>
        <v>0.3061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SKU-0491</v>
      </c>
      <c r="R13" t="str">
        <v/>
      </c>
      <c r="S13" t="str">
        <v/>
      </c>
      <c r="T13" t="str">
        <v/>
      </c>
    </row>
    <row r="14">
      <c r="A14">
        <v>11</v>
      </c>
      <c r="B14" t="str">
        <v>بقسماط مطحون الضحى 500 جم</v>
      </c>
      <c r="C14" t="str">
        <v>6223000660089</v>
      </c>
      <c r="D14" t="str">
        <v/>
      </c>
      <c r="E14" t="str">
        <v>قطعة</v>
      </c>
      <c r="F14">
        <v>28</v>
      </c>
      <c r="G14">
        <v>21</v>
      </c>
      <c r="H14">
        <v>0</v>
      </c>
      <c r="I14">
        <v>6</v>
      </c>
      <c r="J14">
        <f>F14-G14</f>
        <v>7</v>
      </c>
      <c r="K14" s="1">
        <f>IF(G14&gt;0, (F14-G14)/G14, 0)</f>
        <v>0.3333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SKU-0492</v>
      </c>
      <c r="R14" t="str">
        <v/>
      </c>
      <c r="S14" t="str">
        <v/>
      </c>
      <c r="T14" t="str">
        <v/>
      </c>
    </row>
    <row r="15">
      <c r="A15">
        <v>12</v>
      </c>
      <c r="B15" t="str">
        <v>قرص فلاحي سادة طازجة كجم</v>
      </c>
      <c r="C15" t="str">
        <v>6229007788054</v>
      </c>
      <c r="D15" t="str">
        <v/>
      </c>
      <c r="E15" t="str">
        <v>كجم</v>
      </c>
      <c r="F15">
        <v>90</v>
      </c>
      <c r="G15">
        <v>70</v>
      </c>
      <c r="H15">
        <v>0</v>
      </c>
      <c r="I15">
        <v>3</v>
      </c>
      <c r="J15">
        <f>F15-G15</f>
        <v>20</v>
      </c>
      <c r="K15" s="1">
        <f>IF(G15&gt;0, (F15-G15)/G15, 0)</f>
        <v>0.2857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SKU-0493</v>
      </c>
      <c r="R15" t="str">
        <v/>
      </c>
      <c r="S15" t="str">
        <v/>
      </c>
      <c r="T15" t="str">
        <v/>
      </c>
    </row>
    <row r="16">
      <c r="A16">
        <v>13</v>
      </c>
      <c r="B16" t="str">
        <v>قرص فلاحي بالعجوة كجم</v>
      </c>
      <c r="C16" t="str">
        <v>6229007788061</v>
      </c>
      <c r="D16" t="str">
        <v/>
      </c>
      <c r="E16" t="str">
        <v>كجم</v>
      </c>
      <c r="F16">
        <v>95</v>
      </c>
      <c r="G16">
        <v>75</v>
      </c>
      <c r="H16">
        <v>0</v>
      </c>
      <c r="I16">
        <v>3</v>
      </c>
      <c r="J16">
        <f>F16-G16</f>
        <v>20</v>
      </c>
      <c r="K16" s="1">
        <f>IF(G16&gt;0, (F16-G16)/G16, 0)</f>
        <v>0.2667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SKU-0494</v>
      </c>
      <c r="R16" t="str">
        <v/>
      </c>
      <c r="S16" t="str">
        <v/>
      </c>
      <c r="T16" t="str">
        <v/>
      </c>
    </row>
    <row r="17">
      <c r="A17">
        <v>14</v>
      </c>
      <c r="B17" t="str">
        <v>فايش صعيدي بالسمسم كيس 500 جم</v>
      </c>
      <c r="C17" t="str">
        <v>6229007788078</v>
      </c>
      <c r="D17" t="str">
        <v/>
      </c>
      <c r="E17" t="str">
        <v>قطعة</v>
      </c>
      <c r="F17">
        <v>45</v>
      </c>
      <c r="G17">
        <v>34</v>
      </c>
      <c r="H17">
        <v>0</v>
      </c>
      <c r="I17">
        <v>4</v>
      </c>
      <c r="J17">
        <f>F17-G17</f>
        <v>11</v>
      </c>
      <c r="K17" s="1">
        <f>IF(G17&gt;0, (F17-G17)/G17, 0)</f>
        <v>0.3235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SKU-0495</v>
      </c>
      <c r="R17" t="str">
        <v/>
      </c>
      <c r="S17" t="str">
        <v/>
      </c>
      <c r="T17" t="str">
        <v/>
      </c>
    </row>
    <row r="18">
      <c r="A18">
        <v>15</v>
      </c>
      <c r="B18" t="str">
        <v>خبز تورتيلا ريتش بيك 6 أرغفة</v>
      </c>
      <c r="C18" t="str">
        <v>6221104400372</v>
      </c>
      <c r="D18" t="str">
        <v/>
      </c>
      <c r="E18" t="str">
        <v>قطعة</v>
      </c>
      <c r="F18">
        <v>45</v>
      </c>
      <c r="G18">
        <v>34</v>
      </c>
      <c r="H18">
        <v>0</v>
      </c>
      <c r="I18">
        <v>4</v>
      </c>
      <c r="J18">
        <f>F18-G18</f>
        <v>11</v>
      </c>
      <c r="K18" s="1">
        <f>IF(G18&gt;0, (F18-G18)/G18, 0)</f>
        <v>0.3235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SKU-0496</v>
      </c>
      <c r="R18" t="str">
        <v/>
      </c>
      <c r="S18" t="str">
        <v/>
      </c>
      <c r="T18" t="str">
        <v/>
      </c>
    </row>
    <row r="19">
      <c r="A19" t="str">
        <v>الإجمالي</v>
      </c>
      <c r="B19" t="str">
        <v>إجمالي 15 صنف مسجل</v>
      </c>
      <c r="C19" t="str">
        <v/>
      </c>
      <c r="D19" t="str">
        <v/>
      </c>
      <c r="E19" t="str">
        <v/>
      </c>
      <c r="F19" s="2">
        <f>AVERAGE(F4:F18)</f>
      </c>
      <c r="G19" s="2">
        <f>AVERAGE(G4:G18)</f>
      </c>
      <c r="H19" s="3">
        <f>SUM(H4:H18)</f>
      </c>
      <c r="I19" t="str">
        <v/>
      </c>
      <c r="J19" s="2">
        <f>AVERAGE(J4:J18)</f>
      </c>
      <c r="K19" s="1">
        <f>IF(L19&gt;0, N19/L19, 0)</f>
      </c>
      <c r="L19" s="2">
        <f>SUM(L4:L18)</f>
      </c>
      <c r="M19" s="2">
        <f>SUM(M4:M18)</f>
      </c>
      <c r="N19" s="2">
        <f>SUM(N4:N18)</f>
      </c>
      <c r="O19" t="str">
        <v>محسوب بمعادلات إكسل</v>
      </c>
      <c r="P19" t="str">
        <v/>
      </c>
      <c r="Q19" t="str">
        <v/>
      </c>
      <c r="R19" t="str">
        <v/>
      </c>
      <c r="S19" t="str">
        <v/>
      </c>
      <c r="T19" t="str">
        <v/>
      </c>
    </row>
  </sheetData>
  <mergeCells count="2">
    <mergeCell ref="A1:T1"/>
    <mergeCell ref="A2:T2"/>
  </mergeCells>
  <ignoredErrors>
    <ignoredError numberStoredAsText="1" sqref="A1:T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[مجمدات]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ملوخية مفرومة مجمدة بسمة 400 جم</v>
      </c>
      <c r="C4" t="str">
        <v>6221070001016</v>
      </c>
      <c r="D4" t="str">
        <v/>
      </c>
      <c r="E4" t="str">
        <v>قطعة</v>
      </c>
      <c r="F4">
        <v>20</v>
      </c>
      <c r="G4">
        <v>15</v>
      </c>
      <c r="H4">
        <v>0</v>
      </c>
      <c r="I4">
        <v>6</v>
      </c>
      <c r="J4">
        <f>F4-G4</f>
        <v>5</v>
      </c>
      <c r="K4" s="1">
        <f>IF(G4&gt;0, (F4-G4)/G4, 0)</f>
        <v>0.3333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SKU-0497</v>
      </c>
      <c r="R4" t="str">
        <v/>
      </c>
      <c r="S4" t="str">
        <v/>
      </c>
      <c r="T4" t="str">
        <v/>
      </c>
    </row>
    <row r="5">
      <c r="A5">
        <v>2</v>
      </c>
      <c r="B5" t="str">
        <v>ملوخية مفرومة مجمدة جيفركس 400 جم</v>
      </c>
      <c r="C5" t="str">
        <v>6221070001023</v>
      </c>
      <c r="D5" t="str">
        <v/>
      </c>
      <c r="E5" t="str">
        <v>قطعة</v>
      </c>
      <c r="F5">
        <v>18</v>
      </c>
      <c r="G5">
        <v>13.5</v>
      </c>
      <c r="H5">
        <v>0</v>
      </c>
      <c r="I5">
        <v>6</v>
      </c>
      <c r="J5">
        <f>F5-G5</f>
        <v>4.5</v>
      </c>
      <c r="K5" s="1">
        <f>IF(G5&gt;0, (F5-G5)/G5, 0)</f>
        <v>0.3333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SKU-0498</v>
      </c>
      <c r="R5" t="str">
        <v/>
      </c>
      <c r="S5" t="str">
        <v/>
      </c>
      <c r="T5" t="str">
        <v/>
      </c>
    </row>
    <row r="6">
      <c r="A6">
        <v>3</v>
      </c>
      <c r="B6" t="str">
        <v>بازلاء وجزر مجمدة بسمة 400 جم</v>
      </c>
      <c r="C6" t="str">
        <v>6221070002013</v>
      </c>
      <c r="D6" t="str">
        <v/>
      </c>
      <c r="E6" t="str">
        <v>قطعة</v>
      </c>
      <c r="F6">
        <v>25</v>
      </c>
      <c r="G6">
        <v>19</v>
      </c>
      <c r="H6">
        <v>0</v>
      </c>
      <c r="I6">
        <v>5</v>
      </c>
      <c r="J6">
        <f>F6-G6</f>
        <v>6</v>
      </c>
      <c r="K6" s="1">
        <f>IF(G6&gt;0, (F6-G6)/G6, 0)</f>
        <v>0.3158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SKU-0499</v>
      </c>
      <c r="R6" t="str">
        <v/>
      </c>
      <c r="S6" t="str">
        <v/>
      </c>
      <c r="T6" t="str">
        <v/>
      </c>
    </row>
    <row r="7">
      <c r="A7">
        <v>4</v>
      </c>
      <c r="B7" t="str">
        <v>بازلاء خضراء سادة بسمة 400 جم</v>
      </c>
      <c r="C7" t="str">
        <v>6221070002020</v>
      </c>
      <c r="D7" t="str">
        <v/>
      </c>
      <c r="E7" t="str">
        <v>قطعة</v>
      </c>
      <c r="F7">
        <v>25</v>
      </c>
      <c r="G7">
        <v>19</v>
      </c>
      <c r="H7">
        <v>0</v>
      </c>
      <c r="I7">
        <v>5</v>
      </c>
      <c r="J7">
        <f>F7-G7</f>
        <v>6</v>
      </c>
      <c r="K7" s="1">
        <f>IF(G7&gt;0, (F7-G7)/G7, 0)</f>
        <v>0.3158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SKU-0500</v>
      </c>
      <c r="R7" t="str">
        <v/>
      </c>
      <c r="S7" t="str">
        <v/>
      </c>
      <c r="T7" t="str">
        <v/>
      </c>
    </row>
    <row r="8">
      <c r="A8">
        <v>5</v>
      </c>
      <c r="B8" t="str">
        <v>فاصوليا خضراء مجمدة بسمة 400 جم</v>
      </c>
      <c r="C8" t="str">
        <v>6221070002037</v>
      </c>
      <c r="D8" t="str">
        <v/>
      </c>
      <c r="E8" t="str">
        <v>قطعة</v>
      </c>
      <c r="F8">
        <v>22</v>
      </c>
      <c r="G8">
        <v>16.5</v>
      </c>
      <c r="H8">
        <v>0</v>
      </c>
      <c r="I8">
        <v>5</v>
      </c>
      <c r="J8">
        <f>F8-G8</f>
        <v>5.5</v>
      </c>
      <c r="K8" s="1">
        <f>IF(G8&gt;0, (F8-G8)/G8, 0)</f>
        <v>0.3333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SKU-0501</v>
      </c>
      <c r="R8" t="str">
        <v/>
      </c>
      <c r="S8" t="str">
        <v/>
      </c>
      <c r="T8" t="str">
        <v/>
      </c>
    </row>
    <row r="9">
      <c r="A9">
        <v>6</v>
      </c>
      <c r="B9" t="str">
        <v>بامية ممتازة مجمدة بسمة 400 جم</v>
      </c>
      <c r="C9" t="str">
        <v>6221070002044</v>
      </c>
      <c r="D9" t="str">
        <v/>
      </c>
      <c r="E9" t="str">
        <v>قطعة</v>
      </c>
      <c r="F9">
        <v>35</v>
      </c>
      <c r="G9">
        <v>27</v>
      </c>
      <c r="H9">
        <v>0</v>
      </c>
      <c r="I9">
        <v>5</v>
      </c>
      <c r="J9">
        <f>F9-G9</f>
        <v>8</v>
      </c>
      <c r="K9" s="1">
        <f>IF(G9&gt;0, (F9-G9)/G9, 0)</f>
        <v>0.2963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SKU-0502</v>
      </c>
      <c r="R9" t="str">
        <v/>
      </c>
      <c r="S9" t="str">
        <v/>
      </c>
      <c r="T9" t="str">
        <v/>
      </c>
    </row>
    <row r="10">
      <c r="A10">
        <v>7</v>
      </c>
      <c r="B10" t="str">
        <v>سبانخ مجمدة مفرومة بسمة 400 جم</v>
      </c>
      <c r="C10" t="str">
        <v>6221070002051</v>
      </c>
      <c r="D10" t="str">
        <v/>
      </c>
      <c r="E10" t="str">
        <v>قطعة</v>
      </c>
      <c r="F10">
        <v>20</v>
      </c>
      <c r="G10">
        <v>15</v>
      </c>
      <c r="H10">
        <v>0</v>
      </c>
      <c r="I10">
        <v>5</v>
      </c>
      <c r="J10">
        <f>F10-G10</f>
        <v>5</v>
      </c>
      <c r="K10" s="1">
        <f>IF(G10&gt;0, (F10-G10)/G10, 0)</f>
        <v>0.3333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SKU-0503</v>
      </c>
      <c r="R10" t="str">
        <v/>
      </c>
      <c r="S10" t="str">
        <v/>
      </c>
      <c r="T10" t="str">
        <v/>
      </c>
    </row>
    <row r="11">
      <c r="A11">
        <v>8</v>
      </c>
      <c r="B11" t="str">
        <v>خضار مشكل تورلي بسمة 400 جم</v>
      </c>
      <c r="C11" t="str">
        <v>6221070002068</v>
      </c>
      <c r="D11" t="str">
        <v/>
      </c>
      <c r="E11" t="str">
        <v>قطعة</v>
      </c>
      <c r="F11">
        <v>22</v>
      </c>
      <c r="G11">
        <v>16.5</v>
      </c>
      <c r="H11">
        <v>0</v>
      </c>
      <c r="I11">
        <v>5</v>
      </c>
      <c r="J11">
        <f>F11-G11</f>
        <v>5.5</v>
      </c>
      <c r="K11" s="1">
        <f>IF(G11&gt;0, (F11-G11)/G11, 0)</f>
        <v>0.3333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SKU-0504</v>
      </c>
      <c r="R11" t="str">
        <v/>
      </c>
      <c r="S11" t="str">
        <v/>
      </c>
      <c r="T11" t="str">
        <v/>
      </c>
    </row>
    <row r="12">
      <c r="A12">
        <v>9</v>
      </c>
      <c r="B12" t="str">
        <v>قلقاس بالخضرة مجمد بسمة 400 جم</v>
      </c>
      <c r="C12" t="str">
        <v>6221070002075</v>
      </c>
      <c r="D12" t="str">
        <v/>
      </c>
      <c r="E12" t="str">
        <v>قطعة</v>
      </c>
      <c r="F12">
        <v>28</v>
      </c>
      <c r="G12">
        <v>21</v>
      </c>
      <c r="H12">
        <v>0</v>
      </c>
      <c r="I12">
        <v>4</v>
      </c>
      <c r="J12">
        <f>F12-G12</f>
        <v>7</v>
      </c>
      <c r="K12" s="1">
        <f>IF(G12&gt;0, (F12-G12)/G12, 0)</f>
        <v>0.3333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SKU-0505</v>
      </c>
      <c r="R12" t="str">
        <v/>
      </c>
      <c r="S12" t="str">
        <v/>
      </c>
      <c r="T12" t="str">
        <v/>
      </c>
    </row>
    <row r="13">
      <c r="A13">
        <v>10</v>
      </c>
      <c r="B13" t="str">
        <v>بطاطس نصف مقلية فارم فريتس 1 كجم</v>
      </c>
      <c r="C13" t="str">
        <v>6221070003010</v>
      </c>
      <c r="D13" t="str">
        <v/>
      </c>
      <c r="E13" t="str">
        <v>قطعة</v>
      </c>
      <c r="F13">
        <v>65</v>
      </c>
      <c r="G13">
        <v>51</v>
      </c>
      <c r="H13">
        <v>0</v>
      </c>
      <c r="I13">
        <v>5</v>
      </c>
      <c r="J13">
        <f>F13-G13</f>
        <v>14</v>
      </c>
      <c r="K13" s="1">
        <f>IF(G13&gt;0, (F13-G13)/G13, 0)</f>
        <v>0.2745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SKU-0506</v>
      </c>
      <c r="R13" t="str">
        <v/>
      </c>
      <c r="S13" t="str">
        <v/>
      </c>
      <c r="T13" t="str">
        <v/>
      </c>
    </row>
    <row r="14">
      <c r="A14">
        <v>11</v>
      </c>
      <c r="B14" t="str">
        <v>بطاطس نصف مقلية فارم فريتس 2.5 كجم</v>
      </c>
      <c r="C14" t="str">
        <v>6221070003027</v>
      </c>
      <c r="D14" t="str">
        <v/>
      </c>
      <c r="E14" t="str">
        <v>قطعة</v>
      </c>
      <c r="F14">
        <v>145</v>
      </c>
      <c r="G14">
        <v>118</v>
      </c>
      <c r="H14">
        <v>0</v>
      </c>
      <c r="I14">
        <v>4</v>
      </c>
      <c r="J14">
        <f>F14-G14</f>
        <v>27</v>
      </c>
      <c r="K14" s="1">
        <f>IF(G14&gt;0, (F14-G14)/G14, 0)</f>
        <v>0.2288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SKU-0507</v>
      </c>
      <c r="R14" t="str">
        <v/>
      </c>
      <c r="S14" t="str">
        <v/>
      </c>
      <c r="T14" t="str">
        <v/>
      </c>
    </row>
    <row r="15">
      <c r="A15">
        <v>12</v>
      </c>
      <c r="B15" t="str">
        <v>بطاطس نصف مقلية بوم فريت ليزيتا 1 كجم</v>
      </c>
      <c r="C15" t="str">
        <v>6221070003034</v>
      </c>
      <c r="D15" t="str">
        <v/>
      </c>
      <c r="E15" t="str">
        <v>قطعة</v>
      </c>
      <c r="F15">
        <v>55</v>
      </c>
      <c r="G15">
        <v>42</v>
      </c>
      <c r="H15">
        <v>0</v>
      </c>
      <c r="I15">
        <v>5</v>
      </c>
      <c r="J15">
        <f>F15-G15</f>
        <v>13</v>
      </c>
      <c r="K15" s="1">
        <f>IF(G15&gt;0, (F15-G15)/G15, 0)</f>
        <v>0.3095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SKU-0508</v>
      </c>
      <c r="R15" t="str">
        <v/>
      </c>
      <c r="S15" t="str">
        <v/>
      </c>
      <c r="T15" t="str">
        <v/>
      </c>
    </row>
    <row r="16">
      <c r="A16">
        <v>13</v>
      </c>
      <c r="B16" t="str">
        <v>برجر بقري أطياب 8 قطع جامبو</v>
      </c>
      <c r="C16" t="str">
        <v>6221070004017</v>
      </c>
      <c r="D16" t="str">
        <v/>
      </c>
      <c r="E16" t="str">
        <v>قطعة</v>
      </c>
      <c r="F16">
        <v>95</v>
      </c>
      <c r="G16">
        <v>76</v>
      </c>
      <c r="H16">
        <v>0</v>
      </c>
      <c r="I16">
        <v>4</v>
      </c>
      <c r="J16">
        <f>F16-G16</f>
        <v>19</v>
      </c>
      <c r="K16" s="1">
        <f>IF(G16&gt;0, (F16-G16)/G16, 0)</f>
        <v>0.25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SKU-0509</v>
      </c>
      <c r="R16" t="str">
        <v/>
      </c>
      <c r="S16" t="str">
        <v/>
      </c>
      <c r="T16" t="str">
        <v/>
      </c>
    </row>
    <row r="17">
      <c r="A17">
        <v>14</v>
      </c>
      <c r="B17" t="str">
        <v>برجر بقري أطياب 24 قطعة عائلي</v>
      </c>
      <c r="C17" t="str">
        <v>6221070004024</v>
      </c>
      <c r="D17" t="str">
        <v/>
      </c>
      <c r="E17" t="str">
        <v>قطعة</v>
      </c>
      <c r="F17">
        <v>220</v>
      </c>
      <c r="G17">
        <v>180</v>
      </c>
      <c r="H17">
        <v>0</v>
      </c>
      <c r="I17">
        <v>3</v>
      </c>
      <c r="J17">
        <f>F17-G17</f>
        <v>40</v>
      </c>
      <c r="K17" s="1">
        <f>IF(G17&gt;0, (F17-G17)/G17, 0)</f>
        <v>0.2222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SKU-0510</v>
      </c>
      <c r="R17" t="str">
        <v/>
      </c>
      <c r="S17" t="str">
        <v/>
      </c>
      <c r="T17" t="str">
        <v/>
      </c>
    </row>
    <row r="18">
      <c r="A18">
        <v>15</v>
      </c>
      <c r="B18" t="str">
        <v>بانيه دجاج أطياب مقرمش عادي 1 كجم</v>
      </c>
      <c r="C18" t="str">
        <v>6221070004031</v>
      </c>
      <c r="D18" t="str">
        <v/>
      </c>
      <c r="E18" t="str">
        <v>قطعة</v>
      </c>
      <c r="F18">
        <v>190</v>
      </c>
      <c r="G18">
        <v>155</v>
      </c>
      <c r="H18">
        <v>0</v>
      </c>
      <c r="I18">
        <v>4</v>
      </c>
      <c r="J18">
        <f>F18-G18</f>
        <v>35</v>
      </c>
      <c r="K18" s="1">
        <f>IF(G18&gt;0, (F18-G18)/G18, 0)</f>
        <v>0.2258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SKU-0511</v>
      </c>
      <c r="R18" t="str">
        <v/>
      </c>
      <c r="S18" t="str">
        <v/>
      </c>
      <c r="T18" t="str">
        <v/>
      </c>
    </row>
    <row r="19">
      <c r="A19">
        <v>16</v>
      </c>
      <c r="B19" t="str">
        <v>بانيه دجاج أطياب مقرمش حار 1 كجم</v>
      </c>
      <c r="C19" t="str">
        <v>6221070004048</v>
      </c>
      <c r="D19" t="str">
        <v/>
      </c>
      <c r="E19" t="str">
        <v>قطعة</v>
      </c>
      <c r="F19">
        <v>190</v>
      </c>
      <c r="G19">
        <v>155</v>
      </c>
      <c r="H19">
        <v>0</v>
      </c>
      <c r="I19">
        <v>4</v>
      </c>
      <c r="J19">
        <f>F19-G19</f>
        <v>35</v>
      </c>
      <c r="K19" s="1">
        <f>IF(G19&gt;0, (F19-G19)/G19, 0)</f>
        <v>0.2258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SKU-0512</v>
      </c>
      <c r="R19" t="str">
        <v/>
      </c>
      <c r="S19" t="str">
        <v/>
      </c>
      <c r="T19" t="str">
        <v/>
      </c>
    </row>
    <row r="20">
      <c r="A20">
        <v>17</v>
      </c>
      <c r="B20" t="str">
        <v>بانيه دجاج كوكي كرانشي 1 كجم</v>
      </c>
      <c r="C20" t="str">
        <v>6221070004055</v>
      </c>
      <c r="D20" t="str">
        <v/>
      </c>
      <c r="E20" t="str">
        <v>قطعة</v>
      </c>
      <c r="F20">
        <v>175</v>
      </c>
      <c r="G20">
        <v>140</v>
      </c>
      <c r="H20">
        <v>0</v>
      </c>
      <c r="I20">
        <v>4</v>
      </c>
      <c r="J20">
        <f>F20-G20</f>
        <v>35</v>
      </c>
      <c r="K20" s="1">
        <f>IF(G20&gt;0, (F20-G20)/G20, 0)</f>
        <v>0.25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SKU-0513</v>
      </c>
      <c r="R20" t="str">
        <v/>
      </c>
      <c r="S20" t="str">
        <v/>
      </c>
      <c r="T20" t="str">
        <v/>
      </c>
    </row>
    <row r="21">
      <c r="A21">
        <v>18</v>
      </c>
      <c r="B21" t="str">
        <v>كفتة لحم بقري أطياب للشوي 900 جم</v>
      </c>
      <c r="C21" t="str">
        <v>6221070004062</v>
      </c>
      <c r="D21" t="str">
        <v/>
      </c>
      <c r="E21" t="str">
        <v>قطعة</v>
      </c>
      <c r="F21">
        <v>180</v>
      </c>
      <c r="G21">
        <v>145</v>
      </c>
      <c r="H21">
        <v>0</v>
      </c>
      <c r="I21">
        <v>3</v>
      </c>
      <c r="J21">
        <f>F21-G21</f>
        <v>35</v>
      </c>
      <c r="K21" s="1">
        <f>IF(G21&gt;0, (F21-G21)/G21, 0)</f>
        <v>0.2414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SKU-0514</v>
      </c>
      <c r="R21" t="str">
        <v/>
      </c>
      <c r="S21" t="str">
        <v/>
      </c>
      <c r="T21" t="str">
        <v/>
      </c>
    </row>
    <row r="22">
      <c r="A22">
        <v>19</v>
      </c>
      <c r="B22" t="str">
        <v>كفتة حسن وحسين بقري 400 جم</v>
      </c>
      <c r="C22" t="str">
        <v>6221070004079</v>
      </c>
      <c r="D22" t="str">
        <v/>
      </c>
      <c r="E22" t="str">
        <v>قطعة</v>
      </c>
      <c r="F22">
        <v>75</v>
      </c>
      <c r="G22">
        <v>58</v>
      </c>
      <c r="H22">
        <v>0</v>
      </c>
      <c r="I22">
        <v>4</v>
      </c>
      <c r="J22">
        <f>F22-G22</f>
        <v>17</v>
      </c>
      <c r="K22" s="1">
        <f>IF(G22&gt;0, (F22-G22)/G22, 0)</f>
        <v>0.2931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SKU-0515</v>
      </c>
      <c r="R22" t="str">
        <v/>
      </c>
      <c r="S22" t="str">
        <v/>
      </c>
      <c r="T22" t="str">
        <v/>
      </c>
    </row>
    <row r="23">
      <c r="A23">
        <v>20</v>
      </c>
      <c r="B23" t="str">
        <v>فرانكفورتر هوت دوج بقري فرجلو 300 جم</v>
      </c>
      <c r="C23" t="str">
        <v>6221070005014</v>
      </c>
      <c r="D23" t="str">
        <v/>
      </c>
      <c r="E23" t="str">
        <v>قطعة</v>
      </c>
      <c r="F23">
        <v>55</v>
      </c>
      <c r="G23">
        <v>42</v>
      </c>
      <c r="H23">
        <v>0</v>
      </c>
      <c r="I23">
        <v>4</v>
      </c>
      <c r="J23">
        <f>F23-G23</f>
        <v>13</v>
      </c>
      <c r="K23" s="1">
        <f>IF(G23&gt;0, (F23-G23)/G23, 0)</f>
        <v>0.3095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SKU-0516</v>
      </c>
      <c r="R23" t="str">
        <v/>
      </c>
      <c r="S23" t="str">
        <v/>
      </c>
      <c r="T23" t="str">
        <v/>
      </c>
    </row>
    <row r="24">
      <c r="A24">
        <v>21</v>
      </c>
      <c r="B24" t="str">
        <v>سجق شرقي فرجلو 400 جم</v>
      </c>
      <c r="C24" t="str">
        <v>6221070005021</v>
      </c>
      <c r="D24" t="str">
        <v/>
      </c>
      <c r="E24" t="str">
        <v>قطعة</v>
      </c>
      <c r="F24">
        <v>75</v>
      </c>
      <c r="G24">
        <v>60</v>
      </c>
      <c r="H24">
        <v>0</v>
      </c>
      <c r="I24">
        <v>4</v>
      </c>
      <c r="J24">
        <f>F24-G24</f>
        <v>15</v>
      </c>
      <c r="K24" s="1">
        <f>IF(G24&gt;0, (F24-G24)/G24, 0)</f>
        <v>0.25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SKU-0517</v>
      </c>
      <c r="R24" t="str">
        <v/>
      </c>
      <c r="S24" t="str">
        <v/>
      </c>
      <c r="T24" t="str">
        <v/>
      </c>
    </row>
    <row r="25">
      <c r="A25">
        <v>22</v>
      </c>
      <c r="B25" t="str">
        <v>استربس دجاج أطياب مقرمش 1 كجم</v>
      </c>
      <c r="C25" t="str">
        <v>6221070004086</v>
      </c>
      <c r="D25" t="str">
        <v/>
      </c>
      <c r="E25" t="str">
        <v>قطعة</v>
      </c>
      <c r="F25">
        <v>210</v>
      </c>
      <c r="G25">
        <v>170</v>
      </c>
      <c r="H25">
        <v>0</v>
      </c>
      <c r="I25">
        <v>3</v>
      </c>
      <c r="J25">
        <f>F25-G25</f>
        <v>40</v>
      </c>
      <c r="K25" s="1">
        <f>IF(G25&gt;0, (F25-G25)/G25, 0)</f>
        <v>0.2353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SKU-0518</v>
      </c>
      <c r="R25" t="str">
        <v/>
      </c>
      <c r="S25" t="str">
        <v/>
      </c>
      <c r="T25" t="str">
        <v/>
      </c>
    </row>
    <row r="26">
      <c r="A26">
        <v>23</v>
      </c>
      <c r="B26" t="str">
        <v>سمبوسك بالجبنة بسمة 400 جم</v>
      </c>
      <c r="C26" t="str">
        <v>6221070006011</v>
      </c>
      <c r="D26" t="str">
        <v/>
      </c>
      <c r="E26" t="str">
        <v>قطعة</v>
      </c>
      <c r="F26">
        <v>55</v>
      </c>
      <c r="G26">
        <v>42</v>
      </c>
      <c r="H26">
        <v>0</v>
      </c>
      <c r="I26">
        <v>4</v>
      </c>
      <c r="J26">
        <f>F26-G26</f>
        <v>13</v>
      </c>
      <c r="K26" s="1">
        <f>IF(G26&gt;0, (F26-G26)/G26, 0)</f>
        <v>0.3095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SKU-0519</v>
      </c>
      <c r="R26" t="str">
        <v/>
      </c>
      <c r="S26" t="str">
        <v/>
      </c>
      <c r="T26" t="str">
        <v/>
      </c>
    </row>
    <row r="27">
      <c r="A27">
        <v>24</v>
      </c>
      <c r="B27" t="str">
        <v>جلاش فاخر الزهار 350 جم</v>
      </c>
      <c r="C27" t="str">
        <v>6221070006028</v>
      </c>
      <c r="D27" t="str">
        <v/>
      </c>
      <c r="E27" t="str">
        <v>قطعة</v>
      </c>
      <c r="F27">
        <v>20</v>
      </c>
      <c r="G27">
        <v>14.5</v>
      </c>
      <c r="H27">
        <v>0</v>
      </c>
      <c r="I27">
        <v>6</v>
      </c>
      <c r="J27">
        <f>F27-G27</f>
        <v>5.5</v>
      </c>
      <c r="K27" s="1">
        <f>IF(G27&gt;0, (F27-G27)/G27, 0)</f>
        <v>0.3793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SKU-0520</v>
      </c>
      <c r="R27" t="str">
        <v/>
      </c>
      <c r="S27" t="str">
        <v/>
      </c>
      <c r="T27" t="str">
        <v/>
      </c>
    </row>
    <row r="28">
      <c r="A28">
        <v>25</v>
      </c>
      <c r="B28" t="str">
        <v>عجينة سمبوسة سويتر 500 جم</v>
      </c>
      <c r="C28" t="str">
        <v>6281001230018</v>
      </c>
      <c r="D28" t="str">
        <v/>
      </c>
      <c r="E28" t="str">
        <v>قطعة</v>
      </c>
      <c r="F28">
        <v>45</v>
      </c>
      <c r="G28">
        <v>34</v>
      </c>
      <c r="H28">
        <v>0</v>
      </c>
      <c r="I28">
        <v>5</v>
      </c>
      <c r="J28">
        <f>F28-G28</f>
        <v>11</v>
      </c>
      <c r="K28" s="1">
        <f>IF(G28&gt;0, (F28-G28)/G28, 0)</f>
        <v>0.3235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SKU-0521</v>
      </c>
      <c r="R28" t="str">
        <v/>
      </c>
      <c r="S28" t="str">
        <v/>
      </c>
      <c r="T28" t="str">
        <v/>
      </c>
    </row>
    <row r="29">
      <c r="A29" t="str">
        <v>الإجمالي</v>
      </c>
      <c r="B29" t="str">
        <v>إجمالي 25 صنف مسجل</v>
      </c>
      <c r="C29" t="str">
        <v/>
      </c>
      <c r="D29" t="str">
        <v/>
      </c>
      <c r="E29" t="str">
        <v/>
      </c>
      <c r="F29" s="2">
        <f>AVERAGE(F4:F28)</f>
      </c>
      <c r="G29" s="2">
        <f>AVERAGE(G4:G28)</f>
      </c>
      <c r="H29" s="3">
        <f>SUM(H4:H28)</f>
      </c>
      <c r="I29" t="str">
        <v/>
      </c>
      <c r="J29" s="2">
        <f>AVERAGE(J4:J28)</f>
      </c>
      <c r="K29" s="1">
        <f>IF(L29&gt;0, N29/L29, 0)</f>
      </c>
      <c r="L29" s="2">
        <f>SUM(L4:L28)</f>
      </c>
      <c r="M29" s="2">
        <f>SUM(M4:M28)</f>
      </c>
      <c r="N29" s="2">
        <f>SUM(N4:N28)</f>
      </c>
      <c r="O29" t="str">
        <v>محسوب بمعادلات إكسل</v>
      </c>
      <c r="P29" t="str">
        <v/>
      </c>
      <c r="Q29" t="str">
        <v/>
      </c>
      <c r="R29" t="str">
        <v/>
      </c>
      <c r="S29" t="str">
        <v/>
      </c>
      <c r="T29" t="str">
        <v/>
      </c>
    </row>
  </sheetData>
  <mergeCells count="2">
    <mergeCell ref="A1:T1"/>
    <mergeCell ref="A2:T2"/>
  </mergeCells>
  <ignoredErrors>
    <ignoredError numberStoredAsText="1" sqref="A1:T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[خضار وفاكهة]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طماطم بلدي طازجة سلك كجم</v>
      </c>
      <c r="C4" t="str">
        <v>2001</v>
      </c>
      <c r="D4" t="str">
        <v/>
      </c>
      <c r="E4" t="str">
        <v>كجم</v>
      </c>
      <c r="F4">
        <v>15</v>
      </c>
      <c r="G4">
        <v>10</v>
      </c>
      <c r="H4">
        <v>0</v>
      </c>
      <c r="I4">
        <v>15</v>
      </c>
      <c r="J4">
        <f>F4-G4</f>
        <v>5</v>
      </c>
      <c r="K4" s="1">
        <f>IF(G4&gt;0, (F4-G4)/G4, 0)</f>
        <v>0.5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SKU-0522</v>
      </c>
      <c r="R4" t="str">
        <v/>
      </c>
      <c r="S4" t="str">
        <v/>
      </c>
      <c r="T4" t="str">
        <v/>
      </c>
    </row>
    <row r="5">
      <c r="A5">
        <v>2</v>
      </c>
      <c r="B5" t="str">
        <v>بطاطس كارا تحمير كجم</v>
      </c>
      <c r="C5" t="str">
        <v>2002</v>
      </c>
      <c r="D5" t="str">
        <v/>
      </c>
      <c r="E5" t="str">
        <v>كجم</v>
      </c>
      <c r="F5">
        <v>18</v>
      </c>
      <c r="G5">
        <v>12.5</v>
      </c>
      <c r="H5">
        <v>0</v>
      </c>
      <c r="I5">
        <v>20</v>
      </c>
      <c r="J5">
        <f>F5-G5</f>
        <v>5.5</v>
      </c>
      <c r="K5" s="1">
        <f>IF(G5&gt;0, (F5-G5)/G5, 0)</f>
        <v>0.44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SKU-0523</v>
      </c>
      <c r="R5" t="str">
        <v/>
      </c>
      <c r="S5" t="str">
        <v/>
      </c>
      <c r="T5" t="str">
        <v/>
      </c>
    </row>
    <row r="6">
      <c r="A6">
        <v>3</v>
      </c>
      <c r="B6" t="str">
        <v>بصل أحمر بلدي كجم</v>
      </c>
      <c r="C6" t="str">
        <v>2003</v>
      </c>
      <c r="D6" t="str">
        <v/>
      </c>
      <c r="E6" t="str">
        <v>كجم</v>
      </c>
      <c r="F6">
        <v>14</v>
      </c>
      <c r="G6">
        <v>9.5</v>
      </c>
      <c r="H6">
        <v>0</v>
      </c>
      <c r="I6">
        <v>15</v>
      </c>
      <c r="J6">
        <f>F6-G6</f>
        <v>4.5</v>
      </c>
      <c r="K6" s="1">
        <f>IF(G6&gt;0, (F6-G6)/G6, 0)</f>
        <v>0.4737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SKU-0524</v>
      </c>
      <c r="R6" t="str">
        <v/>
      </c>
      <c r="S6" t="str">
        <v/>
      </c>
      <c r="T6" t="str">
        <v/>
      </c>
    </row>
    <row r="7">
      <c r="A7">
        <v>4</v>
      </c>
      <c r="B7" t="str">
        <v>بصل أبيض تخزين كجم</v>
      </c>
      <c r="C7" t="str">
        <v>2004</v>
      </c>
      <c r="D7" t="str">
        <v/>
      </c>
      <c r="E7" t="str">
        <v>كجم</v>
      </c>
      <c r="F7">
        <v>15</v>
      </c>
      <c r="G7">
        <v>10.5</v>
      </c>
      <c r="H7">
        <v>0</v>
      </c>
      <c r="I7">
        <v>10</v>
      </c>
      <c r="J7">
        <f>F7-G7</f>
        <v>4.5</v>
      </c>
      <c r="K7" s="1">
        <f>IF(G7&gt;0, (F7-G7)/G7, 0)</f>
        <v>0.4286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SKU-0525</v>
      </c>
      <c r="R7" t="str">
        <v/>
      </c>
      <c r="S7" t="str">
        <v/>
      </c>
      <c r="T7" t="str">
        <v/>
      </c>
    </row>
    <row r="8">
      <c r="A8">
        <v>5</v>
      </c>
      <c r="B8" t="str">
        <v>خيار بلدي صوب كجم</v>
      </c>
      <c r="C8" t="str">
        <v>2005</v>
      </c>
      <c r="D8" t="str">
        <v/>
      </c>
      <c r="E8" t="str">
        <v>كجم</v>
      </c>
      <c r="F8">
        <v>16</v>
      </c>
      <c r="G8">
        <v>11</v>
      </c>
      <c r="H8">
        <v>0</v>
      </c>
      <c r="I8">
        <v>10</v>
      </c>
      <c r="J8">
        <f>F8-G8</f>
        <v>5</v>
      </c>
      <c r="K8" s="1">
        <f>IF(G8&gt;0, (F8-G8)/G8, 0)</f>
        <v>0.4545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SKU-0526</v>
      </c>
      <c r="R8" t="str">
        <v/>
      </c>
      <c r="S8" t="str">
        <v/>
      </c>
      <c r="T8" t="str">
        <v/>
      </c>
    </row>
    <row r="9">
      <c r="A9">
        <v>6</v>
      </c>
      <c r="B9" t="str">
        <v>ليمون بلدي أصفر كجم</v>
      </c>
      <c r="C9" t="str">
        <v>2006</v>
      </c>
      <c r="D9" t="str">
        <v/>
      </c>
      <c r="E9" t="str">
        <v>كجم</v>
      </c>
      <c r="F9">
        <v>25</v>
      </c>
      <c r="G9">
        <v>17</v>
      </c>
      <c r="H9">
        <v>0</v>
      </c>
      <c r="I9">
        <v>6</v>
      </c>
      <c r="J9">
        <f>F9-G9</f>
        <v>8</v>
      </c>
      <c r="K9" s="1">
        <f>IF(G9&gt;0, (F9-G9)/G9, 0)</f>
        <v>0.4706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SKU-0527</v>
      </c>
      <c r="R9" t="str">
        <v/>
      </c>
      <c r="S9" t="str">
        <v/>
      </c>
      <c r="T9" t="str">
        <v/>
      </c>
    </row>
    <row r="10">
      <c r="A10">
        <v>7</v>
      </c>
      <c r="B10" t="str">
        <v>فلفل رومي أخضر بلدي كجم</v>
      </c>
      <c r="C10" t="str">
        <v>2007</v>
      </c>
      <c r="D10" t="str">
        <v/>
      </c>
      <c r="E10" t="str">
        <v>كجم</v>
      </c>
      <c r="F10">
        <v>20</v>
      </c>
      <c r="G10">
        <v>14</v>
      </c>
      <c r="H10">
        <v>0</v>
      </c>
      <c r="I10">
        <v>6</v>
      </c>
      <c r="J10">
        <f>F10-G10</f>
        <v>6</v>
      </c>
      <c r="K10" s="1">
        <f>IF(G10&gt;0, (F10-G10)/G10, 0)</f>
        <v>0.4286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SKU-0528</v>
      </c>
      <c r="R10" t="str">
        <v/>
      </c>
      <c r="S10" t="str">
        <v/>
      </c>
      <c r="T10" t="str">
        <v/>
      </c>
    </row>
    <row r="11">
      <c r="A11">
        <v>8</v>
      </c>
      <c r="B11" t="str">
        <v>فلفل حامي شطة أخضر كجم</v>
      </c>
      <c r="C11" t="str">
        <v>2008</v>
      </c>
      <c r="D11" t="str">
        <v/>
      </c>
      <c r="E11" t="str">
        <v>كجم</v>
      </c>
      <c r="F11">
        <v>22</v>
      </c>
      <c r="G11">
        <v>15</v>
      </c>
      <c r="H11">
        <v>0</v>
      </c>
      <c r="I11">
        <v>5</v>
      </c>
      <c r="J11">
        <f>F11-G11</f>
        <v>7</v>
      </c>
      <c r="K11" s="1">
        <f>IF(G11&gt;0, (F11-G11)/G11, 0)</f>
        <v>0.4667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SKU-0529</v>
      </c>
      <c r="R11" t="str">
        <v/>
      </c>
      <c r="S11" t="str">
        <v/>
      </c>
      <c r="T11" t="str">
        <v/>
      </c>
    </row>
    <row r="12">
      <c r="A12">
        <v>9</v>
      </c>
      <c r="B12" t="str">
        <v>فلفل ألوان أحمر وأصفر كجم</v>
      </c>
      <c r="C12" t="str">
        <v>2009</v>
      </c>
      <c r="D12" t="str">
        <v/>
      </c>
      <c r="E12" t="str">
        <v>كجم</v>
      </c>
      <c r="F12">
        <v>45</v>
      </c>
      <c r="G12">
        <v>32</v>
      </c>
      <c r="H12">
        <v>0</v>
      </c>
      <c r="I12">
        <v>5</v>
      </c>
      <c r="J12">
        <f>F12-G12</f>
        <v>13</v>
      </c>
      <c r="K12" s="1">
        <f>IF(G12&gt;0, (F12-G12)/G12, 0)</f>
        <v>0.4063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SKU-0530</v>
      </c>
      <c r="R12" t="str">
        <v/>
      </c>
      <c r="S12" t="str">
        <v/>
      </c>
      <c r="T12" t="str">
        <v/>
      </c>
    </row>
    <row r="13">
      <c r="A13">
        <v>10</v>
      </c>
      <c r="B13" t="str">
        <v>باذنجان رومي أسود كجم</v>
      </c>
      <c r="C13" t="str">
        <v>2010</v>
      </c>
      <c r="D13" t="str">
        <v/>
      </c>
      <c r="E13" t="str">
        <v>كجم</v>
      </c>
      <c r="F13">
        <v>14</v>
      </c>
      <c r="G13">
        <v>9</v>
      </c>
      <c r="H13">
        <v>0</v>
      </c>
      <c r="I13">
        <v>8</v>
      </c>
      <c r="J13">
        <f>F13-G13</f>
        <v>5</v>
      </c>
      <c r="K13" s="1">
        <f>IF(G13&gt;0, (F13-G13)/G13, 0)</f>
        <v>0.5556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SKU-0531</v>
      </c>
      <c r="R13" t="str">
        <v/>
      </c>
      <c r="S13" t="str">
        <v/>
      </c>
      <c r="T13" t="str">
        <v/>
      </c>
    </row>
    <row r="14">
      <c r="A14">
        <v>11</v>
      </c>
      <c r="B14" t="str">
        <v>باذنجان عروس أبيض وأسود كجم</v>
      </c>
      <c r="C14" t="str">
        <v>2011</v>
      </c>
      <c r="D14" t="str">
        <v/>
      </c>
      <c r="E14" t="str">
        <v>كجم</v>
      </c>
      <c r="F14">
        <v>16</v>
      </c>
      <c r="G14">
        <v>11</v>
      </c>
      <c r="H14">
        <v>0</v>
      </c>
      <c r="I14">
        <v>6</v>
      </c>
      <c r="J14">
        <f>F14-G14</f>
        <v>5</v>
      </c>
      <c r="K14" s="1">
        <f>IF(G14&gt;0, (F14-G14)/G14, 0)</f>
        <v>0.4545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SKU-0532</v>
      </c>
      <c r="R14" t="str">
        <v/>
      </c>
      <c r="S14" t="str">
        <v/>
      </c>
      <c r="T14" t="str">
        <v/>
      </c>
    </row>
    <row r="15">
      <c r="A15">
        <v>12</v>
      </c>
      <c r="B15" t="str">
        <v>كوسة خضراء طازجة كجم</v>
      </c>
      <c r="C15" t="str">
        <v>2012</v>
      </c>
      <c r="D15" t="str">
        <v/>
      </c>
      <c r="E15" t="str">
        <v>كجم</v>
      </c>
      <c r="F15">
        <v>18</v>
      </c>
      <c r="G15">
        <v>12</v>
      </c>
      <c r="H15">
        <v>0</v>
      </c>
      <c r="I15">
        <v>6</v>
      </c>
      <c r="J15">
        <f>F15-G15</f>
        <v>6</v>
      </c>
      <c r="K15" s="1">
        <f>IF(G15&gt;0, (F15-G15)/G15, 0)</f>
        <v>0.5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SKU-0533</v>
      </c>
      <c r="R15" t="str">
        <v/>
      </c>
      <c r="S15" t="str">
        <v/>
      </c>
      <c r="T15" t="str">
        <v/>
      </c>
    </row>
    <row r="16">
      <c r="A16">
        <v>13</v>
      </c>
      <c r="B16" t="str">
        <v>جزر أصفر مسكر كجم</v>
      </c>
      <c r="C16" t="str">
        <v>2013</v>
      </c>
      <c r="D16" t="str">
        <v/>
      </c>
      <c r="E16" t="str">
        <v>كجم</v>
      </c>
      <c r="F16">
        <v>15</v>
      </c>
      <c r="G16">
        <v>10</v>
      </c>
      <c r="H16">
        <v>0</v>
      </c>
      <c r="I16">
        <v>8</v>
      </c>
      <c r="J16">
        <f>F16-G16</f>
        <v>5</v>
      </c>
      <c r="K16" s="1">
        <f>IF(G16&gt;0, (F16-G16)/G16, 0)</f>
        <v>0.5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SKU-0534</v>
      </c>
      <c r="R16" t="str">
        <v/>
      </c>
      <c r="S16" t="str">
        <v/>
      </c>
      <c r="T16" t="str">
        <v/>
      </c>
    </row>
    <row r="17">
      <c r="A17">
        <v>14</v>
      </c>
      <c r="B17" t="str">
        <v>ثوم أحمر شبكة 500 جم</v>
      </c>
      <c r="C17" t="str">
        <v>2014</v>
      </c>
      <c r="D17" t="str">
        <v/>
      </c>
      <c r="E17" t="str">
        <v>قطعة</v>
      </c>
      <c r="F17">
        <v>30</v>
      </c>
      <c r="G17">
        <v>22</v>
      </c>
      <c r="H17">
        <v>0</v>
      </c>
      <c r="I17">
        <v>5</v>
      </c>
      <c r="J17">
        <f>F17-G17</f>
        <v>8</v>
      </c>
      <c r="K17" s="1">
        <f>IF(G17&gt;0, (F17-G17)/G17, 0)</f>
        <v>0.3636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SKU-0535</v>
      </c>
      <c r="R17" t="str">
        <v/>
      </c>
      <c r="S17" t="str">
        <v/>
      </c>
      <c r="T17" t="str">
        <v/>
      </c>
    </row>
    <row r="18">
      <c r="A18">
        <v>15</v>
      </c>
      <c r="B18" t="str">
        <v>بطاطا حلوة سكري كجم</v>
      </c>
      <c r="C18" t="str">
        <v>2025</v>
      </c>
      <c r="D18" t="str">
        <v/>
      </c>
      <c r="E18" t="str">
        <v>كجم</v>
      </c>
      <c r="F18">
        <v>12</v>
      </c>
      <c r="G18">
        <v>7.5</v>
      </c>
      <c r="H18">
        <v>0</v>
      </c>
      <c r="I18">
        <v>10</v>
      </c>
      <c r="J18">
        <f>F18-G18</f>
        <v>4.5</v>
      </c>
      <c r="K18" s="1">
        <f>IF(G18&gt;0, (F18-G18)/G18, 0)</f>
        <v>0.6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SKU-0536</v>
      </c>
      <c r="R18" t="str">
        <v/>
      </c>
      <c r="S18" t="str">
        <v/>
      </c>
      <c r="T18" t="str">
        <v/>
      </c>
    </row>
    <row r="19">
      <c r="A19">
        <v>16</v>
      </c>
      <c r="B19" t="str">
        <v>موز بلدي سكري كجم</v>
      </c>
      <c r="C19" t="str">
        <v>2015</v>
      </c>
      <c r="D19" t="str">
        <v/>
      </c>
      <c r="E19" t="str">
        <v>كجم</v>
      </c>
      <c r="F19">
        <v>20</v>
      </c>
      <c r="G19">
        <v>14.5</v>
      </c>
      <c r="H19">
        <v>0</v>
      </c>
      <c r="I19">
        <v>10</v>
      </c>
      <c r="J19">
        <f>F19-G19</f>
        <v>5.5</v>
      </c>
      <c r="K19" s="1">
        <f>IF(G19&gt;0, (F19-G19)/G19, 0)</f>
        <v>0.3793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SKU-0537</v>
      </c>
      <c r="R19" t="str">
        <v/>
      </c>
      <c r="S19" t="str">
        <v/>
      </c>
      <c r="T19" t="str">
        <v/>
      </c>
    </row>
    <row r="20">
      <c r="A20">
        <v>17</v>
      </c>
      <c r="B20" t="str">
        <v>تفاح أحمر سكري كجم</v>
      </c>
      <c r="C20" t="str">
        <v>2016</v>
      </c>
      <c r="D20" t="str">
        <v/>
      </c>
      <c r="E20" t="str">
        <v>كجم</v>
      </c>
      <c r="F20">
        <v>45</v>
      </c>
      <c r="G20">
        <v>34</v>
      </c>
      <c r="H20">
        <v>0</v>
      </c>
      <c r="I20">
        <v>8</v>
      </c>
      <c r="J20">
        <f>F20-G20</f>
        <v>11</v>
      </c>
      <c r="K20" s="1">
        <f>IF(G20&gt;0, (F20-G20)/G20, 0)</f>
        <v>0.3235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SKU-0538</v>
      </c>
      <c r="R20" t="str">
        <v/>
      </c>
      <c r="S20" t="str">
        <v/>
      </c>
      <c r="T20" t="str">
        <v/>
      </c>
    </row>
    <row r="21">
      <c r="A21">
        <v>18</v>
      </c>
      <c r="B21" t="str">
        <v>تفاح أصفر جولدن كجم</v>
      </c>
      <c r="C21" t="str">
        <v>2017</v>
      </c>
      <c r="D21" t="str">
        <v/>
      </c>
      <c r="E21" t="str">
        <v>كجم</v>
      </c>
      <c r="F21">
        <v>50</v>
      </c>
      <c r="G21">
        <v>38</v>
      </c>
      <c r="H21">
        <v>0</v>
      </c>
      <c r="I21">
        <v>6</v>
      </c>
      <c r="J21">
        <f>F21-G21</f>
        <v>12</v>
      </c>
      <c r="K21" s="1">
        <f>IF(G21&gt;0, (F21-G21)/G21, 0)</f>
        <v>0.3158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SKU-0539</v>
      </c>
      <c r="R21" t="str">
        <v/>
      </c>
      <c r="S21" t="str">
        <v/>
      </c>
      <c r="T21" t="str">
        <v/>
      </c>
    </row>
    <row r="22">
      <c r="A22">
        <v>19</v>
      </c>
      <c r="B22" t="str">
        <v>برتقال بلدي عصير كجم</v>
      </c>
      <c r="C22" t="str">
        <v>2018</v>
      </c>
      <c r="D22" t="str">
        <v/>
      </c>
      <c r="E22" t="str">
        <v>كجم</v>
      </c>
      <c r="F22">
        <v>15</v>
      </c>
      <c r="G22">
        <v>10</v>
      </c>
      <c r="H22">
        <v>0</v>
      </c>
      <c r="I22">
        <v>10</v>
      </c>
      <c r="J22">
        <f>F22-G22</f>
        <v>5</v>
      </c>
      <c r="K22" s="1">
        <f>IF(G22&gt;0, (F22-G22)/G22, 0)</f>
        <v>0.5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SKU-0540</v>
      </c>
      <c r="R22" t="str">
        <v/>
      </c>
      <c r="S22" t="str">
        <v/>
      </c>
      <c r="T22" t="str">
        <v/>
      </c>
    </row>
    <row r="23">
      <c r="A23">
        <v>20</v>
      </c>
      <c r="B23" t="str">
        <v>برتقال بسرة فاخر كجم</v>
      </c>
      <c r="C23" t="str">
        <v>2019</v>
      </c>
      <c r="D23" t="str">
        <v/>
      </c>
      <c r="E23" t="str">
        <v>كجم</v>
      </c>
      <c r="F23">
        <v>20</v>
      </c>
      <c r="G23">
        <v>14</v>
      </c>
      <c r="H23">
        <v>0</v>
      </c>
      <c r="I23">
        <v>10</v>
      </c>
      <c r="J23">
        <f>F23-G23</f>
        <v>6</v>
      </c>
      <c r="K23" s="1">
        <f>IF(G23&gt;0, (F23-G23)/G23, 0)</f>
        <v>0.4286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SKU-0541</v>
      </c>
      <c r="R23" t="str">
        <v/>
      </c>
      <c r="S23" t="str">
        <v/>
      </c>
      <c r="T23" t="str">
        <v/>
      </c>
    </row>
    <row r="24">
      <c r="A24">
        <v>21</v>
      </c>
      <c r="B24" t="str">
        <v>يوسفي بلدي كجم</v>
      </c>
      <c r="C24" t="str">
        <v>2020</v>
      </c>
      <c r="D24" t="str">
        <v/>
      </c>
      <c r="E24" t="str">
        <v>كجم</v>
      </c>
      <c r="F24">
        <v>18</v>
      </c>
      <c r="G24">
        <v>12.5</v>
      </c>
      <c r="H24">
        <v>0</v>
      </c>
      <c r="I24">
        <v>8</v>
      </c>
      <c r="J24">
        <f>F24-G24</f>
        <v>5.5</v>
      </c>
      <c r="K24" s="1">
        <f>IF(G24&gt;0, (F24-G24)/G24, 0)</f>
        <v>0.44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SKU-0542</v>
      </c>
      <c r="R24" t="str">
        <v/>
      </c>
      <c r="S24" t="str">
        <v/>
      </c>
      <c r="T24" t="str">
        <v/>
      </c>
    </row>
    <row r="25">
      <c r="A25">
        <v>22</v>
      </c>
      <c r="B25" t="str">
        <v>جوافة بناتي بلدي كجم</v>
      </c>
      <c r="C25" t="str">
        <v>2021</v>
      </c>
      <c r="D25" t="str">
        <v/>
      </c>
      <c r="E25" t="str">
        <v>كجم</v>
      </c>
      <c r="F25">
        <v>22</v>
      </c>
      <c r="G25">
        <v>15</v>
      </c>
      <c r="H25">
        <v>0</v>
      </c>
      <c r="I25">
        <v>6</v>
      </c>
      <c r="J25">
        <f>F25-G25</f>
        <v>7</v>
      </c>
      <c r="K25" s="1">
        <f>IF(G25&gt;0, (F25-G25)/G25, 0)</f>
        <v>0.4667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SKU-0543</v>
      </c>
      <c r="R25" t="str">
        <v/>
      </c>
      <c r="S25" t="str">
        <v/>
      </c>
      <c r="T25" t="str">
        <v/>
      </c>
    </row>
    <row r="26">
      <c r="A26">
        <v>23</v>
      </c>
      <c r="B26" t="str">
        <v>عنب بناتي أحمر كجم</v>
      </c>
      <c r="C26" t="str">
        <v>2022</v>
      </c>
      <c r="D26" t="str">
        <v/>
      </c>
      <c r="E26" t="str">
        <v>كجم</v>
      </c>
      <c r="F26">
        <v>35</v>
      </c>
      <c r="G26">
        <v>26</v>
      </c>
      <c r="H26">
        <v>0</v>
      </c>
      <c r="I26">
        <v>5</v>
      </c>
      <c r="J26">
        <f>F26-G26</f>
        <v>9</v>
      </c>
      <c r="K26" s="1">
        <f>IF(G26&gt;0, (F26-G26)/G26, 0)</f>
        <v>0.3462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SKU-0544</v>
      </c>
      <c r="R26" t="str">
        <v/>
      </c>
      <c r="S26" t="str">
        <v/>
      </c>
      <c r="T26" t="str">
        <v/>
      </c>
    </row>
    <row r="27">
      <c r="A27">
        <v>24</v>
      </c>
      <c r="B27" t="str">
        <v>مانجو زبدية كجم</v>
      </c>
      <c r="C27" t="str">
        <v>2023</v>
      </c>
      <c r="D27" t="str">
        <v/>
      </c>
      <c r="E27" t="str">
        <v>كجم</v>
      </c>
      <c r="F27">
        <v>40</v>
      </c>
      <c r="G27">
        <v>28</v>
      </c>
      <c r="H27">
        <v>0</v>
      </c>
      <c r="I27">
        <v>5</v>
      </c>
      <c r="J27">
        <f>F27-G27</f>
        <v>12</v>
      </c>
      <c r="K27" s="1">
        <f>IF(G27&gt;0, (F27-G27)/G27, 0)</f>
        <v>0.4286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SKU-0545</v>
      </c>
      <c r="R27" t="str">
        <v/>
      </c>
      <c r="S27" t="str">
        <v/>
      </c>
      <c r="T27" t="str">
        <v/>
      </c>
    </row>
    <row r="28">
      <c r="A28">
        <v>25</v>
      </c>
      <c r="B28" t="str">
        <v>بطيخ أحمر جيزة كجم</v>
      </c>
      <c r="C28" t="str">
        <v>2024</v>
      </c>
      <c r="D28" t="str">
        <v/>
      </c>
      <c r="E28" t="str">
        <v>كجم</v>
      </c>
      <c r="F28">
        <v>12</v>
      </c>
      <c r="G28">
        <v>8</v>
      </c>
      <c r="H28">
        <v>0</v>
      </c>
      <c r="I28">
        <v>15</v>
      </c>
      <c r="J28">
        <f>F28-G28</f>
        <v>4</v>
      </c>
      <c r="K28" s="1">
        <f>IF(G28&gt;0, (F28-G28)/G28, 0)</f>
        <v>0.5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SKU-0546</v>
      </c>
      <c r="R28" t="str">
        <v/>
      </c>
      <c r="S28" t="str">
        <v/>
      </c>
      <c r="T28" t="str">
        <v/>
      </c>
    </row>
    <row r="29">
      <c r="A29" t="str">
        <v>الإجمالي</v>
      </c>
      <c r="B29" t="str">
        <v>إجمالي 25 صنف مسجل</v>
      </c>
      <c r="C29" t="str">
        <v/>
      </c>
      <c r="D29" t="str">
        <v/>
      </c>
      <c r="E29" t="str">
        <v/>
      </c>
      <c r="F29" s="2">
        <f>AVERAGE(F4:F28)</f>
      </c>
      <c r="G29" s="2">
        <f>AVERAGE(G4:G28)</f>
      </c>
      <c r="H29" s="3">
        <f>SUM(H4:H28)</f>
      </c>
      <c r="I29" t="str">
        <v/>
      </c>
      <c r="J29" s="2">
        <f>AVERAGE(J4:J28)</f>
      </c>
      <c r="K29" s="1">
        <f>IF(L29&gt;0, N29/L29, 0)</f>
      </c>
      <c r="L29" s="2">
        <f>SUM(L4:L28)</f>
      </c>
      <c r="M29" s="2">
        <f>SUM(M4:M28)</f>
      </c>
      <c r="N29" s="2">
        <f>SUM(N4:N28)</f>
      </c>
      <c r="O29" t="str">
        <v>محسوب بمعادلات إكسل</v>
      </c>
      <c r="P29" t="str">
        <v/>
      </c>
      <c r="Q29" t="str">
        <v/>
      </c>
      <c r="R29" t="str">
        <v/>
      </c>
      <c r="S29" t="str">
        <v/>
      </c>
      <c r="T29" t="str">
        <v/>
      </c>
    </row>
  </sheetData>
  <mergeCells count="2">
    <mergeCell ref="A1:T1"/>
    <mergeCell ref="A2:T2"/>
  </mergeCells>
  <ignoredErrors>
    <ignoredError numberStoredAsText="1" sqref="A1:T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[دخان وسجائر]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علبة سجائر كليوباترا بوكس أبيض</v>
      </c>
      <c r="C4" t="str">
        <v>6229900010016</v>
      </c>
      <c r="D4" t="str">
        <v/>
      </c>
      <c r="E4" t="str">
        <v>قطعة</v>
      </c>
      <c r="F4">
        <v>40</v>
      </c>
      <c r="G4">
        <v>36</v>
      </c>
      <c r="H4">
        <v>0</v>
      </c>
      <c r="I4">
        <v>15</v>
      </c>
      <c r="J4">
        <f>F4-G4</f>
        <v>4</v>
      </c>
      <c r="K4" s="1">
        <f>IF(G4&gt;0, (F4-G4)/G4, 0)</f>
        <v>0.1111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SKU-0547</v>
      </c>
      <c r="R4" t="str">
        <v/>
      </c>
      <c r="S4" t="str">
        <v/>
      </c>
      <c r="T4" t="str">
        <v/>
      </c>
    </row>
    <row r="5">
      <c r="A5">
        <v>2</v>
      </c>
      <c r="B5" t="str">
        <v>علبة سجائر كليوباترا كينج سايز أحمر</v>
      </c>
      <c r="C5" t="str">
        <v>6229900010061</v>
      </c>
      <c r="D5" t="str">
        <v/>
      </c>
      <c r="E5" t="str">
        <v>قطعة</v>
      </c>
      <c r="F5">
        <v>40</v>
      </c>
      <c r="G5">
        <v>36</v>
      </c>
      <c r="H5">
        <v>0</v>
      </c>
      <c r="I5">
        <v>12</v>
      </c>
      <c r="J5">
        <f>F5-G5</f>
        <v>4</v>
      </c>
      <c r="K5" s="1">
        <f>IF(G5&gt;0, (F5-G5)/G5, 0)</f>
        <v>0.1111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SKU-0548</v>
      </c>
      <c r="R5" t="str">
        <v/>
      </c>
      <c r="S5" t="str">
        <v/>
      </c>
      <c r="T5" t="str">
        <v/>
      </c>
    </row>
    <row r="6">
      <c r="A6">
        <v>3</v>
      </c>
      <c r="B6" t="str">
        <v>علبة سجائر كليوباترا سوفت كوين</v>
      </c>
      <c r="C6" t="str">
        <v>6229900010078</v>
      </c>
      <c r="D6" t="str">
        <v/>
      </c>
      <c r="E6" t="str">
        <v>قطعة</v>
      </c>
      <c r="F6">
        <v>40</v>
      </c>
      <c r="G6">
        <v>36</v>
      </c>
      <c r="H6">
        <v>0</v>
      </c>
      <c r="I6">
        <v>12</v>
      </c>
      <c r="J6">
        <f>F6-G6</f>
        <v>4</v>
      </c>
      <c r="K6" s="1">
        <f>IF(G6&gt;0, (F6-G6)/G6, 0)</f>
        <v>0.1111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SKU-0549</v>
      </c>
      <c r="R6" t="str">
        <v/>
      </c>
      <c r="S6" t="str">
        <v/>
      </c>
      <c r="T6" t="str">
        <v/>
      </c>
    </row>
    <row r="7">
      <c r="A7">
        <v>4</v>
      </c>
      <c r="B7" t="str">
        <v>علبة سجائر كليوباترا بلاك ليبول</v>
      </c>
      <c r="C7" t="str">
        <v>6229900010085</v>
      </c>
      <c r="D7" t="str">
        <v/>
      </c>
      <c r="E7" t="str">
        <v>قطعة</v>
      </c>
      <c r="F7">
        <v>42</v>
      </c>
      <c r="G7">
        <v>37.5</v>
      </c>
      <c r="H7">
        <v>0</v>
      </c>
      <c r="I7">
        <v>8</v>
      </c>
      <c r="J7">
        <f>F7-G7</f>
        <v>4.5</v>
      </c>
      <c r="K7" s="1">
        <f>IF(G7&gt;0, (F7-G7)/G7, 0)</f>
        <v>0.12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SKU-0550</v>
      </c>
      <c r="R7" t="str">
        <v/>
      </c>
      <c r="S7" t="str">
        <v/>
      </c>
      <c r="T7" t="str">
        <v/>
      </c>
    </row>
    <row r="8">
      <c r="A8">
        <v>5</v>
      </c>
      <c r="B8" t="str">
        <v>علبة سجائر سوبر ماتوسيان أزرق</v>
      </c>
      <c r="C8" t="str">
        <v>6229900010092</v>
      </c>
      <c r="D8" t="str">
        <v/>
      </c>
      <c r="E8" t="str">
        <v>قطعة</v>
      </c>
      <c r="F8">
        <v>40</v>
      </c>
      <c r="G8">
        <v>36</v>
      </c>
      <c r="H8">
        <v>0</v>
      </c>
      <c r="I8">
        <v>8</v>
      </c>
      <c r="J8">
        <f>F8-G8</f>
        <v>4</v>
      </c>
      <c r="K8" s="1">
        <f>IF(G8&gt;0, (F8-G8)/G8, 0)</f>
        <v>0.1111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SKU-0551</v>
      </c>
      <c r="R8" t="str">
        <v/>
      </c>
      <c r="S8" t="str">
        <v/>
      </c>
      <c r="T8" t="str">
        <v/>
      </c>
    </row>
    <row r="9">
      <c r="A9">
        <v>6</v>
      </c>
      <c r="B9" t="str">
        <v>علبة سجائر إل إم أزرق</v>
      </c>
      <c r="C9" t="str">
        <v>7622100800019</v>
      </c>
      <c r="D9" t="str">
        <v/>
      </c>
      <c r="E9" t="str">
        <v>قطعة</v>
      </c>
      <c r="F9">
        <v>74</v>
      </c>
      <c r="G9">
        <v>69</v>
      </c>
      <c r="H9">
        <v>0</v>
      </c>
      <c r="I9">
        <v>10</v>
      </c>
      <c r="J9">
        <f>F9-G9</f>
        <v>5</v>
      </c>
      <c r="K9" s="1">
        <f>IF(G9&gt;0, (F9-G9)/G9, 0)</f>
        <v>0.0725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SKU-0552</v>
      </c>
      <c r="R9" t="str">
        <v/>
      </c>
      <c r="S9" t="str">
        <v/>
      </c>
      <c r="T9" t="str">
        <v/>
      </c>
    </row>
    <row r="10">
      <c r="A10">
        <v>7</v>
      </c>
      <c r="B10" t="str">
        <v>علبة سجائر إل إم أحمر</v>
      </c>
      <c r="C10" t="str">
        <v>7622100800026</v>
      </c>
      <c r="D10" t="str">
        <v/>
      </c>
      <c r="E10" t="str">
        <v>قطعة</v>
      </c>
      <c r="F10">
        <v>74</v>
      </c>
      <c r="G10">
        <v>69</v>
      </c>
      <c r="H10">
        <v>0</v>
      </c>
      <c r="I10">
        <v>10</v>
      </c>
      <c r="J10">
        <f>F10-G10</f>
        <v>5</v>
      </c>
      <c r="K10" s="1">
        <f>IF(G10&gt;0, (F10-G10)/G10, 0)</f>
        <v>0.0725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SKU-0553</v>
      </c>
      <c r="R10" t="str">
        <v/>
      </c>
      <c r="S10" t="str">
        <v/>
      </c>
      <c r="T10" t="str">
        <v/>
      </c>
    </row>
    <row r="11">
      <c r="A11">
        <v>8</v>
      </c>
      <c r="B11" t="str">
        <v>علبة سجائر إل إم سيلفر فضي</v>
      </c>
      <c r="C11" t="str">
        <v>7622100800033</v>
      </c>
      <c r="D11" t="str">
        <v/>
      </c>
      <c r="E11" t="str">
        <v>قطعة</v>
      </c>
      <c r="F11">
        <v>74</v>
      </c>
      <c r="G11">
        <v>69</v>
      </c>
      <c r="H11">
        <v>0</v>
      </c>
      <c r="I11">
        <v>8</v>
      </c>
      <c r="J11">
        <f>F11-G11</f>
        <v>5</v>
      </c>
      <c r="K11" s="1">
        <f>IF(G11&gt;0, (F11-G11)/G11, 0)</f>
        <v>0.0725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SKU-0554</v>
      </c>
      <c r="R11" t="str">
        <v/>
      </c>
      <c r="S11" t="str">
        <v/>
      </c>
      <c r="T11" t="str">
        <v/>
      </c>
    </row>
    <row r="12">
      <c r="A12">
        <v>9</v>
      </c>
      <c r="B12" t="str">
        <v>علبة سجائر مارلبورو أحمر</v>
      </c>
      <c r="C12" t="str">
        <v>7622100900016</v>
      </c>
      <c r="D12" t="str">
        <v/>
      </c>
      <c r="E12" t="str">
        <v>قطعة</v>
      </c>
      <c r="F12">
        <v>94</v>
      </c>
      <c r="G12">
        <v>88</v>
      </c>
      <c r="H12">
        <v>0</v>
      </c>
      <c r="I12">
        <v>8</v>
      </c>
      <c r="J12">
        <f>F12-G12</f>
        <v>6</v>
      </c>
      <c r="K12" s="1">
        <f>IF(G12&gt;0, (F12-G12)/G12, 0)</f>
        <v>0.0682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SKU-0555</v>
      </c>
      <c r="R12" t="str">
        <v/>
      </c>
      <c r="S12" t="str">
        <v/>
      </c>
      <c r="T12" t="str">
        <v/>
      </c>
    </row>
    <row r="13">
      <c r="A13">
        <v>10</v>
      </c>
      <c r="B13" t="str">
        <v>علبة سجائر مارلبورو جولد</v>
      </c>
      <c r="C13" t="str">
        <v>7622100900023</v>
      </c>
      <c r="D13" t="str">
        <v/>
      </c>
      <c r="E13" t="str">
        <v>قطعة</v>
      </c>
      <c r="F13">
        <v>94</v>
      </c>
      <c r="G13">
        <v>88</v>
      </c>
      <c r="H13">
        <v>0</v>
      </c>
      <c r="I13">
        <v>8</v>
      </c>
      <c r="J13">
        <f>F13-G13</f>
        <v>6</v>
      </c>
      <c r="K13" s="1">
        <f>IF(G13&gt;0, (F13-G13)/G13, 0)</f>
        <v>0.0682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SKU-0556</v>
      </c>
      <c r="R13" t="str">
        <v/>
      </c>
      <c r="S13" t="str">
        <v/>
      </c>
      <c r="T13" t="str">
        <v/>
      </c>
    </row>
    <row r="14">
      <c r="A14">
        <v>11</v>
      </c>
      <c r="B14" t="str">
        <v>علبة سجائر مارلبورو كرافتد أزرق</v>
      </c>
      <c r="C14" t="str">
        <v>7622100900047</v>
      </c>
      <c r="D14" t="str">
        <v/>
      </c>
      <c r="E14" t="str">
        <v>قطعة</v>
      </c>
      <c r="F14">
        <v>84</v>
      </c>
      <c r="G14">
        <v>78</v>
      </c>
      <c r="H14">
        <v>0</v>
      </c>
      <c r="I14">
        <v>6</v>
      </c>
      <c r="J14">
        <f>F14-G14</f>
        <v>6</v>
      </c>
      <c r="K14" s="1">
        <f>IF(G14&gt;0, (F14-G14)/G14, 0)</f>
        <v>0.0769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SKU-0557</v>
      </c>
      <c r="R14" t="str">
        <v/>
      </c>
      <c r="S14" t="str">
        <v/>
      </c>
      <c r="T14" t="str">
        <v/>
      </c>
    </row>
    <row r="15">
      <c r="A15">
        <v>12</v>
      </c>
      <c r="B15" t="str">
        <v>علبة سجائر ميريت أصفر</v>
      </c>
      <c r="C15" t="str">
        <v>7622100900030</v>
      </c>
      <c r="D15" t="str">
        <v/>
      </c>
      <c r="E15" t="str">
        <v>قطعة</v>
      </c>
      <c r="F15">
        <v>100</v>
      </c>
      <c r="G15">
        <v>94</v>
      </c>
      <c r="H15">
        <v>0</v>
      </c>
      <c r="I15">
        <v>5</v>
      </c>
      <c r="J15">
        <f>F15-G15</f>
        <v>6</v>
      </c>
      <c r="K15" s="1">
        <f>IF(G15&gt;0, (F15-G15)/G15, 0)</f>
        <v>0.0638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SKU-0558</v>
      </c>
      <c r="R15" t="str">
        <v/>
      </c>
      <c r="S15" t="str">
        <v/>
      </c>
      <c r="T15" t="str">
        <v/>
      </c>
    </row>
    <row r="16">
      <c r="A16">
        <v>13</v>
      </c>
      <c r="B16" t="str">
        <v>علبة سجائر ميريت أزرق</v>
      </c>
      <c r="C16" t="str">
        <v>7622100900054</v>
      </c>
      <c r="D16" t="str">
        <v/>
      </c>
      <c r="E16" t="str">
        <v>قطعة</v>
      </c>
      <c r="F16">
        <v>100</v>
      </c>
      <c r="G16">
        <v>94</v>
      </c>
      <c r="H16">
        <v>0</v>
      </c>
      <c r="I16">
        <v>5</v>
      </c>
      <c r="J16">
        <f>F16-G16</f>
        <v>6</v>
      </c>
      <c r="K16" s="1">
        <f>IF(G16&gt;0, (F16-G16)/G16, 0)</f>
        <v>0.0638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SKU-0559</v>
      </c>
      <c r="R16" t="str">
        <v/>
      </c>
      <c r="S16" t="str">
        <v/>
      </c>
      <c r="T16" t="str">
        <v/>
      </c>
    </row>
    <row r="17">
      <c r="A17">
        <v>14</v>
      </c>
      <c r="B17" t="str">
        <v>علبة سجائر وينستون أزرق</v>
      </c>
      <c r="C17" t="str">
        <v>6229900020015</v>
      </c>
      <c r="D17" t="str">
        <v/>
      </c>
      <c r="E17" t="str">
        <v>قطعة</v>
      </c>
      <c r="F17">
        <v>62</v>
      </c>
      <c r="G17">
        <v>57</v>
      </c>
      <c r="H17">
        <v>0</v>
      </c>
      <c r="I17">
        <v>8</v>
      </c>
      <c r="J17">
        <f>F17-G17</f>
        <v>5</v>
      </c>
      <c r="K17" s="1">
        <f>IF(G17&gt;0, (F17-G17)/G17, 0)</f>
        <v>0.0877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SKU-0560</v>
      </c>
      <c r="R17" t="str">
        <v/>
      </c>
      <c r="S17" t="str">
        <v/>
      </c>
      <c r="T17" t="str">
        <v/>
      </c>
    </row>
    <row r="18">
      <c r="A18">
        <v>15</v>
      </c>
      <c r="B18" t="str">
        <v>علبة سجائر وينستون أحمر</v>
      </c>
      <c r="C18" t="str">
        <v>6229900020022</v>
      </c>
      <c r="D18" t="str">
        <v/>
      </c>
      <c r="E18" t="str">
        <v>قطعة</v>
      </c>
      <c r="F18">
        <v>62</v>
      </c>
      <c r="G18">
        <v>57</v>
      </c>
      <c r="H18">
        <v>0</v>
      </c>
      <c r="I18">
        <v>8</v>
      </c>
      <c r="J18">
        <f>F18-G18</f>
        <v>5</v>
      </c>
      <c r="K18" s="1">
        <f>IF(G18&gt;0, (F18-G18)/G18, 0)</f>
        <v>0.0877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SKU-0561</v>
      </c>
      <c r="R18" t="str">
        <v/>
      </c>
      <c r="S18" t="str">
        <v/>
      </c>
      <c r="T18" t="str">
        <v/>
      </c>
    </row>
    <row r="19">
      <c r="A19">
        <v>16</v>
      </c>
      <c r="B19" t="str">
        <v>علبة سجائر وينستون سيلفر</v>
      </c>
      <c r="C19" t="str">
        <v>6229900020039</v>
      </c>
      <c r="D19" t="str">
        <v/>
      </c>
      <c r="E19" t="str">
        <v>قطعة</v>
      </c>
      <c r="F19">
        <v>62</v>
      </c>
      <c r="G19">
        <v>57</v>
      </c>
      <c r="H19">
        <v>0</v>
      </c>
      <c r="I19">
        <v>6</v>
      </c>
      <c r="J19">
        <f>F19-G19</f>
        <v>5</v>
      </c>
      <c r="K19" s="1">
        <f>IF(G19&gt;0, (F19-G19)/G19, 0)</f>
        <v>0.0877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SKU-0562</v>
      </c>
      <c r="R19" t="str">
        <v/>
      </c>
      <c r="S19" t="str">
        <v/>
      </c>
      <c r="T19" t="str">
        <v/>
      </c>
    </row>
    <row r="20">
      <c r="A20">
        <v>17</v>
      </c>
      <c r="B20" t="str">
        <v>علبة سجائر وينستون كاستر</v>
      </c>
      <c r="C20" t="str">
        <v>6229900020046</v>
      </c>
      <c r="D20" t="str">
        <v/>
      </c>
      <c r="E20" t="str">
        <v>قطعة</v>
      </c>
      <c r="F20">
        <v>64</v>
      </c>
      <c r="G20">
        <v>58.5</v>
      </c>
      <c r="H20">
        <v>0</v>
      </c>
      <c r="I20">
        <v>6</v>
      </c>
      <c r="J20">
        <f>F20-G20</f>
        <v>5.5</v>
      </c>
      <c r="K20" s="1">
        <f>IF(G20&gt;0, (F20-G20)/G20, 0)</f>
        <v>0.094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SKU-0563</v>
      </c>
      <c r="R20" t="str">
        <v/>
      </c>
      <c r="S20" t="str">
        <v/>
      </c>
      <c r="T20" t="str">
        <v/>
      </c>
    </row>
    <row r="21">
      <c r="A21">
        <v>18</v>
      </c>
      <c r="B21" t="str">
        <v>علبة سجائر تارجت أزرق</v>
      </c>
      <c r="C21" t="str">
        <v>6229900020053</v>
      </c>
      <c r="D21" t="str">
        <v/>
      </c>
      <c r="E21" t="str">
        <v>قطعة</v>
      </c>
      <c r="F21">
        <v>40</v>
      </c>
      <c r="G21">
        <v>36</v>
      </c>
      <c r="H21">
        <v>0</v>
      </c>
      <c r="I21">
        <v>6</v>
      </c>
      <c r="J21">
        <f>F21-G21</f>
        <v>4</v>
      </c>
      <c r="K21" s="1">
        <f>IF(G21&gt;0, (F21-G21)/G21, 0)</f>
        <v>0.1111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SKU-0564</v>
      </c>
      <c r="R21" t="str">
        <v/>
      </c>
      <c r="S21" t="str">
        <v/>
      </c>
      <c r="T21" t="str">
        <v/>
      </c>
    </row>
    <row r="22">
      <c r="A22">
        <v>19</v>
      </c>
      <c r="B22" t="str">
        <v>ولاعة إلكترونية شفافة</v>
      </c>
      <c r="C22" t="str">
        <v>6229900010030</v>
      </c>
      <c r="D22" t="str">
        <v/>
      </c>
      <c r="E22" t="str">
        <v>قطعة</v>
      </c>
      <c r="F22">
        <v>5</v>
      </c>
      <c r="G22">
        <v>2.5</v>
      </c>
      <c r="H22">
        <v>0</v>
      </c>
      <c r="I22">
        <v>15</v>
      </c>
      <c r="J22">
        <f>F22-G22</f>
        <v>2.5</v>
      </c>
      <c r="K22" s="1">
        <f>IF(G22&gt;0, (F22-G22)/G22, 0)</f>
        <v>1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SKU-0565</v>
      </c>
      <c r="R22" t="str">
        <v/>
      </c>
      <c r="S22" t="str">
        <v/>
      </c>
      <c r="T22" t="str">
        <v/>
      </c>
    </row>
    <row r="23">
      <c r="A23">
        <v>20</v>
      </c>
      <c r="B23" t="str">
        <v>ولاعة كريكيت معدنية أصلية</v>
      </c>
      <c r="C23" t="str">
        <v>6229900010054</v>
      </c>
      <c r="D23" t="str">
        <v/>
      </c>
      <c r="E23" t="str">
        <v>قطعة</v>
      </c>
      <c r="F23">
        <v>20</v>
      </c>
      <c r="G23">
        <v>14</v>
      </c>
      <c r="H23">
        <v>0</v>
      </c>
      <c r="I23">
        <v>8</v>
      </c>
      <c r="J23">
        <f>F23-G23</f>
        <v>6</v>
      </c>
      <c r="K23" s="1">
        <f>IF(G23&gt;0, (F23-G23)/G23, 0)</f>
        <v>0.4286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SKU-0566</v>
      </c>
      <c r="R23" t="str">
        <v/>
      </c>
      <c r="S23" t="str">
        <v/>
      </c>
      <c r="T23" t="str">
        <v/>
      </c>
    </row>
    <row r="24">
      <c r="A24">
        <v>21</v>
      </c>
      <c r="B24" t="str">
        <v>علبة كبريت فراشة</v>
      </c>
      <c r="C24" t="str">
        <v>6229900010047</v>
      </c>
      <c r="D24" t="str">
        <v/>
      </c>
      <c r="E24" t="str">
        <v>قطعة</v>
      </c>
      <c r="F24">
        <v>1</v>
      </c>
      <c r="G24">
        <v>0.5</v>
      </c>
      <c r="H24">
        <v>0</v>
      </c>
      <c r="I24">
        <v>20</v>
      </c>
      <c r="J24">
        <f>F24-G24</f>
        <v>0.5</v>
      </c>
      <c r="K24" s="1">
        <f>IF(G24&gt;0, (F24-G24)/G24, 0)</f>
        <v>1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SKU-0567</v>
      </c>
      <c r="R24" t="str">
        <v/>
      </c>
      <c r="S24" t="str">
        <v/>
      </c>
      <c r="T24" t="str">
        <v/>
      </c>
    </row>
    <row r="25">
      <c r="A25">
        <v>22</v>
      </c>
      <c r="B25" t="str">
        <v>معسل سلوم 250 جم باكت</v>
      </c>
      <c r="C25" t="str">
        <v>6229900030014</v>
      </c>
      <c r="D25" t="str">
        <v/>
      </c>
      <c r="E25" t="str">
        <v>قطعة</v>
      </c>
      <c r="F25">
        <v>35</v>
      </c>
      <c r="G25">
        <v>28</v>
      </c>
      <c r="H25">
        <v>0</v>
      </c>
      <c r="I25">
        <v>5</v>
      </c>
      <c r="J25">
        <f>F25-G25</f>
        <v>7</v>
      </c>
      <c r="K25" s="1">
        <f>IF(G25&gt;0, (F25-G25)/G25, 0)</f>
        <v>0.25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SKU-0568</v>
      </c>
      <c r="R25" t="str">
        <v/>
      </c>
      <c r="S25" t="str">
        <v/>
      </c>
      <c r="T25" t="str">
        <v/>
      </c>
    </row>
    <row r="26">
      <c r="A26">
        <v>23</v>
      </c>
      <c r="B26" t="str">
        <v>معسل القص أحمر 250 جم باكت</v>
      </c>
      <c r="C26" t="str">
        <v>6229900030021</v>
      </c>
      <c r="D26" t="str">
        <v/>
      </c>
      <c r="E26" t="str">
        <v>قطعة</v>
      </c>
      <c r="F26">
        <v>35</v>
      </c>
      <c r="G26">
        <v>28</v>
      </c>
      <c r="H26">
        <v>0</v>
      </c>
      <c r="I26">
        <v>5</v>
      </c>
      <c r="J26">
        <f>F26-G26</f>
        <v>7</v>
      </c>
      <c r="K26" s="1">
        <f>IF(G26&gt;0, (F26-G26)/G26, 0)</f>
        <v>0.25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SKU-0569</v>
      </c>
      <c r="R26" t="str">
        <v/>
      </c>
      <c r="S26" t="str">
        <v/>
      </c>
      <c r="T26" t="str">
        <v/>
      </c>
    </row>
    <row r="27">
      <c r="A27">
        <v>24</v>
      </c>
      <c r="B27" t="str">
        <v>فحم سريع الاشتعال للشيشة لفة 10 أقراص</v>
      </c>
      <c r="C27" t="str">
        <v>6229900030038</v>
      </c>
      <c r="D27" t="str">
        <v/>
      </c>
      <c r="E27" t="str">
        <v>قطعة</v>
      </c>
      <c r="F27">
        <v>15</v>
      </c>
      <c r="G27">
        <v>9</v>
      </c>
      <c r="H27">
        <v>0</v>
      </c>
      <c r="I27">
        <v>6</v>
      </c>
      <c r="J27">
        <f>F27-G27</f>
        <v>6</v>
      </c>
      <c r="K27" s="1">
        <f>IF(G27&gt;0, (F27-G27)/G27, 0)</f>
        <v>0.6667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SKU-0570</v>
      </c>
      <c r="R27" t="str">
        <v/>
      </c>
      <c r="S27" t="str">
        <v/>
      </c>
      <c r="T27" t="str">
        <v/>
      </c>
    </row>
    <row r="28">
      <c r="A28">
        <v>25</v>
      </c>
      <c r="B28" t="str">
        <v>مبسم شيشة صحي كيس 100 قطعة</v>
      </c>
      <c r="C28" t="str">
        <v>6229900030045</v>
      </c>
      <c r="D28" t="str">
        <v/>
      </c>
      <c r="E28" t="str">
        <v>قطعة</v>
      </c>
      <c r="F28">
        <v>30</v>
      </c>
      <c r="G28">
        <v>18</v>
      </c>
      <c r="H28">
        <v>0</v>
      </c>
      <c r="I28">
        <v>4</v>
      </c>
      <c r="J28">
        <f>F28-G28</f>
        <v>12</v>
      </c>
      <c r="K28" s="1">
        <f>IF(G28&gt;0, (F28-G28)/G28, 0)</f>
        <v>0.6667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SKU-0571</v>
      </c>
      <c r="R28" t="str">
        <v/>
      </c>
      <c r="S28" t="str">
        <v/>
      </c>
      <c r="T28" t="str">
        <v/>
      </c>
    </row>
    <row r="29">
      <c r="A29" t="str">
        <v>الإجمالي</v>
      </c>
      <c r="B29" t="str">
        <v>إجمالي 25 صنف مسجل</v>
      </c>
      <c r="C29" t="str">
        <v/>
      </c>
      <c r="D29" t="str">
        <v/>
      </c>
      <c r="E29" t="str">
        <v/>
      </c>
      <c r="F29" s="2">
        <f>AVERAGE(F4:F28)</f>
      </c>
      <c r="G29" s="2">
        <f>AVERAGE(G4:G28)</f>
      </c>
      <c r="H29" s="3">
        <f>SUM(H4:H28)</f>
      </c>
      <c r="I29" t="str">
        <v/>
      </c>
      <c r="J29" s="2">
        <f>AVERAGE(J4:J28)</f>
      </c>
      <c r="K29" s="1">
        <f>IF(L29&gt;0, N29/L29, 0)</f>
      </c>
      <c r="L29" s="2">
        <f>SUM(L4:L28)</f>
      </c>
      <c r="M29" s="2">
        <f>SUM(M4:M28)</f>
      </c>
      <c r="N29" s="2">
        <f>SUM(N4:N28)</f>
      </c>
      <c r="O29" t="str">
        <v>محسوب بمعادلات إكسل</v>
      </c>
      <c r="P29" t="str">
        <v/>
      </c>
      <c r="Q29" t="str">
        <v/>
      </c>
      <c r="R29" t="str">
        <v/>
      </c>
      <c r="S29" t="str">
        <v/>
      </c>
      <c r="T29" t="str">
        <v/>
      </c>
    </row>
  </sheetData>
  <mergeCells count="2">
    <mergeCell ref="A1:T1"/>
    <mergeCell ref="A2:T2"/>
  </mergeCells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ألبان وأجبان</vt:lpstr>
      <vt:lpstr>معلبات وبقوليات</vt:lpstr>
      <vt:lpstr>مشروبات وعصائر</vt:lpstr>
      <vt:lpstr>بسكويت وحلويات</vt:lpstr>
      <vt:lpstr>منظفات وعناية منزلية</vt:lpstr>
      <vt:lpstr>مخبوزات</vt:lpstr>
      <vt:lpstr>مجمدات</vt:lpstr>
      <vt:lpstr>خضار وفاكهة</vt:lpstr>
      <vt:lpstr>دخان وسجائر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