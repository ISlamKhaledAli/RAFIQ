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ألعاب ذكاء وتركيب" sheetId="1" r:id="rId1"/>
    <sheet name="سيارات وطائرات تحكم" sheetId="2" r:id="rId2"/>
    <sheet name="عرائس ومجسمات" sheetId="3" r:id="rId3"/>
    <sheet name="ألعاب تعليمية ورضع" sheetId="4" r:id="rId4"/>
    <sheet name="ألعاب حركية ورياضية" sheetId="5" r:id="rId5"/>
    <sheet name="سكوتر وركوب" sheetId="6" r:id="rId6"/>
    <sheet name="هدايا وتغليف وبطاريات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%"/>
    <numFmt numFmtId="61" formatCode="#,##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[ألعاب ذكاء وتركيب]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مكعبات تركيب أطفال ليجو كلاسيك 150 قطعة</v>
      </c>
      <c r="C4" t="str">
        <v>6979900110015</v>
      </c>
      <c r="D4" t="str">
        <v/>
      </c>
      <c r="E4" t="str">
        <v>قطعة</v>
      </c>
      <c r="F4">
        <v>165</v>
      </c>
      <c r="G4">
        <v>110</v>
      </c>
      <c r="H4">
        <v>0</v>
      </c>
      <c r="I4">
        <v>5</v>
      </c>
      <c r="J4">
        <f>F4-G4</f>
        <v>55</v>
      </c>
      <c r="K4" s="1">
        <f>IF(G4&gt;0, (F4-G4)/G4, 0)</f>
        <v>0.5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SKU-0001</v>
      </c>
      <c r="R4" t="str">
        <v/>
      </c>
      <c r="S4" t="str">
        <v/>
      </c>
      <c r="T4" t="str">
        <v/>
      </c>
    </row>
    <row r="5">
      <c r="A5">
        <v>2</v>
      </c>
      <c r="B5" t="str">
        <v>مكعبات تركيب قلعة الأميرات للبنات 120 قطعة</v>
      </c>
      <c r="C5" t="str">
        <v>6979900110022</v>
      </c>
      <c r="D5" t="str">
        <v/>
      </c>
      <c r="E5" t="str">
        <v>قطعة</v>
      </c>
      <c r="F5">
        <v>180</v>
      </c>
      <c r="G5">
        <v>120</v>
      </c>
      <c r="H5">
        <v>0</v>
      </c>
      <c r="I5">
        <v>5</v>
      </c>
      <c r="J5">
        <f>F5-G5</f>
        <v>60</v>
      </c>
      <c r="K5" s="1">
        <f>IF(G5&gt;0, (F5-G5)/G5, 0)</f>
        <v>0.5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SKU-0002</v>
      </c>
      <c r="R5" t="str">
        <v/>
      </c>
      <c r="S5" t="str">
        <v/>
      </c>
      <c r="T5" t="str">
        <v/>
      </c>
    </row>
    <row r="6">
      <c r="A6">
        <v>3</v>
      </c>
      <c r="B6" t="str">
        <v>مكعب روبيك المغناطيسي 3x3 احترافي سريع</v>
      </c>
      <c r="C6" t="str">
        <v>6979900110039</v>
      </c>
      <c r="D6" t="str">
        <v/>
      </c>
      <c r="E6" t="str">
        <v>قطعة</v>
      </c>
      <c r="F6">
        <v>85</v>
      </c>
      <c r="G6">
        <v>50</v>
      </c>
      <c r="H6">
        <v>0</v>
      </c>
      <c r="I6">
        <v>8</v>
      </c>
      <c r="J6">
        <f>F6-G6</f>
        <v>35</v>
      </c>
      <c r="K6" s="1">
        <f>IF(G6&gt;0, (F6-G6)/G6, 0)</f>
        <v>0.7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SKU-0003</v>
      </c>
      <c r="R6" t="str">
        <v/>
      </c>
      <c r="S6" t="str">
        <v/>
      </c>
      <c r="T6" t="str">
        <v/>
      </c>
    </row>
    <row r="7">
      <c r="A7">
        <v>4</v>
      </c>
      <c r="B7" t="str">
        <v>لعبة جينجا خشبية برج التوازن 54 قطعة</v>
      </c>
      <c r="C7" t="str">
        <v>6979900110046</v>
      </c>
      <c r="D7" t="str">
        <v/>
      </c>
      <c r="E7" t="str">
        <v>قطعة</v>
      </c>
      <c r="F7">
        <v>120</v>
      </c>
      <c r="G7">
        <v>75</v>
      </c>
      <c r="H7">
        <v>0</v>
      </c>
      <c r="I7">
        <v>4</v>
      </c>
      <c r="J7">
        <f>F7-G7</f>
        <v>45</v>
      </c>
      <c r="K7" s="1">
        <f>IF(G7&gt;0, (F7-G7)/G7, 0)</f>
        <v>0.6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SKU-0004</v>
      </c>
      <c r="R7" t="str">
        <v/>
      </c>
      <c r="S7" t="str">
        <v/>
      </c>
      <c r="T7" t="str">
        <v/>
      </c>
    </row>
    <row r="8">
      <c r="A8">
        <v>5</v>
      </c>
      <c r="B8" t="str">
        <v>بازل خشبي تعليمي الحروف والأرقام للأطفال</v>
      </c>
      <c r="C8" t="str">
        <v>6979900110053</v>
      </c>
      <c r="D8" t="str">
        <v/>
      </c>
      <c r="E8" t="str">
        <v>قطعة</v>
      </c>
      <c r="F8">
        <v>65</v>
      </c>
      <c r="G8">
        <v>38</v>
      </c>
      <c r="H8">
        <v>0</v>
      </c>
      <c r="I8">
        <v>6</v>
      </c>
      <c r="J8">
        <f>F8-G8</f>
        <v>27</v>
      </c>
      <c r="K8" s="1">
        <f>IF(G8&gt;0, (F8-G8)/G8, 0)</f>
        <v>0.7105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SKU-0005</v>
      </c>
      <c r="R8" t="str">
        <v/>
      </c>
      <c r="S8" t="str">
        <v/>
      </c>
      <c r="T8" t="str">
        <v/>
      </c>
    </row>
    <row r="9">
      <c r="A9">
        <v>6</v>
      </c>
      <c r="B9" t="str">
        <v>بازل صور كرتونية ديزني 100 قطعة كرتون مقوى</v>
      </c>
      <c r="C9" t="str">
        <v>6979900110060</v>
      </c>
      <c r="D9" t="str">
        <v/>
      </c>
      <c r="E9" t="str">
        <v>قطعة</v>
      </c>
      <c r="F9">
        <v>75</v>
      </c>
      <c r="G9">
        <v>45</v>
      </c>
      <c r="H9">
        <v>0</v>
      </c>
      <c r="I9">
        <v>5</v>
      </c>
      <c r="J9">
        <f>F9-G9</f>
        <v>30</v>
      </c>
      <c r="K9" s="1">
        <f>IF(G9&gt;0, (F9-G9)/G9, 0)</f>
        <v>0.6667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SKU-0006</v>
      </c>
      <c r="R9" t="str">
        <v/>
      </c>
      <c r="S9" t="str">
        <v/>
      </c>
      <c r="T9" t="str">
        <v/>
      </c>
    </row>
    <row r="10">
      <c r="A10">
        <v>7</v>
      </c>
      <c r="B10" t="str">
        <v>لوحة رسم مغناطيسية ذكية LCD شاشة مسح بزر</v>
      </c>
      <c r="C10" t="str">
        <v>6979900110077</v>
      </c>
      <c r="D10" t="str">
        <v/>
      </c>
      <c r="E10" t="str">
        <v>قطعة</v>
      </c>
      <c r="F10">
        <v>145</v>
      </c>
      <c r="G10">
        <v>95</v>
      </c>
      <c r="H10">
        <v>0</v>
      </c>
      <c r="I10">
        <v>5</v>
      </c>
      <c r="J10">
        <f>F10-G10</f>
        <v>50</v>
      </c>
      <c r="K10" s="1">
        <f>IF(G10&gt;0, (F10-G10)/G10, 0)</f>
        <v>0.5263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SKU-0007</v>
      </c>
      <c r="R10" t="str">
        <v/>
      </c>
      <c r="S10" t="str">
        <v/>
      </c>
      <c r="T10" t="str">
        <v/>
      </c>
    </row>
    <row r="11">
      <c r="A11">
        <v>8</v>
      </c>
      <c r="B11" t="str">
        <v>رمل سحري طبي ملون مع 6 قوالب تشكيل قلعة</v>
      </c>
      <c r="C11" t="str">
        <v>6979900110084</v>
      </c>
      <c r="D11" t="str">
        <v/>
      </c>
      <c r="E11" t="str">
        <v>قطعة</v>
      </c>
      <c r="F11">
        <v>95</v>
      </c>
      <c r="G11">
        <v>60</v>
      </c>
      <c r="H11">
        <v>0</v>
      </c>
      <c r="I11">
        <v>6</v>
      </c>
      <c r="J11">
        <f>F11-G11</f>
        <v>35</v>
      </c>
      <c r="K11" s="1">
        <f>IF(G11&gt;0, (F11-G11)/G11, 0)</f>
        <v>0.5833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SKU-0008</v>
      </c>
      <c r="R11" t="str">
        <v/>
      </c>
      <c r="S11" t="str">
        <v/>
      </c>
      <c r="T11" t="str">
        <v/>
      </c>
    </row>
    <row r="12">
      <c r="A12">
        <v>9</v>
      </c>
      <c r="B12" t="str">
        <v>علبة صلصال طبيعي آمن للأطفال 12 لون مع قوالب</v>
      </c>
      <c r="C12" t="str">
        <v>6979900110091</v>
      </c>
      <c r="D12" t="str">
        <v/>
      </c>
      <c r="E12" t="str">
        <v>قطعة</v>
      </c>
      <c r="F12">
        <v>55</v>
      </c>
      <c r="G12">
        <v>32</v>
      </c>
      <c r="H12">
        <v>0</v>
      </c>
      <c r="I12">
        <v>10</v>
      </c>
      <c r="J12">
        <f>F12-G12</f>
        <v>23</v>
      </c>
      <c r="K12" s="1">
        <f>IF(G12&gt;0, (F12-G12)/G12, 0)</f>
        <v>0.7188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SKU-0009</v>
      </c>
      <c r="R12" t="str">
        <v/>
      </c>
      <c r="S12" t="str">
        <v/>
      </c>
      <c r="T12" t="str">
        <v/>
      </c>
    </row>
    <row r="13">
      <c r="A13">
        <v>10</v>
      </c>
      <c r="B13" t="str">
        <v>سلايم ألوان براق للأطفال غير لاصق 200 جم</v>
      </c>
      <c r="C13" t="str">
        <v>6979900110107</v>
      </c>
      <c r="D13" t="str">
        <v/>
      </c>
      <c r="E13" t="str">
        <v>قطعة</v>
      </c>
      <c r="F13">
        <v>35</v>
      </c>
      <c r="G13">
        <v>18</v>
      </c>
      <c r="H13">
        <v>0</v>
      </c>
      <c r="I13">
        <v>10</v>
      </c>
      <c r="J13">
        <f>F13-G13</f>
        <v>17</v>
      </c>
      <c r="K13" s="1">
        <f>IF(G13&gt;0, (F13-G13)/G13, 0)</f>
        <v>0.9444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SKU-0010</v>
      </c>
      <c r="R13" t="str">
        <v/>
      </c>
      <c r="S13" t="str">
        <v/>
      </c>
      <c r="T13" t="str">
        <v/>
      </c>
    </row>
    <row r="14">
      <c r="A14" t="str">
        <v>الإجمالي</v>
      </c>
      <c r="B14" t="str">
        <v>إجمالي 10 صنف مسجل</v>
      </c>
      <c r="C14" t="str">
        <v/>
      </c>
      <c r="D14" t="str">
        <v/>
      </c>
      <c r="E14" t="str">
        <v/>
      </c>
      <c r="F14" s="2">
        <f>AVERAGE(F4:F13)</f>
      </c>
      <c r="G14" s="2">
        <f>AVERAGE(G4:G13)</f>
      </c>
      <c r="H14" s="3">
        <f>SUM(H4:H13)</f>
      </c>
      <c r="I14" t="str">
        <v/>
      </c>
      <c r="J14" s="2">
        <f>AVERAGE(J4:J13)</f>
      </c>
      <c r="K14" s="1">
        <f>IF(L14&gt;0, N14/L14, 0)</f>
      </c>
      <c r="L14" s="2">
        <f>SUM(L4:L13)</f>
      </c>
      <c r="M14" s="2">
        <f>SUM(M4:M13)</f>
      </c>
      <c r="N14" s="2">
        <f>SUM(N4:N13)</f>
      </c>
      <c r="O14" t="str">
        <v>محسوب بمعادلات إكسل</v>
      </c>
      <c r="P14" t="str">
        <v/>
      </c>
      <c r="Q14" t="str">
        <v/>
      </c>
      <c r="R14" t="str">
        <v/>
      </c>
      <c r="S14" t="str">
        <v/>
      </c>
      <c r="T14" t="str">
        <v/>
      </c>
    </row>
  </sheetData>
  <mergeCells count="2">
    <mergeCell ref="A1:T1"/>
    <mergeCell ref="A2:T2"/>
  </mergeCells>
  <ignoredErrors>
    <ignoredError numberStoredAsText="1" sqref="A1:T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[سيارات وطائرات تحكم]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سيارة دريفت ريموت كنترول سريعة شاحن USB</v>
      </c>
      <c r="C4" t="str">
        <v>6979900220011</v>
      </c>
      <c r="D4" t="str">
        <v/>
      </c>
      <c r="E4" t="str">
        <v>قطعة</v>
      </c>
      <c r="F4">
        <v>380</v>
      </c>
      <c r="G4">
        <v>260</v>
      </c>
      <c r="H4">
        <v>0</v>
      </c>
      <c r="I4">
        <v>3</v>
      </c>
      <c r="J4">
        <f>F4-G4</f>
        <v>120</v>
      </c>
      <c r="K4" s="1">
        <f>IF(G4&gt;0, (F4-G4)/G4, 0)</f>
        <v>0.4615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SKU-0011</v>
      </c>
      <c r="R4" t="str">
        <v/>
      </c>
      <c r="S4" t="str">
        <v/>
      </c>
      <c r="T4" t="str">
        <v/>
      </c>
    </row>
    <row r="5">
      <c r="A5">
        <v>2</v>
      </c>
      <c r="B5" t="str">
        <v>سيارة جيب تسلق صخور دفع رباعي 2.4GHz</v>
      </c>
      <c r="C5" t="str">
        <v>6979900220028</v>
      </c>
      <c r="D5" t="str">
        <v/>
      </c>
      <c r="E5" t="str">
        <v>قطعة</v>
      </c>
      <c r="F5">
        <v>550</v>
      </c>
      <c r="G5">
        <v>380</v>
      </c>
      <c r="H5">
        <v>0</v>
      </c>
      <c r="I5">
        <v>2</v>
      </c>
      <c r="J5">
        <f>F5-G5</f>
        <v>170</v>
      </c>
      <c r="K5" s="1">
        <f>IF(G5&gt;0, (F5-G5)/G5, 0)</f>
        <v>0.4474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SKU-0012</v>
      </c>
      <c r="R5" t="str">
        <v/>
      </c>
      <c r="S5" t="str">
        <v/>
      </c>
      <c r="T5" t="str">
        <v/>
      </c>
    </row>
    <row r="6">
      <c r="A6">
        <v>3</v>
      </c>
      <c r="B6" t="str">
        <v>طائرة هليكوبتر بمستشعر يدوي سينسور وإضاءة ليد</v>
      </c>
      <c r="C6" t="str">
        <v>6979900220035</v>
      </c>
      <c r="D6" t="str">
        <v/>
      </c>
      <c r="E6" t="str">
        <v>قطعة</v>
      </c>
      <c r="F6">
        <v>195</v>
      </c>
      <c r="G6">
        <v>130</v>
      </c>
      <c r="H6">
        <v>0</v>
      </c>
      <c r="I6">
        <v>4</v>
      </c>
      <c r="J6">
        <f>F6-G6</f>
        <v>65</v>
      </c>
      <c r="K6" s="1">
        <f>IF(G6&gt;0, (F6-G6)/G6, 0)</f>
        <v>0.5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SKU-0013</v>
      </c>
      <c r="R6" t="str">
        <v/>
      </c>
      <c r="S6" t="str">
        <v/>
      </c>
      <c r="T6" t="str">
        <v/>
      </c>
    </row>
    <row r="7">
      <c r="A7">
        <v>4</v>
      </c>
      <c r="B7" t="str">
        <v>طيارة درون صغيرة للأطفال بحماية كاملة صدمات</v>
      </c>
      <c r="C7" t="str">
        <v>6979900220042</v>
      </c>
      <c r="D7" t="str">
        <v/>
      </c>
      <c r="E7" t="str">
        <v>قطعة</v>
      </c>
      <c r="F7">
        <v>650</v>
      </c>
      <c r="G7">
        <v>460</v>
      </c>
      <c r="H7">
        <v>0</v>
      </c>
      <c r="I7">
        <v>2</v>
      </c>
      <c r="J7">
        <f>F7-G7</f>
        <v>190</v>
      </c>
      <c r="K7" s="1">
        <f>IF(G7&gt;0, (F7-G7)/G7, 0)</f>
        <v>0.413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SKU-0014</v>
      </c>
      <c r="R7" t="str">
        <v/>
      </c>
      <c r="S7" t="str">
        <v/>
      </c>
      <c r="T7" t="str">
        <v/>
      </c>
    </row>
    <row r="8">
      <c r="A8">
        <v>5</v>
      </c>
      <c r="B8" t="str">
        <v>سيارة شرطة إلكترونية تصطدم وتلف بإضاءة وسرينة</v>
      </c>
      <c r="C8" t="str">
        <v>6979900220059</v>
      </c>
      <c r="D8" t="str">
        <v/>
      </c>
      <c r="E8" t="str">
        <v>قطعة</v>
      </c>
      <c r="F8">
        <v>140</v>
      </c>
      <c r="G8">
        <v>85</v>
      </c>
      <c r="H8">
        <v>0</v>
      </c>
      <c r="I8">
        <v>5</v>
      </c>
      <c r="J8">
        <f>F8-G8</f>
        <v>55</v>
      </c>
      <c r="K8" s="1">
        <f>IF(G8&gt;0, (F8-G8)/G8, 0)</f>
        <v>0.6471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SKU-0015</v>
      </c>
      <c r="R8" t="str">
        <v/>
      </c>
      <c r="S8" t="str">
        <v/>
      </c>
      <c r="T8" t="str">
        <v/>
      </c>
    </row>
    <row r="9">
      <c r="A9">
        <v>6</v>
      </c>
      <c r="B9" t="str">
        <v>طقم عربيات سباق معدنية Hot Wheels كروت (5 قطع)</v>
      </c>
      <c r="C9" t="str">
        <v>6979900220066</v>
      </c>
      <c r="D9" t="str">
        <v/>
      </c>
      <c r="E9" t="str">
        <v>قطعة</v>
      </c>
      <c r="F9">
        <v>220</v>
      </c>
      <c r="G9">
        <v>155</v>
      </c>
      <c r="H9">
        <v>0</v>
      </c>
      <c r="I9">
        <v>4</v>
      </c>
      <c r="J9">
        <f>F9-G9</f>
        <v>65</v>
      </c>
      <c r="K9" s="1">
        <f>IF(G9&gt;0, (F9-G9)/G9, 0)</f>
        <v>0.4194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SKU-0016</v>
      </c>
      <c r="R9" t="str">
        <v/>
      </c>
      <c r="S9" t="str">
        <v/>
      </c>
      <c r="T9" t="str">
        <v/>
      </c>
    </row>
    <row r="10">
      <c r="A10">
        <v>7</v>
      </c>
      <c r="B10" t="str">
        <v>طقم قطار كلاسيكي بالصوت والدخان وقضبان سكة حديد</v>
      </c>
      <c r="C10" t="str">
        <v>6979900220073</v>
      </c>
      <c r="D10" t="str">
        <v/>
      </c>
      <c r="E10" t="str">
        <v>قطعة</v>
      </c>
      <c r="F10">
        <v>340</v>
      </c>
      <c r="G10">
        <v>230</v>
      </c>
      <c r="H10">
        <v>0</v>
      </c>
      <c r="I10">
        <v>2</v>
      </c>
      <c r="J10">
        <f>F10-G10</f>
        <v>110</v>
      </c>
      <c r="K10" s="1">
        <f>IF(G10&gt;0, (F10-G10)/G10, 0)</f>
        <v>0.4783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SKU-0017</v>
      </c>
      <c r="R10" t="str">
        <v/>
      </c>
      <c r="S10" t="str">
        <v/>
      </c>
      <c r="T10" t="str">
        <v/>
      </c>
    </row>
    <row r="11">
      <c r="A11">
        <v>8</v>
      </c>
      <c r="B11" t="str">
        <v>لودر وحفار أطفال هيدروليكي للمهام الشاقة</v>
      </c>
      <c r="C11" t="str">
        <v>6979900220080</v>
      </c>
      <c r="D11" t="str">
        <v/>
      </c>
      <c r="E11" t="str">
        <v>قطعة</v>
      </c>
      <c r="F11">
        <v>165</v>
      </c>
      <c r="G11">
        <v>105</v>
      </c>
      <c r="H11">
        <v>0</v>
      </c>
      <c r="I11">
        <v>3</v>
      </c>
      <c r="J11">
        <f>F11-G11</f>
        <v>60</v>
      </c>
      <c r="K11" s="1">
        <f>IF(G11&gt;0, (F11-G11)/G11, 0)</f>
        <v>0.5714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SKU-0018</v>
      </c>
      <c r="R11" t="str">
        <v/>
      </c>
      <c r="S11" t="str">
        <v/>
      </c>
      <c r="T11" t="str">
        <v/>
      </c>
    </row>
    <row r="12">
      <c r="A12">
        <v>9</v>
      </c>
      <c r="B12" t="str">
        <v>عربية سباق معدنية صغيرة كبس وتراجع ألوان</v>
      </c>
      <c r="C12" t="str">
        <v>6979900220097</v>
      </c>
      <c r="D12" t="str">
        <v/>
      </c>
      <c r="E12" t="str">
        <v>قطعة</v>
      </c>
      <c r="F12">
        <v>35</v>
      </c>
      <c r="G12">
        <v>18</v>
      </c>
      <c r="H12">
        <v>0</v>
      </c>
      <c r="I12">
        <v>10</v>
      </c>
      <c r="J12">
        <f>F12-G12</f>
        <v>17</v>
      </c>
      <c r="K12" s="1">
        <f>IF(G12&gt;0, (F12-G12)/G12, 0)</f>
        <v>0.9444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SKU-0019</v>
      </c>
      <c r="R12" t="str">
        <v/>
      </c>
      <c r="S12" t="str">
        <v/>
      </c>
      <c r="T12" t="str">
        <v/>
      </c>
    </row>
    <row r="13">
      <c r="A13" t="str">
        <v>الإجمالي</v>
      </c>
      <c r="B13" t="str">
        <v>إجمالي 9 صنف مسجل</v>
      </c>
      <c r="C13" t="str">
        <v/>
      </c>
      <c r="D13" t="str">
        <v/>
      </c>
      <c r="E13" t="str">
        <v/>
      </c>
      <c r="F13" s="2">
        <f>AVERAGE(F4:F12)</f>
      </c>
      <c r="G13" s="2">
        <f>AVERAGE(G4:G12)</f>
      </c>
      <c r="H13" s="3">
        <f>SUM(H4:H12)</f>
      </c>
      <c r="I13" t="str">
        <v/>
      </c>
      <c r="J13" s="2">
        <f>AVERAGE(J4:J12)</f>
      </c>
      <c r="K13" s="1">
        <f>IF(L13&gt;0, N13/L13, 0)</f>
      </c>
      <c r="L13" s="2">
        <f>SUM(L4:L12)</f>
      </c>
      <c r="M13" s="2">
        <f>SUM(M4:M12)</f>
      </c>
      <c r="N13" s="2">
        <f>SUM(N4:N12)</f>
      </c>
      <c r="O13" t="str">
        <v>محسوب بمعادلات إكسل</v>
      </c>
      <c r="P13" t="str">
        <v/>
      </c>
      <c r="Q13" t="str">
        <v/>
      </c>
      <c r="R13" t="str">
        <v/>
      </c>
      <c r="S13" t="str">
        <v/>
      </c>
      <c r="T13" t="str">
        <v/>
      </c>
    </row>
  </sheetData>
  <mergeCells count="2">
    <mergeCell ref="A1:T1"/>
    <mergeCell ref="A2:T2"/>
  </mergeCells>
  <ignoredErrors>
    <ignoredError numberStoredAsText="1" sqref="A1:T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[عرائس ومجسمات]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عروسة ناطقة ومتحركة ملابس شتوية مع رضاعة</v>
      </c>
      <c r="C4" t="str">
        <v>6979900330018</v>
      </c>
      <c r="D4" t="str">
        <v/>
      </c>
      <c r="E4" t="str">
        <v>قطعة</v>
      </c>
      <c r="F4">
        <v>280</v>
      </c>
      <c r="G4">
        <v>190</v>
      </c>
      <c r="H4">
        <v>0</v>
      </c>
      <c r="I4">
        <v>3</v>
      </c>
      <c r="J4">
        <f>F4-G4</f>
        <v>90</v>
      </c>
      <c r="K4" s="1">
        <f>IF(G4&gt;0, (F4-G4)/G4, 0)</f>
        <v>0.4737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SKU-0020</v>
      </c>
      <c r="R4" t="str">
        <v/>
      </c>
      <c r="S4" t="str">
        <v/>
      </c>
      <c r="T4" t="str">
        <v/>
      </c>
    </row>
    <row r="5">
      <c r="A5">
        <v>2</v>
      </c>
      <c r="B5" t="str">
        <v>طقم دمية فاشن باربي مع فساتين وإكسسوارات شعر</v>
      </c>
      <c r="C5" t="str">
        <v>6979900330025</v>
      </c>
      <c r="D5" t="str">
        <v/>
      </c>
      <c r="E5" t="str">
        <v>قطعة</v>
      </c>
      <c r="F5">
        <v>185</v>
      </c>
      <c r="G5">
        <v>120</v>
      </c>
      <c r="H5">
        <v>0</v>
      </c>
      <c r="I5">
        <v>5</v>
      </c>
      <c r="J5">
        <f>F5-G5</f>
        <v>65</v>
      </c>
      <c r="K5" s="1">
        <f>IF(G5&gt;0, (F5-G5)/G5, 0)</f>
        <v>0.5417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SKU-0021</v>
      </c>
      <c r="R5" t="str">
        <v/>
      </c>
      <c r="S5" t="str">
        <v/>
      </c>
      <c r="T5" t="str">
        <v/>
      </c>
    </row>
    <row r="6">
      <c r="A6">
        <v>3</v>
      </c>
      <c r="B6" t="str">
        <v>بيت عرائس فيلا طابقين مع مجسمات وأثاث مصغر</v>
      </c>
      <c r="C6" t="str">
        <v>6979900330032</v>
      </c>
      <c r="D6" t="str">
        <v/>
      </c>
      <c r="E6" t="str">
        <v>قطعة</v>
      </c>
      <c r="F6">
        <v>420</v>
      </c>
      <c r="G6">
        <v>290</v>
      </c>
      <c r="H6">
        <v>0</v>
      </c>
      <c r="I6">
        <v>2</v>
      </c>
      <c r="J6">
        <f>F6-G6</f>
        <v>130</v>
      </c>
      <c r="K6" s="1">
        <f>IF(G6&gt;0, (F6-G6)/G6, 0)</f>
        <v>0.4483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SKU-0022</v>
      </c>
      <c r="R6" t="str">
        <v/>
      </c>
      <c r="S6" t="str">
        <v/>
      </c>
      <c r="T6" t="str">
        <v/>
      </c>
    </row>
    <row r="7">
      <c r="A7">
        <v>4</v>
      </c>
      <c r="B7" t="str">
        <v>مجسم بطل خارق سبايدرمان مفصلي بصوت وإضاءة</v>
      </c>
      <c r="C7" t="str">
        <v>6979900330049</v>
      </c>
      <c r="D7" t="str">
        <v/>
      </c>
      <c r="E7" t="str">
        <v>قطعة</v>
      </c>
      <c r="F7">
        <v>150</v>
      </c>
      <c r="G7">
        <v>95</v>
      </c>
      <c r="H7">
        <v>0</v>
      </c>
      <c r="I7">
        <v>5</v>
      </c>
      <c r="J7">
        <f>F7-G7</f>
        <v>55</v>
      </c>
      <c r="K7" s="1">
        <f>IF(G7&gt;0, (F7-G7)/G7, 0)</f>
        <v>0.5789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SKU-0023</v>
      </c>
      <c r="R7" t="str">
        <v/>
      </c>
      <c r="S7" t="str">
        <v/>
      </c>
      <c r="T7" t="str">
        <v/>
      </c>
    </row>
    <row r="8">
      <c r="A8">
        <v>5</v>
      </c>
      <c r="B8" t="str">
        <v>طقم مجسمات أبطال مارفل (4 شخصيات أكشن فيجر)</v>
      </c>
      <c r="C8" t="str">
        <v>6979900330056</v>
      </c>
      <c r="D8" t="str">
        <v/>
      </c>
      <c r="E8" t="str">
        <v>قطعة</v>
      </c>
      <c r="F8">
        <v>320</v>
      </c>
      <c r="G8">
        <v>210</v>
      </c>
      <c r="H8">
        <v>0</v>
      </c>
      <c r="I8">
        <v>3</v>
      </c>
      <c r="J8">
        <f>F8-G8</f>
        <v>110</v>
      </c>
      <c r="K8" s="1">
        <f>IF(G8&gt;0, (F8-G8)/G8, 0)</f>
        <v>0.5238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SKU-0024</v>
      </c>
      <c r="R8" t="str">
        <v/>
      </c>
      <c r="S8" t="str">
        <v/>
      </c>
      <c r="T8" t="str">
        <v/>
      </c>
    </row>
    <row r="9">
      <c r="A9">
        <v>6</v>
      </c>
      <c r="B9" t="str">
        <v>دبدوب تيدي بير فرو ناعم فاخر 50 سم</v>
      </c>
      <c r="C9" t="str">
        <v>6979900330063</v>
      </c>
      <c r="D9" t="str">
        <v/>
      </c>
      <c r="E9" t="str">
        <v>قطعة</v>
      </c>
      <c r="F9">
        <v>260</v>
      </c>
      <c r="G9">
        <v>170</v>
      </c>
      <c r="H9">
        <v>0</v>
      </c>
      <c r="I9">
        <v>4</v>
      </c>
      <c r="J9">
        <f>F9-G9</f>
        <v>90</v>
      </c>
      <c r="K9" s="1">
        <f>IF(G9&gt;0, (F9-G9)/G9, 0)</f>
        <v>0.5294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SKU-0025</v>
      </c>
      <c r="R9" t="str">
        <v/>
      </c>
      <c r="S9" t="str">
        <v/>
      </c>
      <c r="T9" t="str">
        <v/>
      </c>
    </row>
    <row r="10">
      <c r="A10">
        <v>7</v>
      </c>
      <c r="B10" t="str">
        <v>مجسم ديناصور جوراسيك بصوت زئير وحركة ليد</v>
      </c>
      <c r="C10" t="str">
        <v>6979900330070</v>
      </c>
      <c r="D10" t="str">
        <v/>
      </c>
      <c r="E10" t="str">
        <v>قطعة</v>
      </c>
      <c r="F10">
        <v>240</v>
      </c>
      <c r="G10">
        <v>160</v>
      </c>
      <c r="H10">
        <v>0</v>
      </c>
      <c r="I10">
        <v>3</v>
      </c>
      <c r="J10">
        <f>F10-G10</f>
        <v>80</v>
      </c>
      <c r="K10" s="1">
        <f>IF(G10&gt;0, (F10-G10)/G10, 0)</f>
        <v>0.5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SKU-0026</v>
      </c>
      <c r="R10" t="str">
        <v/>
      </c>
      <c r="S10" t="str">
        <v/>
      </c>
      <c r="T10" t="str">
        <v/>
      </c>
    </row>
    <row r="11">
      <c r="A11" t="str">
        <v>الإجمالي</v>
      </c>
      <c r="B11" t="str">
        <v>إجمالي 7 صنف مسجل</v>
      </c>
      <c r="C11" t="str">
        <v/>
      </c>
      <c r="D11" t="str">
        <v/>
      </c>
      <c r="E11" t="str">
        <v/>
      </c>
      <c r="F11" s="2">
        <f>AVERAGE(F4:F10)</f>
      </c>
      <c r="G11" s="2">
        <f>AVERAGE(G4:G10)</f>
      </c>
      <c r="H11" s="3">
        <f>SUM(H4:H10)</f>
      </c>
      <c r="I11" t="str">
        <v/>
      </c>
      <c r="J11" s="2">
        <f>AVERAGE(J4:J10)</f>
      </c>
      <c r="K11" s="1">
        <f>IF(L11&gt;0, N11/L11, 0)</f>
      </c>
      <c r="L11" s="2">
        <f>SUM(L4:L10)</f>
      </c>
      <c r="M11" s="2">
        <f>SUM(M4:M10)</f>
      </c>
      <c r="N11" s="2">
        <f>SUM(N4:N10)</f>
      </c>
      <c r="O11" t="str">
        <v>محسوب بمعادلات إكسل</v>
      </c>
      <c r="P11" t="str">
        <v/>
      </c>
      <c r="Q11" t="str">
        <v/>
      </c>
      <c r="R11" t="str">
        <v/>
      </c>
      <c r="S11" t="str">
        <v/>
      </c>
      <c r="T11" t="str">
        <v/>
      </c>
    </row>
  </sheetData>
  <mergeCells count="2">
    <mergeCell ref="A1:T1"/>
    <mergeCell ref="A2:T2"/>
  </mergeCells>
  <ignoredErrors>
    <ignoredError numberStoredAsText="1" sqref="A1:T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[ألعاب تعليمية ورضع]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بيانو أطفال موسيقي مضيء بأصوات الحيوانات</v>
      </c>
      <c r="C4" t="str">
        <v>6979900440014</v>
      </c>
      <c r="D4" t="str">
        <v/>
      </c>
      <c r="E4" t="str">
        <v>قطعة</v>
      </c>
      <c r="F4">
        <v>145</v>
      </c>
      <c r="G4">
        <v>95</v>
      </c>
      <c r="H4">
        <v>0</v>
      </c>
      <c r="I4">
        <v>5</v>
      </c>
      <c r="J4">
        <f>F4-G4</f>
        <v>50</v>
      </c>
      <c r="K4" s="1">
        <f>IF(G4&gt;0, (F4-G4)/G4, 0)</f>
        <v>0.5263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SKU-0027</v>
      </c>
      <c r="R4" t="str">
        <v/>
      </c>
      <c r="S4" t="str">
        <v/>
      </c>
      <c r="T4" t="str">
        <v/>
      </c>
    </row>
    <row r="5">
      <c r="A5">
        <v>2</v>
      </c>
      <c r="B5" t="str">
        <v>طقم شخشيخة وعضاضة سيليكون طبي معقم (6 قطع)</v>
      </c>
      <c r="C5" t="str">
        <v>6979900440021</v>
      </c>
      <c r="D5" t="str">
        <v/>
      </c>
      <c r="E5" t="str">
        <v>قطعة</v>
      </c>
      <c r="F5">
        <v>110</v>
      </c>
      <c r="G5">
        <v>68</v>
      </c>
      <c r="H5">
        <v>0</v>
      </c>
      <c r="I5">
        <v>5</v>
      </c>
      <c r="J5">
        <f>F5-G5</f>
        <v>42</v>
      </c>
      <c r="K5" s="1">
        <f>IF(G5&gt;0, (F5-G5)/G5, 0)</f>
        <v>0.6176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SKU-0028</v>
      </c>
      <c r="R5" t="str">
        <v/>
      </c>
      <c r="S5" t="str">
        <v/>
      </c>
      <c r="T5" t="str">
        <v/>
      </c>
    </row>
    <row r="6">
      <c r="A6">
        <v>3</v>
      </c>
      <c r="B6" t="str">
        <v>هرم الحلقات الملونة البلاستيكي لترتيب المقاسات</v>
      </c>
      <c r="C6" t="str">
        <v>6979900440038</v>
      </c>
      <c r="D6" t="str">
        <v/>
      </c>
      <c r="E6" t="str">
        <v>قطعة</v>
      </c>
      <c r="F6">
        <v>50</v>
      </c>
      <c r="G6">
        <v>28</v>
      </c>
      <c r="H6">
        <v>0</v>
      </c>
      <c r="I6">
        <v>8</v>
      </c>
      <c r="J6">
        <f>F6-G6</f>
        <v>22</v>
      </c>
      <c r="K6" s="1">
        <f>IF(G6&gt;0, (F6-G6)/G6, 0)</f>
        <v>0.7857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SKU-0029</v>
      </c>
      <c r="R6" t="str">
        <v/>
      </c>
      <c r="S6" t="str">
        <v/>
      </c>
      <c r="T6" t="str">
        <v/>
      </c>
    </row>
    <row r="7">
      <c r="A7">
        <v>4</v>
      </c>
      <c r="B7" t="str">
        <v>مشاية أطفال تفاعلية بأنشطة وأزرار صوتية</v>
      </c>
      <c r="C7" t="str">
        <v>6979900440045</v>
      </c>
      <c r="D7" t="str">
        <v/>
      </c>
      <c r="E7" t="str">
        <v>قطعة</v>
      </c>
      <c r="F7">
        <v>580</v>
      </c>
      <c r="G7">
        <v>410</v>
      </c>
      <c r="H7">
        <v>0</v>
      </c>
      <c r="I7">
        <v>2</v>
      </c>
      <c r="J7">
        <f>F7-G7</f>
        <v>170</v>
      </c>
      <c r="K7" s="1">
        <f>IF(G7&gt;0, (F7-G7)/G7, 0)</f>
        <v>0.4146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SKU-0030</v>
      </c>
      <c r="R7" t="str">
        <v/>
      </c>
      <c r="S7" t="str">
        <v/>
      </c>
      <c r="T7" t="str">
        <v/>
      </c>
    </row>
    <row r="8">
      <c r="A8">
        <v>5</v>
      </c>
      <c r="B8" t="str">
        <v>سجادة لعب ورعاية بيبي مع قوس ألعاب وبيانو قدم</v>
      </c>
      <c r="C8" t="str">
        <v>6979900440052</v>
      </c>
      <c r="D8" t="str">
        <v/>
      </c>
      <c r="E8" t="str">
        <v>قطعة</v>
      </c>
      <c r="F8">
        <v>480</v>
      </c>
      <c r="G8">
        <v>330</v>
      </c>
      <c r="H8">
        <v>0</v>
      </c>
      <c r="I8">
        <v>2</v>
      </c>
      <c r="J8">
        <f>F8-G8</f>
        <v>150</v>
      </c>
      <c r="K8" s="1">
        <f>IF(G8&gt;0, (F8-G8)/G8, 0)</f>
        <v>0.4545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SKU-0031</v>
      </c>
      <c r="R8" t="str">
        <v/>
      </c>
      <c r="S8" t="str">
        <v/>
      </c>
      <c r="T8" t="str">
        <v/>
      </c>
    </row>
    <row r="9">
      <c r="A9">
        <v>6</v>
      </c>
      <c r="B9" t="str">
        <v>كتاب قماش تفاعلي للأطفال ناعم صوتي قابل للغسيل</v>
      </c>
      <c r="C9" t="str">
        <v>6979900440069</v>
      </c>
      <c r="D9" t="str">
        <v/>
      </c>
      <c r="E9" t="str">
        <v>قطعة</v>
      </c>
      <c r="F9">
        <v>65</v>
      </c>
      <c r="G9">
        <v>38</v>
      </c>
      <c r="H9">
        <v>0</v>
      </c>
      <c r="I9">
        <v>6</v>
      </c>
      <c r="J9">
        <f>F9-G9</f>
        <v>27</v>
      </c>
      <c r="K9" s="1">
        <f>IF(G9&gt;0, (F9-G9)/G9, 0)</f>
        <v>0.7105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SKU-0032</v>
      </c>
      <c r="R9" t="str">
        <v/>
      </c>
      <c r="S9" t="str">
        <v/>
      </c>
      <c r="T9" t="str">
        <v/>
      </c>
    </row>
    <row r="10">
      <c r="A10">
        <v>7</v>
      </c>
      <c r="B10" t="str">
        <v>مكعب الأنشطة الخشبي التعليمي متعدد الأوجه</v>
      </c>
      <c r="C10" t="str">
        <v>6979900440076</v>
      </c>
      <c r="D10" t="str">
        <v/>
      </c>
      <c r="E10" t="str">
        <v>قطعة</v>
      </c>
      <c r="F10">
        <v>290</v>
      </c>
      <c r="G10">
        <v>195</v>
      </c>
      <c r="H10">
        <v>0</v>
      </c>
      <c r="I10">
        <v>2</v>
      </c>
      <c r="J10">
        <f>F10-G10</f>
        <v>95</v>
      </c>
      <c r="K10" s="1">
        <f>IF(G10&gt;0, (F10-G10)/G10, 0)</f>
        <v>0.4872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SKU-0033</v>
      </c>
      <c r="R10" t="str">
        <v/>
      </c>
      <c r="S10" t="str">
        <v/>
      </c>
      <c r="T10" t="str">
        <v/>
      </c>
    </row>
    <row r="11">
      <c r="A11" t="str">
        <v>الإجمالي</v>
      </c>
      <c r="B11" t="str">
        <v>إجمالي 7 صنف مسجل</v>
      </c>
      <c r="C11" t="str">
        <v/>
      </c>
      <c r="D11" t="str">
        <v/>
      </c>
      <c r="E11" t="str">
        <v/>
      </c>
      <c r="F11" s="2">
        <f>AVERAGE(F4:F10)</f>
      </c>
      <c r="G11" s="2">
        <f>AVERAGE(G4:G10)</f>
      </c>
      <c r="H11" s="3">
        <f>SUM(H4:H10)</f>
      </c>
      <c r="I11" t="str">
        <v/>
      </c>
      <c r="J11" s="2">
        <f>AVERAGE(J4:J10)</f>
      </c>
      <c r="K11" s="1">
        <f>IF(L11&gt;0, N11/L11, 0)</f>
      </c>
      <c r="L11" s="2">
        <f>SUM(L4:L10)</f>
      </c>
      <c r="M11" s="2">
        <f>SUM(M4:M10)</f>
      </c>
      <c r="N11" s="2">
        <f>SUM(N4:N10)</f>
      </c>
      <c r="O11" t="str">
        <v>محسوب بمعادلات إكسل</v>
      </c>
      <c r="P11" t="str">
        <v/>
      </c>
      <c r="Q11" t="str">
        <v/>
      </c>
      <c r="R11" t="str">
        <v/>
      </c>
      <c r="S11" t="str">
        <v/>
      </c>
      <c r="T11" t="str">
        <v/>
      </c>
    </row>
  </sheetData>
  <mergeCells count="2">
    <mergeCell ref="A1:T1"/>
    <mergeCell ref="A2:T2"/>
  </mergeCells>
  <ignoredErrors>
    <ignoredError numberStoredAsText="1" sqref="A1:T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[ألعاب حركية ورياضية]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مسدس فوم رصاص إسفنجي نيرف مع 20 طلقة أمان</v>
      </c>
      <c r="C4" t="str">
        <v>6979900550010</v>
      </c>
      <c r="D4" t="str">
        <v/>
      </c>
      <c r="E4" t="str">
        <v>قطعة</v>
      </c>
      <c r="F4">
        <v>195</v>
      </c>
      <c r="G4">
        <v>130</v>
      </c>
      <c r="H4">
        <v>0</v>
      </c>
      <c r="I4">
        <v>5</v>
      </c>
      <c r="J4">
        <f>F4-G4</f>
        <v>65</v>
      </c>
      <c r="K4" s="1">
        <f>IF(G4&gt;0, (F4-G4)/G4, 0)</f>
        <v>0.5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SKU-0034</v>
      </c>
      <c r="R4" t="str">
        <v/>
      </c>
      <c r="S4" t="str">
        <v/>
      </c>
      <c r="T4" t="str">
        <v/>
      </c>
    </row>
    <row r="5">
      <c r="A5">
        <v>2</v>
      </c>
      <c r="B5" t="str">
        <v>باكت رصاص فوم نيرف إضافي (20 طلقة إسفنجية)</v>
      </c>
      <c r="C5" t="str">
        <v>6979900550027</v>
      </c>
      <c r="D5" t="str">
        <v/>
      </c>
      <c r="E5" t="str">
        <v>قطعة</v>
      </c>
      <c r="F5">
        <v>45</v>
      </c>
      <c r="G5">
        <v>22</v>
      </c>
      <c r="H5">
        <v>0</v>
      </c>
      <c r="I5">
        <v>10</v>
      </c>
      <c r="J5">
        <f>F5-G5</f>
        <v>23</v>
      </c>
      <c r="K5" s="1">
        <f>IF(G5&gt;0, (F5-G5)/G5, 0)</f>
        <v>1.0455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SKU-0035</v>
      </c>
      <c r="R5" t="str">
        <v/>
      </c>
      <c r="S5" t="str">
        <v/>
      </c>
      <c r="T5" t="str">
        <v/>
      </c>
    </row>
    <row r="6">
      <c r="A6">
        <v>3</v>
      </c>
      <c r="B6" t="str">
        <v>مسدس فقاعات صابون أوتوماتيكي بابل جان ملون</v>
      </c>
      <c r="C6" t="str">
        <v>6979900550034</v>
      </c>
      <c r="D6" t="str">
        <v/>
      </c>
      <c r="E6" t="str">
        <v>قطعة</v>
      </c>
      <c r="F6">
        <v>125</v>
      </c>
      <c r="G6">
        <v>75</v>
      </c>
      <c r="H6">
        <v>0</v>
      </c>
      <c r="I6">
        <v>6</v>
      </c>
      <c r="J6">
        <f>F6-G6</f>
        <v>50</v>
      </c>
      <c r="K6" s="1">
        <f>IF(G6&gt;0, (F6-G6)/G6, 0)</f>
        <v>0.6667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SKU-0036</v>
      </c>
      <c r="R6" t="str">
        <v/>
      </c>
      <c r="S6" t="str">
        <v/>
      </c>
      <c r="T6" t="str">
        <v/>
      </c>
    </row>
    <row r="7">
      <c r="A7">
        <v>4</v>
      </c>
      <c r="B7" t="str">
        <v>جالون محلول فقاعات صابون مركز معطر 500 مل</v>
      </c>
      <c r="C7" t="str">
        <v>6979900550041</v>
      </c>
      <c r="D7" t="str">
        <v/>
      </c>
      <c r="E7" t="str">
        <v>قطعة</v>
      </c>
      <c r="F7">
        <v>40</v>
      </c>
      <c r="G7">
        <v>20</v>
      </c>
      <c r="H7">
        <v>0</v>
      </c>
      <c r="I7">
        <v>8</v>
      </c>
      <c r="J7">
        <f>F7-G7</f>
        <v>20</v>
      </c>
      <c r="K7" s="1">
        <f>IF(G7&gt;0, (F7-G7)/G7, 0)</f>
        <v>1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SKU-0037</v>
      </c>
      <c r="R7" t="str">
        <v/>
      </c>
      <c r="S7" t="str">
        <v/>
      </c>
      <c r="T7" t="str">
        <v/>
      </c>
    </row>
    <row r="8">
      <c r="A8">
        <v>5</v>
      </c>
      <c r="B8" t="str">
        <v>مسدس مياه ضغط عالي كبير للأطفال</v>
      </c>
      <c r="C8" t="str">
        <v>6979900550058</v>
      </c>
      <c r="D8" t="str">
        <v/>
      </c>
      <c r="E8" t="str">
        <v>قطعة</v>
      </c>
      <c r="F8">
        <v>160</v>
      </c>
      <c r="G8">
        <v>100</v>
      </c>
      <c r="H8">
        <v>0</v>
      </c>
      <c r="I8">
        <v>4</v>
      </c>
      <c r="J8">
        <f>F8-G8</f>
        <v>60</v>
      </c>
      <c r="K8" s="1">
        <f>IF(G8&gt;0, (F8-G8)/G8, 0)</f>
        <v>0.6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SKU-0038</v>
      </c>
      <c r="R8" t="str">
        <v/>
      </c>
      <c r="S8" t="str">
        <v/>
      </c>
      <c r="T8" t="str">
        <v/>
      </c>
    </row>
    <row r="9">
      <c r="A9">
        <v>6</v>
      </c>
      <c r="B9" t="str">
        <v>كورة قدم جلد أصلي خياطة يدوية مقاس 5</v>
      </c>
      <c r="C9" t="str">
        <v>6979900550065</v>
      </c>
      <c r="D9" t="str">
        <v/>
      </c>
      <c r="E9" t="str">
        <v>قطعة</v>
      </c>
      <c r="F9">
        <v>180</v>
      </c>
      <c r="G9">
        <v>120</v>
      </c>
      <c r="H9">
        <v>0</v>
      </c>
      <c r="I9">
        <v>5</v>
      </c>
      <c r="J9">
        <f>F9-G9</f>
        <v>60</v>
      </c>
      <c r="K9" s="1">
        <f>IF(G9&gt;0, (F9-G9)/G9, 0)</f>
        <v>0.5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SKU-0039</v>
      </c>
      <c r="R9" t="str">
        <v/>
      </c>
      <c r="S9" t="str">
        <v/>
      </c>
      <c r="T9" t="str">
        <v/>
      </c>
    </row>
    <row r="10">
      <c r="A10">
        <v>7</v>
      </c>
      <c r="B10" t="str">
        <v>طقم مضارب بينج بونج طاولة مع 3 كور</v>
      </c>
      <c r="C10" t="str">
        <v>6979900550072</v>
      </c>
      <c r="D10" t="str">
        <v/>
      </c>
      <c r="E10" t="str">
        <v>قطعة</v>
      </c>
      <c r="F10">
        <v>140</v>
      </c>
      <c r="G10">
        <v>85</v>
      </c>
      <c r="H10">
        <v>0</v>
      </c>
      <c r="I10">
        <v>4</v>
      </c>
      <c r="J10">
        <f>F10-G10</f>
        <v>55</v>
      </c>
      <c r="K10" s="1">
        <f>IF(G10&gt;0, (F10-G10)/G10, 0)</f>
        <v>0.6471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SKU-0040</v>
      </c>
      <c r="R10" t="str">
        <v/>
      </c>
      <c r="S10" t="str">
        <v/>
      </c>
      <c r="T10" t="str">
        <v/>
      </c>
    </row>
    <row r="11">
      <c r="A11">
        <v>8</v>
      </c>
      <c r="B11" t="str">
        <v>حبل قفز رياضي للأطفال مع عداد ومقبض إسفنجي</v>
      </c>
      <c r="C11" t="str">
        <v>6979900550089</v>
      </c>
      <c r="D11" t="str">
        <v/>
      </c>
      <c r="E11" t="str">
        <v>قطعة</v>
      </c>
      <c r="F11">
        <v>55</v>
      </c>
      <c r="G11">
        <v>30</v>
      </c>
      <c r="H11">
        <v>0</v>
      </c>
      <c r="I11">
        <v>5</v>
      </c>
      <c r="J11">
        <f>F11-G11</f>
        <v>25</v>
      </c>
      <c r="K11" s="1">
        <f>IF(G11&gt;0, (F11-G11)/G11, 0)</f>
        <v>0.8333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SKU-0041</v>
      </c>
      <c r="R11" t="str">
        <v/>
      </c>
      <c r="S11" t="str">
        <v/>
      </c>
      <c r="T11" t="str">
        <v/>
      </c>
    </row>
    <row r="12">
      <c r="A12">
        <v>9</v>
      </c>
      <c r="B12" t="str">
        <v>لعبة صيد السمك الدوارة المغناطيسية الموسيقية</v>
      </c>
      <c r="C12" t="str">
        <v>6979900550096</v>
      </c>
      <c r="D12" t="str">
        <v/>
      </c>
      <c r="E12" t="str">
        <v>قطعة</v>
      </c>
      <c r="F12">
        <v>135</v>
      </c>
      <c r="G12">
        <v>85</v>
      </c>
      <c r="H12">
        <v>0</v>
      </c>
      <c r="I12">
        <v>4</v>
      </c>
      <c r="J12">
        <f>F12-G12</f>
        <v>50</v>
      </c>
      <c r="K12" s="1">
        <f>IF(G12&gt;0, (F12-G12)/G12, 0)</f>
        <v>0.5882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SKU-0042</v>
      </c>
      <c r="R12" t="str">
        <v/>
      </c>
      <c r="S12" t="str">
        <v/>
      </c>
      <c r="T12" t="str">
        <v/>
      </c>
    </row>
    <row r="13">
      <c r="A13" t="str">
        <v>الإجمالي</v>
      </c>
      <c r="B13" t="str">
        <v>إجمالي 9 صنف مسجل</v>
      </c>
      <c r="C13" t="str">
        <v/>
      </c>
      <c r="D13" t="str">
        <v/>
      </c>
      <c r="E13" t="str">
        <v/>
      </c>
      <c r="F13" s="2">
        <f>AVERAGE(F4:F12)</f>
      </c>
      <c r="G13" s="2">
        <f>AVERAGE(G4:G12)</f>
      </c>
      <c r="H13" s="3">
        <f>SUM(H4:H12)</f>
      </c>
      <c r="I13" t="str">
        <v/>
      </c>
      <c r="J13" s="2">
        <f>AVERAGE(J4:J12)</f>
      </c>
      <c r="K13" s="1">
        <f>IF(L13&gt;0, N13/L13, 0)</f>
      </c>
      <c r="L13" s="2">
        <f>SUM(L4:L12)</f>
      </c>
      <c r="M13" s="2">
        <f>SUM(M4:M12)</f>
      </c>
      <c r="N13" s="2">
        <f>SUM(N4:N12)</f>
      </c>
      <c r="O13" t="str">
        <v>محسوب بمعادلات إكسل</v>
      </c>
      <c r="P13" t="str">
        <v/>
      </c>
      <c r="Q13" t="str">
        <v/>
      </c>
      <c r="R13" t="str">
        <v/>
      </c>
      <c r="S13" t="str">
        <v/>
      </c>
      <c r="T13" t="str">
        <v/>
      </c>
    </row>
  </sheetData>
  <mergeCells count="2">
    <mergeCell ref="A1:T1"/>
    <mergeCell ref="A2:T2"/>
  </mergeCells>
  <ignoredErrors>
    <ignoredError numberStoredAsText="1" sqref="A1:T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[سكوتر وركوب]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سكوتر أطفال ثلاثي العجلات مضيء بقفل أمان</v>
      </c>
      <c r="C4" t="str">
        <v>6979900660016</v>
      </c>
      <c r="D4" t="str">
        <v/>
      </c>
      <c r="E4" t="str">
        <v>قطعة</v>
      </c>
      <c r="F4">
        <v>520</v>
      </c>
      <c r="G4">
        <v>360</v>
      </c>
      <c r="H4">
        <v>0</v>
      </c>
      <c r="I4">
        <v>2</v>
      </c>
      <c r="J4">
        <f>F4-G4</f>
        <v>160</v>
      </c>
      <c r="K4" s="1">
        <f>IF(G4&gt;0, (F4-G4)/G4, 0)</f>
        <v>0.4444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SKU-0043</v>
      </c>
      <c r="R4" t="str">
        <v/>
      </c>
      <c r="S4" t="str">
        <v/>
      </c>
      <c r="T4" t="str">
        <v/>
      </c>
    </row>
    <row r="5">
      <c r="A5">
        <v>2</v>
      </c>
      <c r="B5" t="str">
        <v>لوح تزلج سكيت بورد خشب زان متين عجلات سيليكون</v>
      </c>
      <c r="C5" t="str">
        <v>6979900660023</v>
      </c>
      <c r="D5" t="str">
        <v/>
      </c>
      <c r="E5" t="str">
        <v>قطعة</v>
      </c>
      <c r="F5">
        <v>380</v>
      </c>
      <c r="G5">
        <v>250</v>
      </c>
      <c r="H5">
        <v>0</v>
      </c>
      <c r="I5">
        <v>2</v>
      </c>
      <c r="J5">
        <f>F5-G5</f>
        <v>130</v>
      </c>
      <c r="K5" s="1">
        <f>IF(G5&gt;0, (F5-G5)/G5, 0)</f>
        <v>0.52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SKU-0044</v>
      </c>
      <c r="R5" t="str">
        <v/>
      </c>
      <c r="S5" t="str">
        <v/>
      </c>
      <c r="T5" t="str">
        <v/>
      </c>
    </row>
    <row r="6">
      <c r="A6">
        <v>3</v>
      </c>
      <c r="B6" t="str">
        <v>طقم خوذة حماية وواقي ركب وأكواع للأطفال</v>
      </c>
      <c r="C6" t="str">
        <v>6979900660030</v>
      </c>
      <c r="D6" t="str">
        <v/>
      </c>
      <c r="E6" t="str">
        <v>قطعة</v>
      </c>
      <c r="F6">
        <v>150</v>
      </c>
      <c r="G6">
        <v>95</v>
      </c>
      <c r="H6">
        <v>0</v>
      </c>
      <c r="I6">
        <v>4</v>
      </c>
      <c r="J6">
        <f>F6-G6</f>
        <v>55</v>
      </c>
      <c r="K6" s="1">
        <f>IF(G6&gt;0, (F6-G6)/G6, 0)</f>
        <v>0.5789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SKU-0045</v>
      </c>
      <c r="R6" t="str">
        <v/>
      </c>
      <c r="S6" t="str">
        <v/>
      </c>
      <c r="T6" t="str">
        <v/>
      </c>
    </row>
    <row r="7">
      <c r="A7" t="str">
        <v>الإجمالي</v>
      </c>
      <c r="B7" t="str">
        <v>إجمالي 3 صنف مسجل</v>
      </c>
      <c r="C7" t="str">
        <v/>
      </c>
      <c r="D7" t="str">
        <v/>
      </c>
      <c r="E7" t="str">
        <v/>
      </c>
      <c r="F7" s="2">
        <f>AVERAGE(F4:F6)</f>
      </c>
      <c r="G7" s="2">
        <f>AVERAGE(G4:G6)</f>
      </c>
      <c r="H7" s="3">
        <f>SUM(H4:H6)</f>
      </c>
      <c r="I7" t="str">
        <v/>
      </c>
      <c r="J7" s="2">
        <f>AVERAGE(J4:J6)</f>
      </c>
      <c r="K7" s="1">
        <f>IF(L7&gt;0, N7/L7, 0)</f>
      </c>
      <c r="L7" s="2">
        <f>SUM(L4:L6)</f>
      </c>
      <c r="M7" s="2">
        <f>SUM(M4:M6)</f>
      </c>
      <c r="N7" s="2">
        <f>SUM(N4:N6)</f>
      </c>
      <c r="O7" t="str">
        <v>محسوب بمعادلات إكسل</v>
      </c>
      <c r="P7" t="str">
        <v/>
      </c>
      <c r="Q7" t="str">
        <v/>
      </c>
      <c r="R7" t="str">
        <v/>
      </c>
      <c r="S7" t="str">
        <v/>
      </c>
      <c r="T7" t="str">
        <v/>
      </c>
    </row>
  </sheetData>
  <mergeCells count="2">
    <mergeCell ref="A1:T1"/>
    <mergeCell ref="A2:T2"/>
  </mergeCells>
  <ignoredErrors>
    <ignoredError numberStoredAsText="1" sqref="A1:T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[هدايا وتغليف وبطاريات]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بطاريات قلم AA إنرجايزر أصلية باكت 4 حجر</v>
      </c>
      <c r="C4" t="str">
        <v>6979900770012</v>
      </c>
      <c r="D4" t="str">
        <v/>
      </c>
      <c r="E4" t="str">
        <v>قطعة</v>
      </c>
      <c r="F4">
        <v>45</v>
      </c>
      <c r="G4">
        <v>32</v>
      </c>
      <c r="H4">
        <v>0</v>
      </c>
      <c r="I4">
        <v>12</v>
      </c>
      <c r="J4">
        <f>F4-G4</f>
        <v>13</v>
      </c>
      <c r="K4" s="1">
        <f>IF(G4&gt;0, (F4-G4)/G4, 0)</f>
        <v>0.4063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SKU-0046</v>
      </c>
      <c r="R4" t="str">
        <v/>
      </c>
      <c r="S4" t="str">
        <v/>
      </c>
      <c r="T4" t="str">
        <v/>
      </c>
    </row>
    <row r="5">
      <c r="A5">
        <v>2</v>
      </c>
      <c r="B5" t="str">
        <v>بطاريات ريموت AAA إنرجايزر أصلية باكت 4 حجر</v>
      </c>
      <c r="C5" t="str">
        <v>6979900770029</v>
      </c>
      <c r="D5" t="str">
        <v/>
      </c>
      <c r="E5" t="str">
        <v>قطعة</v>
      </c>
      <c r="F5">
        <v>45</v>
      </c>
      <c r="G5">
        <v>32</v>
      </c>
      <c r="H5">
        <v>0</v>
      </c>
      <c r="I5">
        <v>10</v>
      </c>
      <c r="J5">
        <f>F5-G5</f>
        <v>13</v>
      </c>
      <c r="K5" s="1">
        <f>IF(G5&gt;0, (F5-G5)/G5, 0)</f>
        <v>0.4063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SKU-0047</v>
      </c>
      <c r="R5" t="str">
        <v/>
      </c>
      <c r="S5" t="str">
        <v/>
      </c>
      <c r="T5" t="str">
        <v/>
      </c>
    </row>
    <row r="6">
      <c r="A6">
        <v>3</v>
      </c>
      <c r="B6" t="str">
        <v>شنطة هدايا كرتون فاخرة مقاس كبير رسومات أطفال</v>
      </c>
      <c r="C6" t="str">
        <v>6979900770036</v>
      </c>
      <c r="D6" t="str">
        <v/>
      </c>
      <c r="E6" t="str">
        <v>قطعة</v>
      </c>
      <c r="F6">
        <v>20</v>
      </c>
      <c r="G6">
        <v>9</v>
      </c>
      <c r="H6">
        <v>0</v>
      </c>
      <c r="I6">
        <v>10</v>
      </c>
      <c r="J6">
        <f>F6-G6</f>
        <v>11</v>
      </c>
      <c r="K6" s="1">
        <f>IF(G6&gt;0, (F6-G6)/G6, 0)</f>
        <v>1.2222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SKU-0048</v>
      </c>
      <c r="R6" t="str">
        <v/>
      </c>
      <c r="S6" t="str">
        <v/>
      </c>
      <c r="T6" t="str">
        <v/>
      </c>
    </row>
    <row r="7">
      <c r="A7">
        <v>4</v>
      </c>
      <c r="B7" t="str">
        <v>شنطة هدايا كرتون مقاس وسط مبهجة يد ستان</v>
      </c>
      <c r="C7" t="str">
        <v>6979900770043</v>
      </c>
      <c r="D7" t="str">
        <v/>
      </c>
      <c r="E7" t="str">
        <v>قطعة</v>
      </c>
      <c r="F7">
        <v>15</v>
      </c>
      <c r="G7">
        <v>6.5</v>
      </c>
      <c r="H7">
        <v>0</v>
      </c>
      <c r="I7">
        <v>12</v>
      </c>
      <c r="J7">
        <f>F7-G7</f>
        <v>8.5</v>
      </c>
      <c r="K7" s="1">
        <f>IF(G7&gt;0, (F7-G7)/G7, 0)</f>
        <v>1.3077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SKU-0049</v>
      </c>
      <c r="R7" t="str">
        <v/>
      </c>
      <c r="S7" t="str">
        <v/>
      </c>
      <c r="T7" t="str">
        <v/>
      </c>
    </row>
    <row r="8">
      <c r="A8">
        <v>5</v>
      </c>
      <c r="B8" t="str">
        <v>بوكس هدايا كرتون مقوى فاخر مع فيونكة ستان</v>
      </c>
      <c r="C8" t="str">
        <v>6979900770050</v>
      </c>
      <c r="D8" t="str">
        <v/>
      </c>
      <c r="E8" t="str">
        <v>قطعة</v>
      </c>
      <c r="F8">
        <v>45</v>
      </c>
      <c r="G8">
        <v>22</v>
      </c>
      <c r="H8">
        <v>0</v>
      </c>
      <c r="I8">
        <v>5</v>
      </c>
      <c r="J8">
        <f>F8-G8</f>
        <v>23</v>
      </c>
      <c r="K8" s="1">
        <f>IF(G8&gt;0, (F8-G8)/G8, 0)</f>
        <v>1.0455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SKU-0050</v>
      </c>
      <c r="R8" t="str">
        <v/>
      </c>
      <c r="S8" t="str">
        <v/>
      </c>
      <c r="T8" t="str">
        <v/>
      </c>
    </row>
    <row r="9">
      <c r="A9">
        <v>6</v>
      </c>
      <c r="B9" t="str">
        <v>رول ورق تغليف هدايا أطفال فاخر 2 متر</v>
      </c>
      <c r="C9" t="str">
        <v>6979900770067</v>
      </c>
      <c r="D9" t="str">
        <v/>
      </c>
      <c r="E9" t="str">
        <v>قطعة</v>
      </c>
      <c r="F9">
        <v>12</v>
      </c>
      <c r="G9">
        <v>5</v>
      </c>
      <c r="H9">
        <v>0</v>
      </c>
      <c r="I9">
        <v>8</v>
      </c>
      <c r="J9">
        <f>F9-G9</f>
        <v>7</v>
      </c>
      <c r="K9" s="1">
        <f>IF(G9&gt;0, (F9-G9)/G9, 0)</f>
        <v>1.4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SKU-0051</v>
      </c>
      <c r="R9" t="str">
        <v/>
      </c>
      <c r="S9" t="str">
        <v/>
      </c>
      <c r="T9" t="str">
        <v/>
      </c>
    </row>
    <row r="10">
      <c r="A10" t="str">
        <v>الإجمالي</v>
      </c>
      <c r="B10" t="str">
        <v>إجمالي 6 صنف مسجل</v>
      </c>
      <c r="C10" t="str">
        <v/>
      </c>
      <c r="D10" t="str">
        <v/>
      </c>
      <c r="E10" t="str">
        <v/>
      </c>
      <c r="F10" s="2">
        <f>AVERAGE(F4:F9)</f>
      </c>
      <c r="G10" s="2">
        <f>AVERAGE(G4:G9)</f>
      </c>
      <c r="H10" s="3">
        <f>SUM(H4:H9)</f>
      </c>
      <c r="I10" t="str">
        <v/>
      </c>
      <c r="J10" s="2">
        <f>AVERAGE(J4:J9)</f>
      </c>
      <c r="K10" s="1">
        <f>IF(L10&gt;0, N10/L10, 0)</f>
      </c>
      <c r="L10" s="2">
        <f>SUM(L4:L9)</f>
      </c>
      <c r="M10" s="2">
        <f>SUM(M4:M9)</f>
      </c>
      <c r="N10" s="2">
        <f>SUM(N4:N9)</f>
      </c>
      <c r="O10" t="str">
        <v>محسوب بمعادلات إكسل</v>
      </c>
      <c r="P10" t="str">
        <v/>
      </c>
      <c r="Q10" t="str">
        <v/>
      </c>
      <c r="R10" t="str">
        <v/>
      </c>
      <c r="S10" t="str">
        <v/>
      </c>
      <c r="T10" t="str">
        <v/>
      </c>
    </row>
  </sheetData>
  <mergeCells count="2">
    <mergeCell ref="A1:T1"/>
    <mergeCell ref="A2:T2"/>
  </mergeCells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ألعاب ذكاء وتركيب</vt:lpstr>
      <vt:lpstr>سيارات وطائرات تحكم</vt:lpstr>
      <vt:lpstr>عرائس ومجسمات</vt:lpstr>
      <vt:lpstr>ألعاب تعليمية ورضع</vt:lpstr>
      <vt:lpstr>ألعاب حركية ورياضية</vt:lpstr>
      <vt:lpstr>سكوتر وركوب</vt:lpstr>
      <vt:lpstr>هدايا وتغليف وبطاريات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