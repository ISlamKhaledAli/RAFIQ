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دوات يدوية ومعدات" sheetId="1" r:id="rId1"/>
    <sheet name="دهانات وبويات" sheetId="2" r:id="rId2"/>
    <sheet name="كهرباء وإضاءة" sheetId="3" r:id="rId3"/>
    <sheet name="سباكة وتثبي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[أدوات يدوية ومعدات]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شاكوش مخلب مقبض فايبر مانع للانزلاق 500 جم</v>
      </c>
      <c r="C4" t="str">
        <v>6228800010014</v>
      </c>
      <c r="D4" t="str">
        <v/>
      </c>
      <c r="E4" t="str">
        <v>قطعة</v>
      </c>
      <c r="F4">
        <v>120</v>
      </c>
      <c r="G4">
        <v>85</v>
      </c>
      <c r="H4">
        <v>0</v>
      </c>
      <c r="I4">
        <v>5</v>
      </c>
      <c r="J4">
        <f>F4-G4</f>
        <v>35</v>
      </c>
      <c r="K4" s="1">
        <f>IF(G4&gt;0, (F4-G4)/G4, 0)</f>
        <v>0.4118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HDW-0001</v>
      </c>
      <c r="R4" t="str">
        <v/>
      </c>
      <c r="S4" t="str">
        <v>500 جم</v>
      </c>
      <c r="T4" t="str">
        <v/>
      </c>
    </row>
    <row r="5">
      <c r="A5">
        <v>2</v>
      </c>
      <c r="B5" t="str">
        <v>بنسة كهرباء يد معزولة 8 بوصة توتال</v>
      </c>
      <c r="C5" t="str">
        <v>6228800010021</v>
      </c>
      <c r="D5" t="str">
        <v/>
      </c>
      <c r="E5" t="str">
        <v>قطعة</v>
      </c>
      <c r="F5">
        <v>95</v>
      </c>
      <c r="G5">
        <v>68</v>
      </c>
      <c r="H5">
        <v>0</v>
      </c>
      <c r="I5">
        <v>6</v>
      </c>
      <c r="J5">
        <f>F5-G5</f>
        <v>27</v>
      </c>
      <c r="K5" s="1">
        <f>IF(G5&gt;0, (F5-G5)/G5, 0)</f>
        <v>0.3971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HDW-0002</v>
      </c>
      <c r="R5" t="str">
        <v/>
      </c>
      <c r="S5" t="str">
        <v>8 بوصة</v>
      </c>
      <c r="T5" t="str">
        <v/>
      </c>
    </row>
    <row r="6">
      <c r="A6">
        <v>3</v>
      </c>
      <c r="B6" t="str">
        <v>مفتاح إنجليزي فرنساوي 10 بوصة متين</v>
      </c>
      <c r="C6" t="str">
        <v>6228800010038</v>
      </c>
      <c r="D6" t="str">
        <v/>
      </c>
      <c r="E6" t="str">
        <v>قطعة</v>
      </c>
      <c r="F6">
        <v>110</v>
      </c>
      <c r="G6">
        <v>78</v>
      </c>
      <c r="H6">
        <v>0</v>
      </c>
      <c r="I6">
        <v>4</v>
      </c>
      <c r="J6">
        <f>F6-G6</f>
        <v>32</v>
      </c>
      <c r="K6" s="1">
        <f>IF(G6&gt;0, (F6-G6)/G6, 0)</f>
        <v>0.4103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HDW-0003</v>
      </c>
      <c r="R6" t="str">
        <v/>
      </c>
      <c r="S6" t="str">
        <v>10 بوصة</v>
      </c>
      <c r="T6" t="str">
        <v/>
      </c>
    </row>
    <row r="7">
      <c r="A7">
        <v>4</v>
      </c>
      <c r="B7" t="str">
        <v>طقم مفكات عادة وصليبة 6 قطع صلب كروم</v>
      </c>
      <c r="C7" t="str">
        <v>6228800010045</v>
      </c>
      <c r="D7" t="str">
        <v/>
      </c>
      <c r="E7" t="str">
        <v>قطعة</v>
      </c>
      <c r="F7">
        <v>140</v>
      </c>
      <c r="G7">
        <v>98</v>
      </c>
      <c r="H7">
        <v>0</v>
      </c>
      <c r="I7">
        <v>4</v>
      </c>
      <c r="J7">
        <f>F7-G7</f>
        <v>42</v>
      </c>
      <c r="K7" s="1">
        <f>IF(G7&gt;0, (F7-G7)/G7, 0)</f>
        <v>0.4286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HDW-0004</v>
      </c>
      <c r="R7" t="str">
        <v/>
      </c>
      <c r="S7" t="str">
        <v/>
      </c>
      <c r="T7" t="str">
        <v/>
      </c>
    </row>
    <row r="8">
      <c r="A8">
        <v>5</v>
      </c>
      <c r="B8" t="str">
        <v>متر قياس شريط صلب 5 متر أوتوماتيك توتال</v>
      </c>
      <c r="C8" t="str">
        <v>6228800010052</v>
      </c>
      <c r="D8" t="str">
        <v/>
      </c>
      <c r="E8" t="str">
        <v>قطعة</v>
      </c>
      <c r="F8">
        <v>65</v>
      </c>
      <c r="G8">
        <v>45</v>
      </c>
      <c r="H8">
        <v>0</v>
      </c>
      <c r="I8">
        <v>8</v>
      </c>
      <c r="J8">
        <f>F8-G8</f>
        <v>20</v>
      </c>
      <c r="K8" s="1">
        <f>IF(G8&gt;0, (F8-G8)/G8, 0)</f>
        <v>0.4444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HDW-0005</v>
      </c>
      <c r="R8" t="str">
        <v/>
      </c>
      <c r="S8" t="str">
        <v>5 متر</v>
      </c>
      <c r="T8" t="str">
        <v/>
      </c>
    </row>
    <row r="9">
      <c r="A9">
        <v>6</v>
      </c>
      <c r="B9" t="str">
        <v>ميزان مياه ألومنيوم مغناطيسي 40 سم 3 عيون</v>
      </c>
      <c r="C9" t="str">
        <v>6228800010069</v>
      </c>
      <c r="D9" t="str">
        <v/>
      </c>
      <c r="E9" t="str">
        <v>قطعة</v>
      </c>
      <c r="F9">
        <v>85</v>
      </c>
      <c r="G9">
        <v>58</v>
      </c>
      <c r="H9">
        <v>0</v>
      </c>
      <c r="I9">
        <v>4</v>
      </c>
      <c r="J9">
        <f>F9-G9</f>
        <v>27</v>
      </c>
      <c r="K9" s="1">
        <f>IF(G9&gt;0, (F9-G9)/G9, 0)</f>
        <v>0.4655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HDW-0006</v>
      </c>
      <c r="R9" t="str">
        <v/>
      </c>
      <c r="S9" t="str">
        <v>40 سم</v>
      </c>
      <c r="T9" t="str">
        <v/>
      </c>
    </row>
    <row r="10">
      <c r="A10">
        <v>7</v>
      </c>
      <c r="B10" t="str">
        <v>مشرط كاتر معدني شفرة عريضة 18 ملم مع غيار</v>
      </c>
      <c r="C10" t="str">
        <v>6228800010076</v>
      </c>
      <c r="D10" t="str">
        <v/>
      </c>
      <c r="E10" t="str">
        <v>قطعة</v>
      </c>
      <c r="F10">
        <v>35</v>
      </c>
      <c r="G10">
        <v>22</v>
      </c>
      <c r="H10">
        <v>0</v>
      </c>
      <c r="I10">
        <v>10</v>
      </c>
      <c r="J10">
        <f>F10-G10</f>
        <v>13</v>
      </c>
      <c r="K10" s="1">
        <f>IF(G10&gt;0, (F10-G10)/G10, 0)</f>
        <v>0.5909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HDW-0007</v>
      </c>
      <c r="R10" t="str">
        <v/>
      </c>
      <c r="S10" t="str">
        <v>18 ملم</v>
      </c>
      <c r="T10" t="str">
        <v/>
      </c>
    </row>
    <row r="11">
      <c r="A11">
        <v>8</v>
      </c>
      <c r="B11" t="str">
        <v>مسدس شمع لاصق كهربائي 60 وات سريع التسخين</v>
      </c>
      <c r="C11" t="str">
        <v>6228800010083</v>
      </c>
      <c r="D11" t="str">
        <v/>
      </c>
      <c r="E11" t="str">
        <v>قطعة</v>
      </c>
      <c r="F11">
        <v>90</v>
      </c>
      <c r="G11">
        <v>62</v>
      </c>
      <c r="H11">
        <v>0</v>
      </c>
      <c r="I11">
        <v>5</v>
      </c>
      <c r="J11">
        <f>F11-G11</f>
        <v>28</v>
      </c>
      <c r="K11" s="1">
        <f>IF(G11&gt;0, (F11-G11)/G11, 0)</f>
        <v>0.4516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HDW-0008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أصابع شمع سيليكون مسدس باكت 10 صوابع</v>
      </c>
      <c r="C12" t="str">
        <v>6228800010090</v>
      </c>
      <c r="D12" t="str">
        <v/>
      </c>
      <c r="E12" t="str">
        <v>قطعة</v>
      </c>
      <c r="F12">
        <v>30</v>
      </c>
      <c r="G12">
        <v>18</v>
      </c>
      <c r="H12">
        <v>0</v>
      </c>
      <c r="I12">
        <v>12</v>
      </c>
      <c r="J12">
        <f>F12-G12</f>
        <v>12</v>
      </c>
      <c r="K12" s="1">
        <f>IF(G12&gt;0, (F12-G12)/G12, 0)</f>
        <v>0.6667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HDW-0009</v>
      </c>
      <c r="R12" t="str">
        <v/>
      </c>
      <c r="S12" t="str">
        <v/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[دهانات وبويات]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بستلة دهان بلاستيك داخلي GLC مط 3030 أبيض</v>
      </c>
      <c r="C4" t="str">
        <v>6228800020013</v>
      </c>
      <c r="D4" t="str">
        <v/>
      </c>
      <c r="E4" t="str">
        <v>قطعة</v>
      </c>
      <c r="F4">
        <v>420</v>
      </c>
      <c r="G4">
        <v>360</v>
      </c>
      <c r="H4">
        <v>0</v>
      </c>
      <c r="I4">
        <v>3</v>
      </c>
      <c r="J4">
        <f>F4-G4</f>
        <v>60</v>
      </c>
      <c r="K4" s="1">
        <f>IF(G4&gt;0, (F4-G4)/G4, 0)</f>
        <v>0.1667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HDW-0010</v>
      </c>
      <c r="R4" t="str">
        <v>أبيض</v>
      </c>
      <c r="S4" t="str">
        <v>بستلة</v>
      </c>
      <c r="T4" t="str">
        <v/>
      </c>
    </row>
    <row r="5">
      <c r="A5">
        <v>2</v>
      </c>
      <c r="B5" t="str">
        <v>بستلة دهان بلاستيك سايبس ناصع البياض مط</v>
      </c>
      <c r="C5" t="str">
        <v>6228800020020</v>
      </c>
      <c r="D5" t="str">
        <v/>
      </c>
      <c r="E5" t="str">
        <v>قطعة</v>
      </c>
      <c r="F5">
        <v>450</v>
      </c>
      <c r="G5">
        <v>385</v>
      </c>
      <c r="H5">
        <v>0</v>
      </c>
      <c r="I5">
        <v>3</v>
      </c>
      <c r="J5">
        <f>F5-G5</f>
        <v>65</v>
      </c>
      <c r="K5" s="1">
        <f>IF(G5&gt;0, (F5-G5)/G5, 0)</f>
        <v>0.1688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HDW-0011</v>
      </c>
      <c r="R5" t="str">
        <v>أبيض ناصع</v>
      </c>
      <c r="S5" t="str">
        <v>بستلة</v>
      </c>
      <c r="T5" t="str">
        <v/>
      </c>
    </row>
    <row r="6">
      <c r="A6">
        <v>3</v>
      </c>
      <c r="B6" t="str">
        <v>كيلو لاكيه لامع أبيض كابسي ممتاز</v>
      </c>
      <c r="C6" t="str">
        <v>6228800020037</v>
      </c>
      <c r="D6" t="str">
        <v/>
      </c>
      <c r="E6" t="str">
        <v>قطعة</v>
      </c>
      <c r="F6">
        <v>125</v>
      </c>
      <c r="G6">
        <v>102</v>
      </c>
      <c r="H6">
        <v>0</v>
      </c>
      <c r="I6">
        <v>6</v>
      </c>
      <c r="J6">
        <f>F6-G6</f>
        <v>23</v>
      </c>
      <c r="K6" s="1">
        <f>IF(G6&gt;0, (F6-G6)/G6, 0)</f>
        <v>0.2255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HDW-0012</v>
      </c>
      <c r="R6" t="str">
        <v>أبيض لامع</v>
      </c>
      <c r="S6" t="str">
        <v>1 كجم</v>
      </c>
      <c r="T6" t="str">
        <v/>
      </c>
    </row>
    <row r="7">
      <c r="A7">
        <v>4</v>
      </c>
      <c r="B7" t="str">
        <v>سكينة معجون صلب مرنة يد خشب 4 بوصة</v>
      </c>
      <c r="C7" t="str">
        <v>6228800020044</v>
      </c>
      <c r="D7" t="str">
        <v/>
      </c>
      <c r="E7" t="str">
        <v>قطعة</v>
      </c>
      <c r="F7">
        <v>25</v>
      </c>
      <c r="G7">
        <v>16</v>
      </c>
      <c r="H7">
        <v>0</v>
      </c>
      <c r="I7">
        <v>10</v>
      </c>
      <c r="J7">
        <f>F7-G7</f>
        <v>9</v>
      </c>
      <c r="K7" s="1">
        <f>IF(G7&gt;0, (F7-G7)/G7, 0)</f>
        <v>0.5625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HDW-0013</v>
      </c>
      <c r="R7" t="str">
        <v/>
      </c>
      <c r="S7" t="str">
        <v>4 بوصة</v>
      </c>
      <c r="T7" t="str">
        <v/>
      </c>
    </row>
    <row r="8">
      <c r="A8">
        <v>5</v>
      </c>
      <c r="B8" t="str">
        <v>رول دهان وبوية فايبر كاملة 9 بوصة</v>
      </c>
      <c r="C8" t="str">
        <v>6228800020051</v>
      </c>
      <c r="D8" t="str">
        <v/>
      </c>
      <c r="E8" t="str">
        <v>قطعة</v>
      </c>
      <c r="F8">
        <v>55</v>
      </c>
      <c r="G8">
        <v>38</v>
      </c>
      <c r="H8">
        <v>0</v>
      </c>
      <c r="I8">
        <v>8</v>
      </c>
      <c r="J8">
        <f>F8-G8</f>
        <v>17</v>
      </c>
      <c r="K8" s="1">
        <f>IF(G8&gt;0, (F8-G8)/G8, 0)</f>
        <v>0.4474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HDW-0014</v>
      </c>
      <c r="R8" t="str">
        <v/>
      </c>
      <c r="S8" t="str">
        <v>9 بوصة</v>
      </c>
      <c r="T8" t="str">
        <v/>
      </c>
    </row>
    <row r="9">
      <c r="A9">
        <v>6</v>
      </c>
      <c r="B9" t="str">
        <v>فرشاة دهان شعر طبيعي 3 بوصة توتال</v>
      </c>
      <c r="C9" t="str">
        <v>6228800020068</v>
      </c>
      <c r="D9" t="str">
        <v/>
      </c>
      <c r="E9" t="str">
        <v>قطعة</v>
      </c>
      <c r="F9">
        <v>30</v>
      </c>
      <c r="G9">
        <v>19</v>
      </c>
      <c r="H9">
        <v>0</v>
      </c>
      <c r="I9">
        <v>10</v>
      </c>
      <c r="J9">
        <f>F9-G9</f>
        <v>11</v>
      </c>
      <c r="K9" s="1">
        <f>IF(G9&gt;0, (F9-G9)/G9, 0)</f>
        <v>0.5789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HDW-0015</v>
      </c>
      <c r="R9" t="str">
        <v/>
      </c>
      <c r="S9" t="str">
        <v>3 بوصة</v>
      </c>
      <c r="T9" t="str">
        <v/>
      </c>
    </row>
    <row r="10">
      <c r="A10">
        <v>7</v>
      </c>
      <c r="B10" t="str">
        <v>علبة معجون حوائط جاهز 1 كجم GLC</v>
      </c>
      <c r="C10" t="str">
        <v>6228800020075</v>
      </c>
      <c r="D10" t="str">
        <v/>
      </c>
      <c r="E10" t="str">
        <v>قطعة</v>
      </c>
      <c r="F10">
        <v>35</v>
      </c>
      <c r="G10">
        <v>26</v>
      </c>
      <c r="H10">
        <v>0</v>
      </c>
      <c r="I10">
        <v>8</v>
      </c>
      <c r="J10">
        <f>F10-G10</f>
        <v>9</v>
      </c>
      <c r="K10" s="1">
        <f>IF(G10&gt;0, (F10-G10)/G10, 0)</f>
        <v>0.3462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HDW-0016</v>
      </c>
      <c r="R10" t="str">
        <v/>
      </c>
      <c r="S10" t="str">
        <v>1 كجم</v>
      </c>
      <c r="T10" t="str">
        <v/>
      </c>
    </row>
    <row r="11">
      <c r="A11">
        <v>8</v>
      </c>
      <c r="B11" t="str">
        <v>رول شريط لاصق ورقي مسكنج تيب 2 بوصة للدهانات</v>
      </c>
      <c r="C11" t="str">
        <v>6228800020082</v>
      </c>
      <c r="D11" t="str">
        <v/>
      </c>
      <c r="E11" t="str">
        <v>قطعة</v>
      </c>
      <c r="F11">
        <v>20</v>
      </c>
      <c r="G11">
        <v>13</v>
      </c>
      <c r="H11">
        <v>0</v>
      </c>
      <c r="I11">
        <v>15</v>
      </c>
      <c r="J11">
        <f>F11-G11</f>
        <v>7</v>
      </c>
      <c r="K11" s="1">
        <f>IF(G11&gt;0, (F11-G11)/G11, 0)</f>
        <v>0.5385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HDW-0017</v>
      </c>
      <c r="R11" t="str">
        <v/>
      </c>
      <c r="S11" t="str">
        <v>2 بوصة</v>
      </c>
      <c r="T11" t="str">
        <v/>
      </c>
    </row>
    <row r="12">
      <c r="A12">
        <v>9</v>
      </c>
      <c r="B12" t="str">
        <v>سبراي رش ألوان دوكو ألوان متعددة علبة 400 مل</v>
      </c>
      <c r="C12" t="str">
        <v>6228800020099</v>
      </c>
      <c r="D12" t="str">
        <v/>
      </c>
      <c r="E12" t="str">
        <v>قطعة</v>
      </c>
      <c r="F12">
        <v>45</v>
      </c>
      <c r="G12">
        <v>32</v>
      </c>
      <c r="H12">
        <v>0</v>
      </c>
      <c r="I12">
        <v>10</v>
      </c>
      <c r="J12">
        <f>F12-G12</f>
        <v>13</v>
      </c>
      <c r="K12" s="1">
        <f>IF(G12&gt;0, (F12-G12)/G12, 0)</f>
        <v>0.4063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HDW-0018</v>
      </c>
      <c r="R12" t="str">
        <v>أسود</v>
      </c>
      <c r="S12" t="str">
        <v>400 مل</v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[كهرباء وإضاءة]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لمبة ليد فينوس 9 وات إضاءة بيضاء موفرة</v>
      </c>
      <c r="C4" t="str">
        <v>6228800030012</v>
      </c>
      <c r="D4" t="str">
        <v/>
      </c>
      <c r="E4" t="str">
        <v>قطعة</v>
      </c>
      <c r="F4">
        <v>45</v>
      </c>
      <c r="G4">
        <v>35</v>
      </c>
      <c r="H4">
        <v>0</v>
      </c>
      <c r="I4">
        <v>15</v>
      </c>
      <c r="J4">
        <f>F4-G4</f>
        <v>10</v>
      </c>
      <c r="K4" s="1">
        <f>IF(G4&gt;0, (F4-G4)/G4, 0)</f>
        <v>0.2857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HDW-0019</v>
      </c>
      <c r="R4" t="str">
        <v>أبيض</v>
      </c>
      <c r="S4" t="str">
        <v>9 وات</v>
      </c>
      <c r="T4" t="str">
        <v/>
      </c>
    </row>
    <row r="5">
      <c r="A5">
        <v>2</v>
      </c>
      <c r="B5" t="str">
        <v>لمبة ليد فينوس 12 وات إضاءة بيضاء كرتونة</v>
      </c>
      <c r="C5" t="str">
        <v>6228800030029</v>
      </c>
      <c r="D5" t="str">
        <v/>
      </c>
      <c r="E5" t="str">
        <v>قطعة</v>
      </c>
      <c r="F5">
        <v>55</v>
      </c>
      <c r="G5">
        <v>43</v>
      </c>
      <c r="H5">
        <v>0</v>
      </c>
      <c r="I5">
        <v>12</v>
      </c>
      <c r="J5">
        <f>F5-G5</f>
        <v>12</v>
      </c>
      <c r="K5" s="1">
        <f>IF(G5&gt;0, (F5-G5)/G5, 0)</f>
        <v>0.2791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HDW-0020</v>
      </c>
      <c r="R5" t="str">
        <v>أبيض</v>
      </c>
      <c r="S5" t="str">
        <v>12 وات</v>
      </c>
      <c r="T5" t="str">
        <v/>
      </c>
    </row>
    <row r="6">
      <c r="A6">
        <v>3</v>
      </c>
      <c r="B6" t="str">
        <v>لمبة ليد بلح فينوس دلاية 4 وات أصفر وورم</v>
      </c>
      <c r="C6" t="str">
        <v>6228800030036</v>
      </c>
      <c r="D6" t="str">
        <v/>
      </c>
      <c r="E6" t="str">
        <v>قطعة</v>
      </c>
      <c r="F6">
        <v>40</v>
      </c>
      <c r="G6">
        <v>30</v>
      </c>
      <c r="H6">
        <v>0</v>
      </c>
      <c r="I6">
        <v>8</v>
      </c>
      <c r="J6">
        <f>F6-G6</f>
        <v>10</v>
      </c>
      <c r="K6" s="1">
        <f>IF(G6&gt;0, (F6-G6)/G6, 0)</f>
        <v>0.3333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HDW-0021</v>
      </c>
      <c r="R6" t="str">
        <v>أصفر وورم</v>
      </c>
      <c r="S6" t="str">
        <v>4 وات</v>
      </c>
      <c r="T6" t="str">
        <v/>
      </c>
    </row>
    <row r="7">
      <c r="A7">
        <v>4</v>
      </c>
      <c r="B7" t="str">
        <v>شاسيه مفتاح بريزة كهرباء ساس SAS أبيض</v>
      </c>
      <c r="C7" t="str">
        <v>6228800030043</v>
      </c>
      <c r="D7" t="str">
        <v/>
      </c>
      <c r="E7" t="str">
        <v>قطعة</v>
      </c>
      <c r="F7">
        <v>18</v>
      </c>
      <c r="G7">
        <v>12.5</v>
      </c>
      <c r="H7">
        <v>0</v>
      </c>
      <c r="I7">
        <v>12</v>
      </c>
      <c r="J7">
        <f>F7-G7</f>
        <v>5.5</v>
      </c>
      <c r="K7" s="1">
        <f>IF(G7&gt;0, (F7-G7)/G7, 0)</f>
        <v>0.44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HDW-0022</v>
      </c>
      <c r="R7" t="str">
        <v>أبيض</v>
      </c>
      <c r="S7" t="str">
        <v/>
      </c>
      <c r="T7" t="str">
        <v/>
      </c>
    </row>
    <row r="8">
      <c r="A8">
        <v>5</v>
      </c>
      <c r="B8" t="str">
        <v>لقمة بريزة فيشة كهرباء ثلاثية ساس أصلي</v>
      </c>
      <c r="C8" t="str">
        <v>6228800030050</v>
      </c>
      <c r="D8" t="str">
        <v/>
      </c>
      <c r="E8" t="str">
        <v>قطعة</v>
      </c>
      <c r="F8">
        <v>22</v>
      </c>
      <c r="G8">
        <v>16</v>
      </c>
      <c r="H8">
        <v>0</v>
      </c>
      <c r="I8">
        <v>15</v>
      </c>
      <c r="J8">
        <f>F8-G8</f>
        <v>6</v>
      </c>
      <c r="K8" s="1">
        <f>IF(G8&gt;0, (F8-G8)/G8, 0)</f>
        <v>0.375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HDW-0023</v>
      </c>
      <c r="R8" t="str">
        <v>أبيض</v>
      </c>
      <c r="S8" t="str">
        <v/>
      </c>
      <c r="T8" t="str">
        <v/>
      </c>
    </row>
    <row r="9">
      <c r="A9">
        <v>6</v>
      </c>
      <c r="B9" t="str">
        <v>شريط لحام عازل كهرباء شيرتول أصلي 10 متر</v>
      </c>
      <c r="C9" t="str">
        <v>6228800030067</v>
      </c>
      <c r="D9" t="str">
        <v/>
      </c>
      <c r="E9" t="str">
        <v>قطعة</v>
      </c>
      <c r="F9">
        <v>12</v>
      </c>
      <c r="G9">
        <v>7.5</v>
      </c>
      <c r="H9">
        <v>0</v>
      </c>
      <c r="I9">
        <v>25</v>
      </c>
      <c r="J9">
        <f>F9-G9</f>
        <v>4.5</v>
      </c>
      <c r="K9" s="1">
        <f>IF(G9&gt;0, (F9-G9)/G9, 0)</f>
        <v>0.6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HDW-0024</v>
      </c>
      <c r="R9" t="str">
        <v>أسود</v>
      </c>
      <c r="S9" t="str">
        <v>10 متر</v>
      </c>
      <c r="T9" t="str">
        <v/>
      </c>
    </row>
    <row r="10">
      <c r="A10">
        <v>7</v>
      </c>
      <c r="B10" t="str">
        <v>لفة سلك سويدي معتمد نحاس شعر 1.5 ملم 100 متر</v>
      </c>
      <c r="C10" t="str">
        <v>6228800030074</v>
      </c>
      <c r="D10" t="str">
        <v/>
      </c>
      <c r="E10" t="str">
        <v>قطعة</v>
      </c>
      <c r="F10">
        <v>850</v>
      </c>
      <c r="G10">
        <v>760</v>
      </c>
      <c r="H10">
        <v>0</v>
      </c>
      <c r="I10">
        <v>2</v>
      </c>
      <c r="J10">
        <f>F10-G10</f>
        <v>90</v>
      </c>
      <c r="K10" s="1">
        <f>IF(G10&gt;0, (F10-G10)/G10, 0)</f>
        <v>0.1184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HDW-0025</v>
      </c>
      <c r="R10" t="str">
        <v/>
      </c>
      <c r="S10" t="str">
        <v>1.5 ملم</v>
      </c>
      <c r="T10" t="str">
        <v/>
      </c>
    </row>
    <row r="11">
      <c r="A11">
        <v>8</v>
      </c>
      <c r="B11" t="str">
        <v>مشترك كهرباء 4 عين مع سلك 3 متر بمفتاح أمان</v>
      </c>
      <c r="C11" t="str">
        <v>6228800030081</v>
      </c>
      <c r="D11" t="str">
        <v/>
      </c>
      <c r="E11" t="str">
        <v>قطعة</v>
      </c>
      <c r="F11">
        <v>110</v>
      </c>
      <c r="G11">
        <v>78</v>
      </c>
      <c r="H11">
        <v>0</v>
      </c>
      <c r="I11">
        <v>5</v>
      </c>
      <c r="J11">
        <f>F11-G11</f>
        <v>32</v>
      </c>
      <c r="K11" s="1">
        <f>IF(G11&gt;0, (F11-G11)/G11, 0)</f>
        <v>0.4103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HDW-0026</v>
      </c>
      <c r="R11" t="str">
        <v/>
      </c>
      <c r="S11" t="str">
        <v>3 متر</v>
      </c>
      <c r="T11" t="str">
        <v/>
      </c>
    </row>
    <row r="12">
      <c r="A12" t="str">
        <v>الإجمالي</v>
      </c>
      <c r="B12" t="str">
        <v>إجمالي 8 صنف مسجل</v>
      </c>
      <c r="C12" t="str">
        <v/>
      </c>
      <c r="D12" t="str">
        <v/>
      </c>
      <c r="E12" t="str">
        <v/>
      </c>
      <c r="F12" s="2">
        <f>AVERAGE(F4:F11)</f>
      </c>
      <c r="G12" s="2">
        <f>AVERAGE(G4:G11)</f>
      </c>
      <c r="H12" s="3">
        <f>SUM(H4:H11)</f>
      </c>
      <c r="I12" t="str">
        <v/>
      </c>
      <c r="J12" s="2">
        <f>AVERAGE(J4:J11)</f>
      </c>
      <c r="K12" s="1">
        <f>IF(L12&gt;0, N12/L12, 0)</f>
      </c>
      <c r="L12" s="2">
        <f>SUM(L4:L11)</f>
      </c>
      <c r="M12" s="2">
        <f>SUM(M4:M11)</f>
      </c>
      <c r="N12" s="2">
        <f>SUM(N4:N11)</f>
      </c>
      <c r="O12" t="str">
        <v>محسوب بمعادلات إكسل</v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mergeCells count="2">
    <mergeCell ref="A1:T1"/>
    <mergeCell ref="A2:T2"/>
  </mergeCells>
  <ignoredErrors>
    <ignoredError numberStoredAsText="1" sqref="A1:T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[سباكة وتثبيت]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شريط تيفلون سباكة أصلي مانع للتسريب لفة</v>
      </c>
      <c r="C4" t="str">
        <v>6228800040011</v>
      </c>
      <c r="D4" t="str">
        <v/>
      </c>
      <c r="E4" t="str">
        <v>قطعة</v>
      </c>
      <c r="F4">
        <v>8</v>
      </c>
      <c r="G4">
        <v>4.5</v>
      </c>
      <c r="H4">
        <v>0</v>
      </c>
      <c r="I4">
        <v>20</v>
      </c>
      <c r="J4">
        <f>F4-G4</f>
        <v>3.5</v>
      </c>
      <c r="K4" s="1">
        <f>IF(G4&gt;0, (F4-G4)/G4, 0)</f>
        <v>0.7778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HDW-0027</v>
      </c>
      <c r="R4" t="str">
        <v/>
      </c>
      <c r="S4" t="str">
        <v/>
      </c>
      <c r="T4" t="str">
        <v/>
      </c>
    </row>
    <row r="5">
      <c r="A5">
        <v>2</v>
      </c>
      <c r="B5" t="str">
        <v>خرطوم سخان مرن إيطالي استانلس ستيل 50 سم</v>
      </c>
      <c r="C5" t="str">
        <v>6228800040028</v>
      </c>
      <c r="D5" t="str">
        <v/>
      </c>
      <c r="E5" t="str">
        <v>قطعة</v>
      </c>
      <c r="F5">
        <v>65</v>
      </c>
      <c r="G5">
        <v>46</v>
      </c>
      <c r="H5">
        <v>0</v>
      </c>
      <c r="I5">
        <v>7</v>
      </c>
      <c r="J5">
        <f>F5-G5</f>
        <v>19</v>
      </c>
      <c r="K5" s="1">
        <f>IF(G5&gt;0, (F5-G5)/G5, 0)</f>
        <v>0.413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HDW-0028</v>
      </c>
      <c r="R5" t="str">
        <v/>
      </c>
      <c r="S5" t="str">
        <v>50 سم</v>
      </c>
      <c r="T5" t="str">
        <v/>
      </c>
    </row>
    <row r="6">
      <c r="A6">
        <v>3</v>
      </c>
      <c r="B6" t="str">
        <v>محبس زاوية نحاس ألماني كروم أصلي 1/2 بوصة</v>
      </c>
      <c r="C6" t="str">
        <v>6228800040035</v>
      </c>
      <c r="D6" t="str">
        <v/>
      </c>
      <c r="E6" t="str">
        <v>قطعة</v>
      </c>
      <c r="F6">
        <v>85</v>
      </c>
      <c r="G6">
        <v>62</v>
      </c>
      <c r="H6">
        <v>0</v>
      </c>
      <c r="I6">
        <v>6</v>
      </c>
      <c r="J6">
        <f>F6-G6</f>
        <v>23</v>
      </c>
      <c r="K6" s="1">
        <f>IF(G6&gt;0, (F6-G6)/G6, 0)</f>
        <v>0.371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HDW-0029</v>
      </c>
      <c r="R6" t="str">
        <v/>
      </c>
      <c r="S6" t="str">
        <v>1/2 بوصة</v>
      </c>
      <c r="T6" t="str">
        <v/>
      </c>
    </row>
    <row r="7">
      <c r="A7">
        <v>4</v>
      </c>
      <c r="B7" t="str">
        <v>أنبوبة سيليكون شفاف تركي مضاد للفطريات 300 مل</v>
      </c>
      <c r="C7" t="str">
        <v>6228800040042</v>
      </c>
      <c r="D7" t="str">
        <v/>
      </c>
      <c r="E7" t="str">
        <v>قطعة</v>
      </c>
      <c r="F7">
        <v>75</v>
      </c>
      <c r="G7">
        <v>52</v>
      </c>
      <c r="H7">
        <v>0</v>
      </c>
      <c r="I7">
        <v>8</v>
      </c>
      <c r="J7">
        <f>F7-G7</f>
        <v>23</v>
      </c>
      <c r="K7" s="1">
        <f>IF(G7&gt;0, (F7-G7)/G7, 0)</f>
        <v>0.4423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HDW-0030</v>
      </c>
      <c r="R7" t="str">
        <v>شفاف</v>
      </c>
      <c r="S7" t="str">
        <v>300 مل</v>
      </c>
      <c r="T7" t="str">
        <v/>
      </c>
    </row>
    <row r="8">
      <c r="A8">
        <v>5</v>
      </c>
      <c r="B8" t="str">
        <v>باكت فيشر بلاستيك مقاس 6 ملم مع مسامير صلب 50 حبة</v>
      </c>
      <c r="C8" t="str">
        <v>6228800040059</v>
      </c>
      <c r="D8" t="str">
        <v/>
      </c>
      <c r="E8" t="str">
        <v>قطعة</v>
      </c>
      <c r="F8">
        <v>25</v>
      </c>
      <c r="G8">
        <v>14</v>
      </c>
      <c r="H8">
        <v>0</v>
      </c>
      <c r="I8">
        <v>15</v>
      </c>
      <c r="J8">
        <f>F8-G8</f>
        <v>11</v>
      </c>
      <c r="K8" s="1">
        <f>IF(G8&gt;0, (F8-G8)/G8, 0)</f>
        <v>0.7857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HDW-0031</v>
      </c>
      <c r="R8" t="str">
        <v/>
      </c>
      <c r="S8" t="str">
        <v>6 ملم</v>
      </c>
      <c r="T8" t="str">
        <v/>
      </c>
    </row>
    <row r="9">
      <c r="A9">
        <v>6</v>
      </c>
      <c r="B9" t="str">
        <v>باكت مسامير سن صاج 3 سم أسود كرتونة 100 مسمار</v>
      </c>
      <c r="C9" t="str">
        <v>6228800040066</v>
      </c>
      <c r="D9" t="str">
        <v/>
      </c>
      <c r="E9" t="str">
        <v>قطعة</v>
      </c>
      <c r="F9">
        <v>20</v>
      </c>
      <c r="G9">
        <v>12</v>
      </c>
      <c r="H9">
        <v>0</v>
      </c>
      <c r="I9">
        <v>15</v>
      </c>
      <c r="J9">
        <f>F9-G9</f>
        <v>8</v>
      </c>
      <c r="K9" s="1">
        <f>IF(G9&gt;0, (F9-G9)/G9, 0)</f>
        <v>0.6667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HDW-0032</v>
      </c>
      <c r="R9" t="str">
        <v/>
      </c>
      <c r="S9" t="str">
        <v>3 سم</v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أدوات يدوية ومعدات</vt:lpstr>
      <vt:lpstr>دهانات وبويات</vt:lpstr>
      <vt:lpstr>كهرباء وإضاءة</vt:lpstr>
      <vt:lpstr>سباكة وتثبيت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